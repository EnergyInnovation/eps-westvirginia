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V\add-outputs\HOIpTP\"/>
    </mc:Choice>
  </mc:AlternateContent>
  <xr:revisionPtr revIDLastSave="0" documentId="8_{6A97BFC4-C8E9-4FB8-92EE-8FA94079354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V3" i="19"/>
  <c r="Q3" i="19"/>
  <c r="F3" i="19"/>
  <c r="E3" i="19"/>
  <c r="B3" i="19"/>
  <c r="O3" i="19" s="1"/>
  <c r="W2" i="19"/>
  <c r="P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T17" i="18"/>
  <c r="R17" i="18"/>
  <c r="Q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AA14" i="18"/>
  <c r="Y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E8" i="18"/>
  <c r="B8" i="18"/>
  <c r="W8" i="18" s="1"/>
  <c r="AB7" i="18"/>
  <c r="AA7" i="18"/>
  <c r="H7" i="18"/>
  <c r="D7" i="18"/>
  <c r="C7" i="18"/>
  <c r="B7" i="18"/>
  <c r="G7" i="18" s="1"/>
  <c r="AA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V3" i="18"/>
  <c r="P3" i="18"/>
  <c r="B3" i="18"/>
  <c r="Z2" i="18"/>
  <c r="V2" i="18"/>
  <c r="P2" i="18"/>
  <c r="O2" i="18"/>
  <c r="K2" i="18"/>
  <c r="J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R17" i="17"/>
  <c r="Q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W13" i="17"/>
  <c r="S13" i="17"/>
  <c r="R13" i="17"/>
  <c r="D13" i="17"/>
  <c r="B13" i="17"/>
  <c r="AA13" i="17" s="1"/>
  <c r="Z12" i="17"/>
  <c r="Y12" i="17"/>
  <c r="T12" i="17"/>
  <c r="S12" i="17"/>
  <c r="R12" i="17"/>
  <c r="J12" i="17"/>
  <c r="H12" i="17"/>
  <c r="G12" i="17"/>
  <c r="D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T8" i="17"/>
  <c r="P8" i="17"/>
  <c r="O8" i="17"/>
  <c r="F8" i="17"/>
  <c r="D8" i="17"/>
  <c r="C8" i="17"/>
  <c r="B8" i="17"/>
  <c r="AB8" i="17" s="1"/>
  <c r="B7" i="17"/>
  <c r="M6" i="17"/>
  <c r="L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L2" i="17"/>
  <c r="J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R17" i="16"/>
  <c r="B17" i="16"/>
  <c r="B16" i="16"/>
  <c r="AA15" i="16"/>
  <c r="X15" i="16"/>
  <c r="K15" i="16"/>
  <c r="B15" i="16"/>
  <c r="Y15" i="16" s="1"/>
  <c r="G14" i="16"/>
  <c r="C14" i="16"/>
  <c r="B14" i="16"/>
  <c r="X13" i="16"/>
  <c r="W13" i="16"/>
  <c r="J13" i="16"/>
  <c r="D13" i="16"/>
  <c r="B13" i="16"/>
  <c r="Y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X7" i="16"/>
  <c r="T7" i="16"/>
  <c r="R7" i="16"/>
  <c r="O7" i="16"/>
  <c r="M7" i="16"/>
  <c r="L7" i="16"/>
  <c r="H7" i="16"/>
  <c r="G7" i="16"/>
  <c r="F7" i="16"/>
  <c r="E7" i="16"/>
  <c r="D7" i="16"/>
  <c r="C7" i="16"/>
  <c r="B7" i="16"/>
  <c r="Z7" i="16" s="1"/>
  <c r="W6" i="16"/>
  <c r="T6" i="16"/>
  <c r="E6" i="16"/>
  <c r="B6" i="16"/>
  <c r="S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AA2" i="16"/>
  <c r="Y2" i="16"/>
  <c r="X2" i="16"/>
  <c r="T2" i="16"/>
  <c r="Q2" i="16"/>
  <c r="P2" i="16"/>
  <c r="K2" i="16"/>
  <c r="D2" i="16"/>
  <c r="B2" i="16"/>
  <c r="AB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K15" i="15"/>
  <c r="I15" i="15"/>
  <c r="E15" i="15"/>
  <c r="C15" i="15"/>
  <c r="B15" i="15"/>
  <c r="G15" i="15" s="1"/>
  <c r="M14" i="15"/>
  <c r="B14" i="15"/>
  <c r="B13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X8" i="15"/>
  <c r="R8" i="15"/>
  <c r="C8" i="15"/>
  <c r="B8" i="15"/>
  <c r="AB8" i="15" s="1"/>
  <c r="AA7" i="15"/>
  <c r="Y7" i="15"/>
  <c r="Q7" i="15"/>
  <c r="F7" i="15"/>
  <c r="D7" i="15"/>
  <c r="B7" i="15"/>
  <c r="AB6" i="15"/>
  <c r="AA6" i="15"/>
  <c r="V6" i="15"/>
  <c r="U6" i="15"/>
  <c r="T6" i="15"/>
  <c r="S6" i="15"/>
  <c r="R6" i="15"/>
  <c r="Q6" i="15"/>
  <c r="P6" i="15"/>
  <c r="O6" i="15"/>
  <c r="M6" i="15"/>
  <c r="L6" i="15"/>
  <c r="J6" i="15"/>
  <c r="I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W3" i="15"/>
  <c r="U3" i="15"/>
  <c r="D3" i="15"/>
  <c r="B3" i="15"/>
  <c r="AA3" i="15" s="1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AA15" i="14"/>
  <c r="Z15" i="14"/>
  <c r="U15" i="14"/>
  <c r="S15" i="14"/>
  <c r="R15" i="14"/>
  <c r="P15" i="14"/>
  <c r="O15" i="14"/>
  <c r="M15" i="14"/>
  <c r="K15" i="14"/>
  <c r="J15" i="14"/>
  <c r="I15" i="14"/>
  <c r="F15" i="14"/>
  <c r="E15" i="14"/>
  <c r="D15" i="14"/>
  <c r="C15" i="14"/>
  <c r="B15" i="14"/>
  <c r="X15" i="14" s="1"/>
  <c r="AB14" i="14"/>
  <c r="S14" i="14"/>
  <c r="R14" i="14"/>
  <c r="B14" i="14"/>
  <c r="Y14" i="14" s="1"/>
  <c r="G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Y7" i="14"/>
  <c r="X7" i="14"/>
  <c r="V7" i="14"/>
  <c r="S7" i="14"/>
  <c r="P7" i="14"/>
  <c r="N7" i="14"/>
  <c r="M7" i="14"/>
  <c r="L7" i="14"/>
  <c r="I7" i="14"/>
  <c r="H7" i="14"/>
  <c r="G7" i="14"/>
  <c r="E7" i="14"/>
  <c r="D7" i="14"/>
  <c r="B7" i="14"/>
  <c r="Z7" i="14" s="1"/>
  <c r="AA6" i="14"/>
  <c r="X6" i="14"/>
  <c r="W6" i="14"/>
  <c r="R6" i="14"/>
  <c r="N6" i="14"/>
  <c r="M6" i="14"/>
  <c r="L6" i="14"/>
  <c r="H6" i="14"/>
  <c r="F6" i="14"/>
  <c r="E6" i="14"/>
  <c r="B6" i="14"/>
  <c r="S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Z3" i="14"/>
  <c r="W3" i="14"/>
  <c r="J3" i="14"/>
  <c r="G3" i="14"/>
  <c r="F3" i="14"/>
  <c r="D3" i="14"/>
  <c r="B3" i="14"/>
  <c r="AB3" i="14" s="1"/>
  <c r="AB2" i="14"/>
  <c r="AA2" i="14"/>
  <c r="Z2" i="14"/>
  <c r="X2" i="14"/>
  <c r="V2" i="14"/>
  <c r="U2" i="14"/>
  <c r="R2" i="14"/>
  <c r="P2" i="14"/>
  <c r="O2" i="14"/>
  <c r="M2" i="14"/>
  <c r="L2" i="14"/>
  <c r="G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B17" i="13"/>
  <c r="C17" i="13" s="1"/>
  <c r="U16" i="13"/>
  <c r="T16" i="13"/>
  <c r="H16" i="13"/>
  <c r="G16" i="13"/>
  <c r="B16" i="13"/>
  <c r="AA16" i="13" s="1"/>
  <c r="AB15" i="13"/>
  <c r="AA15" i="13"/>
  <c r="Y15" i="13"/>
  <c r="W15" i="13"/>
  <c r="V15" i="13"/>
  <c r="T15" i="13"/>
  <c r="S15" i="13"/>
  <c r="R15" i="13"/>
  <c r="P15" i="13"/>
  <c r="O15" i="13"/>
  <c r="N15" i="13"/>
  <c r="M15" i="13"/>
  <c r="L15" i="13"/>
  <c r="K15" i="13"/>
  <c r="J15" i="13"/>
  <c r="I15" i="13"/>
  <c r="H15" i="13"/>
  <c r="G15" i="13"/>
  <c r="F15" i="13"/>
  <c r="D15" i="13"/>
  <c r="C15" i="13"/>
  <c r="B15" i="13"/>
  <c r="X15" i="13" s="1"/>
  <c r="AA14" i="13"/>
  <c r="Y14" i="13"/>
  <c r="W14" i="13"/>
  <c r="V14" i="13"/>
  <c r="T14" i="13"/>
  <c r="S14" i="13"/>
  <c r="Q14" i="13"/>
  <c r="P14" i="13"/>
  <c r="O14" i="13"/>
  <c r="N14" i="13"/>
  <c r="M14" i="13"/>
  <c r="L14" i="13"/>
  <c r="K14" i="13"/>
  <c r="J14" i="13"/>
  <c r="F14" i="13"/>
  <c r="E14" i="13"/>
  <c r="B14" i="13"/>
  <c r="U14" i="13" s="1"/>
  <c r="Z13" i="13"/>
  <c r="Y13" i="13"/>
  <c r="M13" i="13"/>
  <c r="K13" i="13"/>
  <c r="H13" i="13"/>
  <c r="F13" i="13"/>
  <c r="B13" i="13"/>
  <c r="V13" i="13" s="1"/>
  <c r="W12" i="13"/>
  <c r="T12" i="13"/>
  <c r="S12" i="13"/>
  <c r="O12" i="13"/>
  <c r="L12" i="13"/>
  <c r="J12" i="13"/>
  <c r="I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V8" i="13"/>
  <c r="U8" i="13"/>
  <c r="R8" i="13"/>
  <c r="Q8" i="13"/>
  <c r="J8" i="13"/>
  <c r="G8" i="13"/>
  <c r="F8" i="13"/>
  <c r="E8" i="13"/>
  <c r="B8" i="13"/>
  <c r="AA8" i="13" s="1"/>
  <c r="AB7" i="13"/>
  <c r="AA7" i="13"/>
  <c r="Z7" i="13"/>
  <c r="W7" i="13"/>
  <c r="R7" i="13"/>
  <c r="M7" i="13"/>
  <c r="L7" i="13"/>
  <c r="H7" i="13"/>
  <c r="E7" i="13"/>
  <c r="B7" i="13"/>
  <c r="X7" i="13" s="1"/>
  <c r="AA6" i="13"/>
  <c r="P6" i="13"/>
  <c r="O6" i="13"/>
  <c r="M6" i="13"/>
  <c r="K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L3" i="13"/>
  <c r="K3" i="13"/>
  <c r="B3" i="13"/>
  <c r="P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G17" i="12"/>
  <c r="B17" i="12"/>
  <c r="O17" i="12" s="1"/>
  <c r="AB16" i="12"/>
  <c r="AA16" i="12"/>
  <c r="Z16" i="12"/>
  <c r="J16" i="12"/>
  <c r="C16" i="12"/>
  <c r="B16" i="12"/>
  <c r="AA15" i="12"/>
  <c r="Z15" i="12"/>
  <c r="W15" i="12"/>
  <c r="V15" i="12"/>
  <c r="T15" i="12"/>
  <c r="R15" i="12"/>
  <c r="O15" i="12"/>
  <c r="N15" i="12"/>
  <c r="L15" i="12"/>
  <c r="K15" i="12"/>
  <c r="I15" i="12"/>
  <c r="G15" i="12"/>
  <c r="F15" i="12"/>
  <c r="E15" i="12"/>
  <c r="C15" i="12"/>
  <c r="B15" i="12"/>
  <c r="Y15" i="12" s="1"/>
  <c r="B14" i="12"/>
  <c r="B13" i="12"/>
  <c r="AB12" i="12"/>
  <c r="AA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S8" i="12"/>
  <c r="R8" i="12"/>
  <c r="Q8" i="12"/>
  <c r="P8" i="12"/>
  <c r="M8" i="12"/>
  <c r="D8" i="12"/>
  <c r="B8" i="12"/>
  <c r="V7" i="12"/>
  <c r="P7" i="12"/>
  <c r="B7" i="12"/>
  <c r="AB7" i="12" s="1"/>
  <c r="B6" i="12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U3" i="12"/>
  <c r="T3" i="12"/>
  <c r="K3" i="12"/>
  <c r="J3" i="12"/>
  <c r="G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O17" i="11"/>
  <c r="D17" i="11"/>
  <c r="C17" i="11"/>
  <c r="B17" i="11"/>
  <c r="AB16" i="11"/>
  <c r="Y16" i="11"/>
  <c r="W16" i="11"/>
  <c r="V16" i="11"/>
  <c r="D16" i="11"/>
  <c r="B16" i="11"/>
  <c r="AA16" i="11" s="1"/>
  <c r="W15" i="11"/>
  <c r="B15" i="11"/>
  <c r="R15" i="11" s="1"/>
  <c r="AB14" i="11"/>
  <c r="X14" i="11"/>
  <c r="J14" i="11"/>
  <c r="I14" i="11"/>
  <c r="B14" i="11"/>
  <c r="W14" i="11" s="1"/>
  <c r="M13" i="11"/>
  <c r="L13" i="11"/>
  <c r="B13" i="11"/>
  <c r="O12" i="11"/>
  <c r="L12" i="11"/>
  <c r="K12" i="11"/>
  <c r="B12" i="11"/>
  <c r="G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T8" i="11"/>
  <c r="S8" i="11"/>
  <c r="R8" i="11"/>
  <c r="Q8" i="11"/>
  <c r="P8" i="11"/>
  <c r="O8" i="11"/>
  <c r="N8" i="11"/>
  <c r="K8" i="11"/>
  <c r="J8" i="11"/>
  <c r="I8" i="11"/>
  <c r="D8" i="11"/>
  <c r="C8" i="11"/>
  <c r="B8" i="11"/>
  <c r="AB8" i="11" s="1"/>
  <c r="AB7" i="11"/>
  <c r="AA7" i="11"/>
  <c r="X7" i="11"/>
  <c r="W7" i="11"/>
  <c r="V7" i="11"/>
  <c r="U7" i="11"/>
  <c r="T7" i="11"/>
  <c r="S7" i="11"/>
  <c r="R7" i="11"/>
  <c r="P7" i="11"/>
  <c r="O7" i="11"/>
  <c r="N7" i="11"/>
  <c r="M7" i="11"/>
  <c r="L7" i="11"/>
  <c r="K7" i="11"/>
  <c r="J7" i="11"/>
  <c r="I7" i="11"/>
  <c r="G7" i="11"/>
  <c r="F7" i="11"/>
  <c r="E7" i="11"/>
  <c r="D7" i="11"/>
  <c r="C7" i="11"/>
  <c r="B7" i="11"/>
  <c r="Q7" i="11" s="1"/>
  <c r="X6" i="11"/>
  <c r="U6" i="11"/>
  <c r="T6" i="11"/>
  <c r="R6" i="11"/>
  <c r="Q6" i="11"/>
  <c r="P6" i="11"/>
  <c r="O6" i="11"/>
  <c r="L6" i="11"/>
  <c r="K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M3" i="11"/>
  <c r="L3" i="11"/>
  <c r="K3" i="11"/>
  <c r="J3" i="11"/>
  <c r="I3" i="11"/>
  <c r="H3" i="11"/>
  <c r="E3" i="11"/>
  <c r="D3" i="11"/>
  <c r="C3" i="11"/>
  <c r="B3" i="11"/>
  <c r="B2" i="11"/>
  <c r="I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Y15" i="10"/>
  <c r="V15" i="10"/>
  <c r="U15" i="10"/>
  <c r="T15" i="10"/>
  <c r="Q15" i="10"/>
  <c r="I15" i="10"/>
  <c r="H15" i="10"/>
  <c r="G15" i="10"/>
  <c r="F15" i="10"/>
  <c r="E15" i="10"/>
  <c r="B15" i="10"/>
  <c r="Z15" i="10" s="1"/>
  <c r="T14" i="10"/>
  <c r="S14" i="10"/>
  <c r="I14" i="10"/>
  <c r="H14" i="10"/>
  <c r="G14" i="10"/>
  <c r="F14" i="10"/>
  <c r="B14" i="10"/>
  <c r="AA14" i="10" s="1"/>
  <c r="AA13" i="10"/>
  <c r="Z13" i="10"/>
  <c r="Y13" i="10"/>
  <c r="P13" i="10"/>
  <c r="M13" i="10"/>
  <c r="H13" i="10"/>
  <c r="F13" i="10"/>
  <c r="D13" i="10"/>
  <c r="B13" i="10"/>
  <c r="B12" i="10"/>
  <c r="AB12" i="10" s="1"/>
  <c r="C11" i="10"/>
  <c r="B11" i="10"/>
  <c r="B10" i="10"/>
  <c r="B9" i="10"/>
  <c r="AB8" i="10"/>
  <c r="Z8" i="10"/>
  <c r="N8" i="10"/>
  <c r="K8" i="10"/>
  <c r="I8" i="10"/>
  <c r="G8" i="10"/>
  <c r="C8" i="10"/>
  <c r="B8" i="10"/>
  <c r="Q8" i="10" s="1"/>
  <c r="X7" i="10"/>
  <c r="B7" i="10"/>
  <c r="Y6" i="10"/>
  <c r="R6" i="10"/>
  <c r="L6" i="10"/>
  <c r="J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J3" i="10"/>
  <c r="B3" i="10"/>
  <c r="Q3" i="10" s="1"/>
  <c r="AA2" i="10"/>
  <c r="U2" i="10"/>
  <c r="P2" i="10"/>
  <c r="N2" i="10"/>
  <c r="M2" i="10"/>
  <c r="L2" i="10"/>
  <c r="G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X17" i="9"/>
  <c r="W17" i="9"/>
  <c r="F17" i="9"/>
  <c r="E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K15" i="9"/>
  <c r="B15" i="9"/>
  <c r="AA15" i="9" s="1"/>
  <c r="Z14" i="9"/>
  <c r="Y14" i="9"/>
  <c r="W14" i="9"/>
  <c r="V14" i="9"/>
  <c r="J14" i="9"/>
  <c r="I14" i="9"/>
  <c r="H14" i="9"/>
  <c r="G14" i="9"/>
  <c r="B14" i="9"/>
  <c r="AA14" i="9" s="1"/>
  <c r="AA13" i="9"/>
  <c r="Z13" i="9"/>
  <c r="Y13" i="9"/>
  <c r="X13" i="9"/>
  <c r="C13" i="9"/>
  <c r="B13" i="9"/>
  <c r="W12" i="9"/>
  <c r="U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X8" i="9"/>
  <c r="U8" i="9"/>
  <c r="T8" i="9"/>
  <c r="S8" i="9"/>
  <c r="O8" i="9"/>
  <c r="N8" i="9"/>
  <c r="M8" i="9"/>
  <c r="L8" i="9"/>
  <c r="K8" i="9"/>
  <c r="G8" i="9"/>
  <c r="B8" i="9"/>
  <c r="Y8" i="9" s="1"/>
  <c r="T7" i="9"/>
  <c r="S7" i="9"/>
  <c r="R7" i="9"/>
  <c r="Q7" i="9"/>
  <c r="F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B3" i="9"/>
  <c r="AB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O15" i="8"/>
  <c r="N15" i="8"/>
  <c r="M15" i="8"/>
  <c r="L15" i="8"/>
  <c r="K15" i="8"/>
  <c r="J15" i="8"/>
  <c r="I15" i="8"/>
  <c r="H15" i="8"/>
  <c r="G15" i="8"/>
  <c r="F15" i="8"/>
  <c r="E15" i="8"/>
  <c r="B15" i="8"/>
  <c r="Z15" i="8" s="1"/>
  <c r="Y14" i="8"/>
  <c r="V14" i="8"/>
  <c r="U14" i="8"/>
  <c r="T14" i="8"/>
  <c r="S14" i="8"/>
  <c r="R14" i="8"/>
  <c r="O14" i="8"/>
  <c r="N14" i="8"/>
  <c r="M14" i="8"/>
  <c r="L14" i="8"/>
  <c r="J14" i="8"/>
  <c r="I14" i="8"/>
  <c r="H14" i="8"/>
  <c r="G14" i="8"/>
  <c r="F14" i="8"/>
  <c r="E14" i="8"/>
  <c r="B14" i="8"/>
  <c r="Z14" i="8" s="1"/>
  <c r="AA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F13" i="8"/>
  <c r="E13" i="8"/>
  <c r="B13" i="8"/>
  <c r="X12" i="8"/>
  <c r="U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T8" i="8"/>
  <c r="R8" i="8"/>
  <c r="B8" i="8"/>
  <c r="V8" i="8" s="1"/>
  <c r="Z7" i="8"/>
  <c r="Y7" i="8"/>
  <c r="W7" i="8"/>
  <c r="U7" i="8"/>
  <c r="P7" i="8"/>
  <c r="O7" i="8"/>
  <c r="M7" i="8"/>
  <c r="G7" i="8"/>
  <c r="B7" i="8"/>
  <c r="J7" i="8" s="1"/>
  <c r="B6" i="8"/>
  <c r="O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S3" i="8"/>
  <c r="R3" i="8"/>
  <c r="P3" i="8"/>
  <c r="M3" i="8"/>
  <c r="K3" i="8"/>
  <c r="I3" i="8"/>
  <c r="H3" i="8"/>
  <c r="G3" i="8"/>
  <c r="B3" i="8"/>
  <c r="Z3" i="8" s="1"/>
  <c r="AA2" i="8"/>
  <c r="Z2" i="8"/>
  <c r="W2" i="8"/>
  <c r="V2" i="8"/>
  <c r="U2" i="8"/>
  <c r="T2" i="8"/>
  <c r="S2" i="8"/>
  <c r="R2" i="8"/>
  <c r="P2" i="8"/>
  <c r="N2" i="8"/>
  <c r="L2" i="8"/>
  <c r="K2" i="8"/>
  <c r="I2" i="8"/>
  <c r="H2" i="8"/>
  <c r="G2" i="8"/>
  <c r="F2" i="8"/>
  <c r="D2" i="8"/>
  <c r="C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S17" i="7"/>
  <c r="M17" i="7"/>
  <c r="L17" i="7"/>
  <c r="K17" i="7"/>
  <c r="I17" i="7"/>
  <c r="H17" i="7"/>
  <c r="G17" i="7"/>
  <c r="F17" i="7"/>
  <c r="E17" i="7"/>
  <c r="D17" i="7"/>
  <c r="B17" i="7"/>
  <c r="T17" i="7" s="1"/>
  <c r="N16" i="7"/>
  <c r="M16" i="7"/>
  <c r="L16" i="7"/>
  <c r="J16" i="7"/>
  <c r="H16" i="7"/>
  <c r="G16" i="7"/>
  <c r="B16" i="7"/>
  <c r="AA16" i="7" s="1"/>
  <c r="Y15" i="7"/>
  <c r="W15" i="7"/>
  <c r="V15" i="7"/>
  <c r="U15" i="7"/>
  <c r="S15" i="7"/>
  <c r="R15" i="7"/>
  <c r="Q15" i="7"/>
  <c r="P15" i="7"/>
  <c r="O15" i="7"/>
  <c r="N15" i="7"/>
  <c r="J15" i="7"/>
  <c r="I15" i="7"/>
  <c r="H15" i="7"/>
  <c r="G15" i="7"/>
  <c r="E15" i="7"/>
  <c r="D15" i="7"/>
  <c r="B15" i="7"/>
  <c r="AA15" i="7" s="1"/>
  <c r="B14" i="7"/>
  <c r="AA13" i="7"/>
  <c r="X13" i="7"/>
  <c r="W13" i="7"/>
  <c r="T13" i="7"/>
  <c r="S13" i="7"/>
  <c r="R13" i="7"/>
  <c r="Q13" i="7"/>
  <c r="N13" i="7"/>
  <c r="M13" i="7"/>
  <c r="K13" i="7"/>
  <c r="J13" i="7"/>
  <c r="I13" i="7"/>
  <c r="H13" i="7"/>
  <c r="B13" i="7"/>
  <c r="V13" i="7" s="1"/>
  <c r="F12" i="7"/>
  <c r="E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W8" i="7"/>
  <c r="N8" i="7"/>
  <c r="M8" i="7"/>
  <c r="L8" i="7"/>
  <c r="K8" i="7"/>
  <c r="J8" i="7"/>
  <c r="F8" i="7"/>
  <c r="B8" i="7"/>
  <c r="AB8" i="7" s="1"/>
  <c r="AA7" i="7"/>
  <c r="Z7" i="7"/>
  <c r="Y7" i="7"/>
  <c r="V7" i="7"/>
  <c r="O7" i="7"/>
  <c r="N7" i="7"/>
  <c r="M7" i="7"/>
  <c r="L7" i="7"/>
  <c r="K7" i="7"/>
  <c r="F7" i="7"/>
  <c r="B7" i="7"/>
  <c r="AB7" i="7" s="1"/>
  <c r="AB6" i="7"/>
  <c r="Z6" i="7"/>
  <c r="W6" i="7"/>
  <c r="V6" i="7"/>
  <c r="S6" i="7"/>
  <c r="N6" i="7"/>
  <c r="K6" i="7"/>
  <c r="I6" i="7"/>
  <c r="H6" i="7"/>
  <c r="F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V3" i="7"/>
  <c r="U3" i="7"/>
  <c r="T3" i="7"/>
  <c r="S3" i="7"/>
  <c r="P3" i="7"/>
  <c r="L3" i="7"/>
  <c r="K3" i="7"/>
  <c r="J3" i="7"/>
  <c r="G3" i="7"/>
  <c r="B3" i="7"/>
  <c r="Z2" i="7"/>
  <c r="R2" i="7"/>
  <c r="Q2" i="7"/>
  <c r="P2" i="7"/>
  <c r="K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AA17" i="6"/>
  <c r="Z17" i="6"/>
  <c r="X17" i="6"/>
  <c r="V17" i="6"/>
  <c r="U17" i="6"/>
  <c r="S17" i="6"/>
  <c r="R17" i="6"/>
  <c r="Q17" i="6"/>
  <c r="P17" i="6"/>
  <c r="O17" i="6"/>
  <c r="L17" i="6"/>
  <c r="K17" i="6"/>
  <c r="J17" i="6"/>
  <c r="H17" i="6"/>
  <c r="G17" i="6"/>
  <c r="F17" i="6"/>
  <c r="E17" i="6"/>
  <c r="D17" i="6"/>
  <c r="C17" i="6"/>
  <c r="B17" i="6"/>
  <c r="E16" i="6"/>
  <c r="D16" i="6"/>
  <c r="C16" i="6"/>
  <c r="B16" i="6"/>
  <c r="Z15" i="6"/>
  <c r="Y15" i="6"/>
  <c r="W15" i="6"/>
  <c r="V15" i="6"/>
  <c r="U15" i="6"/>
  <c r="T15" i="6"/>
  <c r="P15" i="6"/>
  <c r="O15" i="6"/>
  <c r="N15" i="6"/>
  <c r="M15" i="6"/>
  <c r="L15" i="6"/>
  <c r="K15" i="6"/>
  <c r="J15" i="6"/>
  <c r="H15" i="6"/>
  <c r="F15" i="6"/>
  <c r="E15" i="6"/>
  <c r="C15" i="6"/>
  <c r="B15" i="6"/>
  <c r="AB14" i="6"/>
  <c r="Y14" i="6"/>
  <c r="X14" i="6"/>
  <c r="W14" i="6"/>
  <c r="T14" i="6"/>
  <c r="O14" i="6"/>
  <c r="N14" i="6"/>
  <c r="M14" i="6"/>
  <c r="L14" i="6"/>
  <c r="K14" i="6"/>
  <c r="D14" i="6"/>
  <c r="B14" i="6"/>
  <c r="AA14" i="6" s="1"/>
  <c r="V13" i="6"/>
  <c r="S13" i="6"/>
  <c r="R13" i="6"/>
  <c r="Q13" i="6"/>
  <c r="P13" i="6"/>
  <c r="B13" i="6"/>
  <c r="S12" i="6"/>
  <c r="N12" i="6"/>
  <c r="K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H8" i="6"/>
  <c r="G8" i="6"/>
  <c r="D8" i="6"/>
  <c r="C8" i="6"/>
  <c r="B8" i="6"/>
  <c r="B7" i="6"/>
  <c r="J7" i="6" s="1"/>
  <c r="AB6" i="6"/>
  <c r="AA6" i="6"/>
  <c r="P6" i="6"/>
  <c r="O6" i="6"/>
  <c r="N6" i="6"/>
  <c r="M6" i="6"/>
  <c r="L6" i="6"/>
  <c r="K6" i="6"/>
  <c r="J6" i="6"/>
  <c r="I6" i="6"/>
  <c r="B6" i="6"/>
  <c r="E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B3" i="6"/>
  <c r="AA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U17" i="5"/>
  <c r="T17" i="5"/>
  <c r="S17" i="5"/>
  <c r="R17" i="5"/>
  <c r="Q17" i="5"/>
  <c r="P17" i="5"/>
  <c r="K17" i="5"/>
  <c r="J17" i="5"/>
  <c r="D17" i="5"/>
  <c r="B17" i="5"/>
  <c r="B16" i="5"/>
  <c r="AA15" i="5"/>
  <c r="Z15" i="5"/>
  <c r="Y15" i="5"/>
  <c r="W15" i="5"/>
  <c r="P15" i="5"/>
  <c r="O15" i="5"/>
  <c r="N15" i="5"/>
  <c r="M15" i="5"/>
  <c r="B15" i="5"/>
  <c r="D15" i="5" s="1"/>
  <c r="AB14" i="5"/>
  <c r="Z14" i="5"/>
  <c r="Y14" i="5"/>
  <c r="B14" i="5"/>
  <c r="Y13" i="5"/>
  <c r="X13" i="5"/>
  <c r="R13" i="5"/>
  <c r="M13" i="5"/>
  <c r="K13" i="5"/>
  <c r="G13" i="5"/>
  <c r="F13" i="5"/>
  <c r="D13" i="5"/>
  <c r="B13" i="5"/>
  <c r="AB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B7" i="5"/>
  <c r="X6" i="5"/>
  <c r="K6" i="5"/>
  <c r="I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N3" i="5"/>
  <c r="B3" i="5"/>
  <c r="C2" i="5"/>
  <c r="B2" i="5"/>
  <c r="F2" i="5" s="1"/>
  <c r="B2" i="1"/>
  <c r="U3" i="6" l="1"/>
  <c r="P3" i="6"/>
  <c r="Y3" i="6"/>
  <c r="X3" i="6"/>
  <c r="W3" i="6"/>
  <c r="V3" i="6"/>
  <c r="K3" i="6"/>
  <c r="F3" i="6"/>
  <c r="C3" i="6"/>
  <c r="X2" i="15"/>
  <c r="N2" i="15"/>
  <c r="M2" i="15"/>
  <c r="K2" i="15"/>
  <c r="H2" i="15"/>
  <c r="E2" i="15"/>
  <c r="AB2" i="15"/>
  <c r="C2" i="15"/>
  <c r="V2" i="15"/>
  <c r="U2" i="15"/>
  <c r="O2" i="15"/>
  <c r="Z2" i="15"/>
  <c r="Y2" i="15"/>
  <c r="S2" i="15"/>
  <c r="R2" i="15"/>
  <c r="Q2" i="15"/>
  <c r="P2" i="15"/>
  <c r="L2" i="15"/>
  <c r="J2" i="15"/>
  <c r="I2" i="15"/>
  <c r="G2" i="15"/>
  <c r="F2" i="15"/>
  <c r="C3" i="9"/>
  <c r="O12" i="9"/>
  <c r="J12" i="9"/>
  <c r="H12" i="9"/>
  <c r="E12" i="9"/>
  <c r="D12" i="9"/>
  <c r="AB12" i="9"/>
  <c r="AA12" i="9"/>
  <c r="Z12" i="9"/>
  <c r="Y12" i="9"/>
  <c r="D2" i="15"/>
  <c r="G3" i="9"/>
  <c r="C12" i="9"/>
  <c r="W6" i="12"/>
  <c r="F6" i="12"/>
  <c r="AA2" i="15"/>
  <c r="W3" i="5"/>
  <c r="V3" i="5"/>
  <c r="U3" i="5"/>
  <c r="S3" i="5"/>
  <c r="T3" i="5"/>
  <c r="L3" i="5"/>
  <c r="M3" i="5"/>
  <c r="S12" i="9"/>
  <c r="Z17" i="9"/>
  <c r="P17" i="9"/>
  <c r="K17" i="9"/>
  <c r="U17" i="9"/>
  <c r="T17" i="9"/>
  <c r="R17" i="9"/>
  <c r="S17" i="9"/>
  <c r="Q17" i="9"/>
  <c r="O17" i="9"/>
  <c r="M17" i="9"/>
  <c r="J17" i="9"/>
  <c r="G17" i="9"/>
  <c r="L3" i="6"/>
  <c r="D15" i="18"/>
  <c r="C15" i="18"/>
  <c r="AB15" i="18"/>
  <c r="AA15" i="18"/>
  <c r="Y15" i="18"/>
  <c r="X15" i="18"/>
  <c r="W15" i="18"/>
  <c r="S15" i="18"/>
  <c r="M15" i="18"/>
  <c r="K15" i="18"/>
  <c r="J15" i="18"/>
  <c r="E15" i="18"/>
  <c r="Z15" i="18"/>
  <c r="Q15" i="18"/>
  <c r="M3" i="6"/>
  <c r="X12" i="9"/>
  <c r="U12" i="15"/>
  <c r="R12" i="15"/>
  <c r="Q12" i="15"/>
  <c r="O12" i="15"/>
  <c r="L12" i="15"/>
  <c r="I12" i="15"/>
  <c r="G12" i="15"/>
  <c r="AA12" i="15"/>
  <c r="Z12" i="15"/>
  <c r="S12" i="15"/>
  <c r="X12" i="15"/>
  <c r="W12" i="15"/>
  <c r="V12" i="15"/>
  <c r="T12" i="15"/>
  <c r="P12" i="15"/>
  <c r="N12" i="15"/>
  <c r="M12" i="15"/>
  <c r="K12" i="15"/>
  <c r="J12" i="15"/>
  <c r="H12" i="15"/>
  <c r="D12" i="15"/>
  <c r="C12" i="8"/>
  <c r="AB12" i="8"/>
  <c r="AA12" i="8"/>
  <c r="Z12" i="8"/>
  <c r="Y12" i="8"/>
  <c r="T12" i="8"/>
  <c r="Q12" i="8"/>
  <c r="S12" i="8"/>
  <c r="R12" i="8"/>
  <c r="O12" i="8"/>
  <c r="N12" i="8"/>
  <c r="H12" i="8"/>
  <c r="E12" i="8"/>
  <c r="D12" i="8"/>
  <c r="AA17" i="9"/>
  <c r="C12" i="15"/>
  <c r="Q3" i="6"/>
  <c r="S3" i="6"/>
  <c r="P13" i="15"/>
  <c r="Q13" i="15"/>
  <c r="O13" i="15"/>
  <c r="M13" i="15"/>
  <c r="J13" i="15"/>
  <c r="G13" i="15"/>
  <c r="E13" i="15"/>
  <c r="AA13" i="15"/>
  <c r="Z13" i="15"/>
  <c r="R13" i="15"/>
  <c r="K13" i="15"/>
  <c r="D13" i="15"/>
  <c r="I13" i="15"/>
  <c r="H13" i="15"/>
  <c r="F13" i="15"/>
  <c r="C13" i="15"/>
  <c r="AB13" i="15"/>
  <c r="W13" i="15"/>
  <c r="V13" i="15"/>
  <c r="N13" i="15"/>
  <c r="L13" i="15"/>
  <c r="O3" i="6"/>
  <c r="X12" i="6"/>
  <c r="AB12" i="6"/>
  <c r="V12" i="6"/>
  <c r="W12" i="6"/>
  <c r="U12" i="6"/>
  <c r="T12" i="6"/>
  <c r="R12" i="6"/>
  <c r="P12" i="6"/>
  <c r="O12" i="6"/>
  <c r="L12" i="6"/>
  <c r="AA3" i="6"/>
  <c r="D12" i="6"/>
  <c r="V12" i="8"/>
  <c r="S13" i="15"/>
  <c r="AB6" i="5"/>
  <c r="W6" i="5"/>
  <c r="R6" i="5"/>
  <c r="M6" i="5"/>
  <c r="J6" i="5"/>
  <c r="E6" i="5"/>
  <c r="J12" i="6"/>
  <c r="AB12" i="7"/>
  <c r="W12" i="7"/>
  <c r="Y12" i="7"/>
  <c r="X12" i="7"/>
  <c r="P12" i="7"/>
  <c r="O12" i="7"/>
  <c r="N12" i="7"/>
  <c r="L12" i="7"/>
  <c r="K12" i="7"/>
  <c r="J12" i="7"/>
  <c r="H12" i="7"/>
  <c r="G12" i="7"/>
  <c r="W12" i="8"/>
  <c r="T13" i="15"/>
  <c r="Z14" i="7"/>
  <c r="F14" i="7"/>
  <c r="M14" i="7"/>
  <c r="L14" i="7"/>
  <c r="I14" i="7"/>
  <c r="J14" i="7"/>
  <c r="AB14" i="7"/>
  <c r="AA14" i="7"/>
  <c r="X14" i="7"/>
  <c r="V14" i="7"/>
  <c r="U14" i="7"/>
  <c r="T14" i="7"/>
  <c r="S14" i="7"/>
  <c r="D14" i="7"/>
  <c r="Z6" i="5"/>
  <c r="M12" i="7"/>
  <c r="N14" i="7"/>
  <c r="V14" i="12"/>
  <c r="L14" i="12"/>
  <c r="AB14" i="12"/>
  <c r="Y14" i="12"/>
  <c r="X14" i="12"/>
  <c r="W14" i="12"/>
  <c r="R14" i="12"/>
  <c r="Q14" i="12"/>
  <c r="K14" i="12"/>
  <c r="AB13" i="6"/>
  <c r="O13" i="6"/>
  <c r="N13" i="6"/>
  <c r="M13" i="6"/>
  <c r="K13" i="6"/>
  <c r="Y13" i="6"/>
  <c r="T13" i="6"/>
  <c r="R12" i="7"/>
  <c r="O14" i="7"/>
  <c r="Y7" i="9"/>
  <c r="G7" i="9"/>
  <c r="C7" i="9"/>
  <c r="P7" i="9"/>
  <c r="N7" i="9"/>
  <c r="L7" i="9"/>
  <c r="M7" i="9"/>
  <c r="J7" i="9"/>
  <c r="AB7" i="9"/>
  <c r="AA7" i="9"/>
  <c r="X7" i="9"/>
  <c r="W7" i="9"/>
  <c r="V7" i="9"/>
  <c r="U7" i="9"/>
  <c r="Q3" i="5"/>
  <c r="Y6" i="8"/>
  <c r="P6" i="8"/>
  <c r="F6" i="8"/>
  <c r="D7" i="5"/>
  <c r="AA7" i="5"/>
  <c r="Y7" i="5"/>
  <c r="X7" i="5"/>
  <c r="U7" i="5"/>
  <c r="V7" i="5"/>
  <c r="Y2" i="7"/>
  <c r="S2" i="7"/>
  <c r="O2" i="7"/>
  <c r="N2" i="7"/>
  <c r="L2" i="7"/>
  <c r="M2" i="7"/>
  <c r="I7" i="5"/>
  <c r="G13" i="6"/>
  <c r="G2" i="7"/>
  <c r="S12" i="7"/>
  <c r="Q14" i="7"/>
  <c r="D7" i="9"/>
  <c r="E6" i="8"/>
  <c r="Y12" i="6"/>
  <c r="T12" i="7"/>
  <c r="R14" i="7"/>
  <c r="S2" i="13"/>
  <c r="G2" i="13"/>
  <c r="D2" i="13"/>
  <c r="AB2" i="13"/>
  <c r="X2" i="13"/>
  <c r="U2" i="13"/>
  <c r="O2" i="13"/>
  <c r="J2" i="13"/>
  <c r="I2" i="13"/>
  <c r="E2" i="13"/>
  <c r="H2" i="13"/>
  <c r="F2" i="13"/>
  <c r="C2" i="13"/>
  <c r="Z2" i="13"/>
  <c r="Y2" i="13"/>
  <c r="V2" i="13"/>
  <c r="R2" i="13"/>
  <c r="Q2" i="13"/>
  <c r="M2" i="13"/>
  <c r="L2" i="13"/>
  <c r="O3" i="9"/>
  <c r="F3" i="9"/>
  <c r="AA3" i="9"/>
  <c r="Z3" i="9"/>
  <c r="Y3" i="9"/>
  <c r="S3" i="9"/>
  <c r="K3" i="9"/>
  <c r="H14" i="7"/>
  <c r="X15" i="5"/>
  <c r="V15" i="5"/>
  <c r="S15" i="5"/>
  <c r="U15" i="5"/>
  <c r="T15" i="5"/>
  <c r="Q15" i="5"/>
  <c r="R15" i="5"/>
  <c r="K15" i="5"/>
  <c r="J15" i="5"/>
  <c r="I15" i="5"/>
  <c r="G15" i="5"/>
  <c r="F15" i="5"/>
  <c r="E15" i="5"/>
  <c r="AB15" i="5"/>
  <c r="C15" i="5"/>
  <c r="N7" i="5"/>
  <c r="H15" i="5"/>
  <c r="H13" i="6"/>
  <c r="H2" i="7"/>
  <c r="Z7" i="5"/>
  <c r="L15" i="5"/>
  <c r="I13" i="6"/>
  <c r="I2" i="7"/>
  <c r="V12" i="7"/>
  <c r="Y14" i="7"/>
  <c r="I7" i="9"/>
  <c r="N2" i="13"/>
  <c r="P14" i="10"/>
  <c r="AB13" i="11"/>
  <c r="Y13" i="11"/>
  <c r="U13" i="11"/>
  <c r="Q13" i="11"/>
  <c r="J13" i="11"/>
  <c r="U14" i="11"/>
  <c r="J7" i="12"/>
  <c r="T13" i="13"/>
  <c r="U3" i="14"/>
  <c r="Q3" i="15"/>
  <c r="N8" i="15"/>
  <c r="N6" i="16"/>
  <c r="Z3" i="18"/>
  <c r="I3" i="18"/>
  <c r="H3" i="18"/>
  <c r="D3" i="18"/>
  <c r="Y3" i="18"/>
  <c r="S3" i="18"/>
  <c r="R3" i="18"/>
  <c r="Q3" i="18"/>
  <c r="N3" i="18"/>
  <c r="M3" i="18"/>
  <c r="K3" i="18"/>
  <c r="J3" i="18"/>
  <c r="Q14" i="10"/>
  <c r="K13" i="11"/>
  <c r="K7" i="12"/>
  <c r="V3" i="14"/>
  <c r="T3" i="15"/>
  <c r="X7" i="15"/>
  <c r="N7" i="15"/>
  <c r="M7" i="15"/>
  <c r="K7" i="15"/>
  <c r="H7" i="15"/>
  <c r="AB7" i="15"/>
  <c r="E7" i="15"/>
  <c r="Z7" i="15"/>
  <c r="C7" i="15"/>
  <c r="U7" i="15"/>
  <c r="T7" i="15"/>
  <c r="O7" i="15"/>
  <c r="O8" i="15"/>
  <c r="E6" i="17"/>
  <c r="C6" i="17"/>
  <c r="G6" i="17"/>
  <c r="E3" i="18"/>
  <c r="X3" i="7"/>
  <c r="F3" i="7"/>
  <c r="L3" i="8"/>
  <c r="K14" i="9"/>
  <c r="V14" i="10"/>
  <c r="W15" i="10"/>
  <c r="R13" i="11"/>
  <c r="W7" i="12"/>
  <c r="S7" i="13"/>
  <c r="AB12" i="13"/>
  <c r="X12" i="13"/>
  <c r="U12" i="13"/>
  <c r="R12" i="13"/>
  <c r="M12" i="13"/>
  <c r="H12" i="13"/>
  <c r="D12" i="13"/>
  <c r="P6" i="14"/>
  <c r="Z3" i="15"/>
  <c r="G7" i="15"/>
  <c r="Y8" i="15"/>
  <c r="Q6" i="17"/>
  <c r="W3" i="18"/>
  <c r="G7" i="7"/>
  <c r="W7" i="7"/>
  <c r="S7" i="7"/>
  <c r="W2" i="10"/>
  <c r="D2" i="10"/>
  <c r="W14" i="10"/>
  <c r="V13" i="11"/>
  <c r="X7" i="12"/>
  <c r="I7" i="15"/>
  <c r="Z8" i="15"/>
  <c r="Y7" i="17"/>
  <c r="X7" i="17"/>
  <c r="V7" i="17"/>
  <c r="S7" i="17"/>
  <c r="R7" i="17"/>
  <c r="O7" i="17"/>
  <c r="K7" i="17"/>
  <c r="J7" i="17"/>
  <c r="F7" i="17"/>
  <c r="E7" i="17"/>
  <c r="D7" i="17"/>
  <c r="Z7" i="17"/>
  <c r="X8" i="7"/>
  <c r="U8" i="7"/>
  <c r="Q8" i="7"/>
  <c r="L14" i="9"/>
  <c r="Y17" i="5"/>
  <c r="V17" i="5"/>
  <c r="Z2" i="6"/>
  <c r="X15" i="6"/>
  <c r="G15" i="6"/>
  <c r="AA15" i="6"/>
  <c r="D15" i="6"/>
  <c r="AB15" i="6"/>
  <c r="H3" i="7"/>
  <c r="C7" i="7"/>
  <c r="C8" i="7"/>
  <c r="O13" i="7"/>
  <c r="T15" i="7"/>
  <c r="J17" i="7"/>
  <c r="O3" i="8"/>
  <c r="K7" i="8"/>
  <c r="K14" i="8"/>
  <c r="M14" i="9"/>
  <c r="C2" i="10"/>
  <c r="Y14" i="10"/>
  <c r="X13" i="11"/>
  <c r="Y3" i="12"/>
  <c r="P3" i="12"/>
  <c r="M3" i="12"/>
  <c r="I3" i="12"/>
  <c r="Z7" i="12"/>
  <c r="J7" i="15"/>
  <c r="V17" i="16"/>
  <c r="U17" i="16"/>
  <c r="J17" i="16"/>
  <c r="D17" i="16"/>
  <c r="C17" i="16"/>
  <c r="Y17" i="16"/>
  <c r="G7" i="17"/>
  <c r="U14" i="6"/>
  <c r="I14" i="6"/>
  <c r="E14" i="6"/>
  <c r="D7" i="7"/>
  <c r="D8" i="7"/>
  <c r="N14" i="9"/>
  <c r="E2" i="10"/>
  <c r="Z14" i="10"/>
  <c r="Z13" i="11"/>
  <c r="L7" i="15"/>
  <c r="N14" i="15"/>
  <c r="E14" i="15"/>
  <c r="G17" i="16"/>
  <c r="H7" i="17"/>
  <c r="AA7" i="19"/>
  <c r="U7" i="19"/>
  <c r="R7" i="19"/>
  <c r="M7" i="19"/>
  <c r="H7" i="19"/>
  <c r="G7" i="19"/>
  <c r="F7" i="19"/>
  <c r="C7" i="19"/>
  <c r="AB2" i="6"/>
  <c r="C14" i="6"/>
  <c r="E7" i="7"/>
  <c r="E8" i="7"/>
  <c r="S13" i="9"/>
  <c r="D13" i="9"/>
  <c r="P14" i="9"/>
  <c r="F2" i="10"/>
  <c r="AA13" i="11"/>
  <c r="J8" i="12"/>
  <c r="G8" i="12"/>
  <c r="C8" i="12"/>
  <c r="Z8" i="12"/>
  <c r="V8" i="12"/>
  <c r="P7" i="15"/>
  <c r="D14" i="15"/>
  <c r="H17" i="16"/>
  <c r="P7" i="17"/>
  <c r="L7" i="19"/>
  <c r="S14" i="11"/>
  <c r="E14" i="11"/>
  <c r="AA14" i="11"/>
  <c r="V14" i="11"/>
  <c r="R14" i="11"/>
  <c r="P14" i="11"/>
  <c r="L14" i="11"/>
  <c r="T7" i="17"/>
  <c r="X14" i="10"/>
  <c r="U14" i="10"/>
  <c r="R14" i="10"/>
  <c r="O14" i="10"/>
  <c r="AB14" i="10"/>
  <c r="AA3" i="13"/>
  <c r="I3" i="13"/>
  <c r="D3" i="13"/>
  <c r="V3" i="13"/>
  <c r="D2" i="5"/>
  <c r="H13" i="5"/>
  <c r="L17" i="5"/>
  <c r="H7" i="7"/>
  <c r="W8" i="9"/>
  <c r="I8" i="9"/>
  <c r="E8" i="9"/>
  <c r="M13" i="9"/>
  <c r="S14" i="9"/>
  <c r="H2" i="10"/>
  <c r="C14" i="10"/>
  <c r="X15" i="10"/>
  <c r="R15" i="10"/>
  <c r="O15" i="10"/>
  <c r="L15" i="10"/>
  <c r="E12" i="11"/>
  <c r="C14" i="11"/>
  <c r="F8" i="12"/>
  <c r="C3" i="13"/>
  <c r="AB6" i="13"/>
  <c r="G6" i="13"/>
  <c r="Z6" i="13"/>
  <c r="R7" i="15"/>
  <c r="O14" i="15"/>
  <c r="AB12" i="16"/>
  <c r="W12" i="16"/>
  <c r="K12" i="16"/>
  <c r="C12" i="16"/>
  <c r="Z17" i="16"/>
  <c r="U7" i="17"/>
  <c r="F14" i="6"/>
  <c r="M3" i="7"/>
  <c r="G8" i="7"/>
  <c r="V3" i="8"/>
  <c r="Q7" i="8"/>
  <c r="E2" i="5"/>
  <c r="I13" i="5"/>
  <c r="O17" i="5"/>
  <c r="AB8" i="6"/>
  <c r="I8" i="6"/>
  <c r="E8" i="6"/>
  <c r="H14" i="6"/>
  <c r="I15" i="6"/>
  <c r="N17" i="6"/>
  <c r="W17" i="6"/>
  <c r="T17" i="6"/>
  <c r="N3" i="7"/>
  <c r="I7" i="7"/>
  <c r="H8" i="7"/>
  <c r="W3" i="8"/>
  <c r="S7" i="8"/>
  <c r="P14" i="8"/>
  <c r="C8" i="9"/>
  <c r="Q13" i="9"/>
  <c r="T14" i="9"/>
  <c r="J2" i="10"/>
  <c r="D14" i="10"/>
  <c r="C15" i="10"/>
  <c r="F14" i="11"/>
  <c r="L3" i="12"/>
  <c r="H8" i="12"/>
  <c r="X15" i="12"/>
  <c r="S15" i="12"/>
  <c r="P15" i="12"/>
  <c r="M15" i="12"/>
  <c r="J15" i="12"/>
  <c r="H15" i="12"/>
  <c r="AB15" i="12"/>
  <c r="D15" i="12"/>
  <c r="E3" i="13"/>
  <c r="H6" i="13"/>
  <c r="V12" i="13"/>
  <c r="S7" i="15"/>
  <c r="AB14" i="15"/>
  <c r="I12" i="16"/>
  <c r="AB17" i="16"/>
  <c r="W7" i="17"/>
  <c r="Q14" i="9"/>
  <c r="T12" i="11"/>
  <c r="M12" i="11"/>
  <c r="J12" i="11"/>
  <c r="F12" i="11"/>
  <c r="C12" i="11"/>
  <c r="J13" i="5"/>
  <c r="J14" i="6"/>
  <c r="O3" i="7"/>
  <c r="AA6" i="7"/>
  <c r="X6" i="7"/>
  <c r="U6" i="7"/>
  <c r="J7" i="7"/>
  <c r="I8" i="7"/>
  <c r="X15" i="7"/>
  <c r="F15" i="7"/>
  <c r="Z15" i="7"/>
  <c r="C15" i="7"/>
  <c r="AB15" i="7"/>
  <c r="T7" i="8"/>
  <c r="Q14" i="8"/>
  <c r="F8" i="9"/>
  <c r="W13" i="9"/>
  <c r="U14" i="9"/>
  <c r="K2" i="10"/>
  <c r="E14" i="10"/>
  <c r="D15" i="10"/>
  <c r="I12" i="11"/>
  <c r="G14" i="11"/>
  <c r="P17" i="11"/>
  <c r="J17" i="11"/>
  <c r="N3" i="12"/>
  <c r="I8" i="12"/>
  <c r="F3" i="13"/>
  <c r="J6" i="13"/>
  <c r="V7" i="15"/>
  <c r="X12" i="16"/>
  <c r="H14" i="11"/>
  <c r="J3" i="13"/>
  <c r="W13" i="13"/>
  <c r="G13" i="13"/>
  <c r="X13" i="13"/>
  <c r="U13" i="13"/>
  <c r="Q13" i="13"/>
  <c r="P13" i="13"/>
  <c r="P3" i="14"/>
  <c r="N3" i="14"/>
  <c r="L3" i="14"/>
  <c r="I3" i="14"/>
  <c r="E3" i="14"/>
  <c r="C3" i="14"/>
  <c r="Y3" i="14"/>
  <c r="X3" i="14"/>
  <c r="W7" i="15"/>
  <c r="Z2" i="17"/>
  <c r="W2" i="17"/>
  <c r="I2" i="17"/>
  <c r="G2" i="17"/>
  <c r="F2" i="17"/>
  <c r="AB13" i="14"/>
  <c r="R13" i="14"/>
  <c r="K13" i="14"/>
  <c r="E13" i="14"/>
  <c r="P12" i="11"/>
  <c r="K14" i="11"/>
  <c r="M3" i="13"/>
  <c r="N13" i="14"/>
  <c r="P3" i="15"/>
  <c r="M3" i="15"/>
  <c r="L3" i="15"/>
  <c r="J3" i="15"/>
  <c r="F3" i="15"/>
  <c r="C3" i="15"/>
  <c r="Y3" i="15"/>
  <c r="X3" i="15"/>
  <c r="N3" i="15"/>
  <c r="K8" i="15"/>
  <c r="J8" i="15"/>
  <c r="G8" i="15"/>
  <c r="D8" i="15"/>
  <c r="AA8" i="15"/>
  <c r="W8" i="15"/>
  <c r="T8" i="15"/>
  <c r="L8" i="15"/>
  <c r="Z6" i="16"/>
  <c r="V6" i="16"/>
  <c r="Q6" i="16"/>
  <c r="O6" i="16"/>
  <c r="M6" i="16"/>
  <c r="K6" i="16"/>
  <c r="G6" i="16"/>
  <c r="F6" i="16"/>
  <c r="J14" i="10"/>
  <c r="U12" i="11"/>
  <c r="N3" i="13"/>
  <c r="E7" i="12"/>
  <c r="AA7" i="12"/>
  <c r="Y7" i="12"/>
  <c r="S7" i="12"/>
  <c r="Q13" i="14"/>
  <c r="H8" i="8"/>
  <c r="AA6" i="10"/>
  <c r="O6" i="10"/>
  <c r="K14" i="10"/>
  <c r="K15" i="10"/>
  <c r="G2" i="11"/>
  <c r="X12" i="11"/>
  <c r="N14" i="11"/>
  <c r="D7" i="12"/>
  <c r="U8" i="12"/>
  <c r="P3" i="13"/>
  <c r="Y7" i="13"/>
  <c r="U7" i="13"/>
  <c r="N7" i="13"/>
  <c r="I7" i="13"/>
  <c r="F7" i="13"/>
  <c r="D7" i="13"/>
  <c r="N13" i="13"/>
  <c r="K3" i="14"/>
  <c r="U6" i="14"/>
  <c r="Z6" i="14"/>
  <c r="T6" i="14"/>
  <c r="Q6" i="14"/>
  <c r="O6" i="14"/>
  <c r="K6" i="14"/>
  <c r="J6" i="14"/>
  <c r="S13" i="14"/>
  <c r="E3" i="15"/>
  <c r="E8" i="15"/>
  <c r="H6" i="16"/>
  <c r="J3" i="8"/>
  <c r="Q3" i="8"/>
  <c r="N3" i="8"/>
  <c r="C14" i="9"/>
  <c r="AB14" i="9"/>
  <c r="V2" i="10"/>
  <c r="AB3" i="7"/>
  <c r="P6" i="7"/>
  <c r="R8" i="7"/>
  <c r="Z13" i="7"/>
  <c r="AB13" i="7"/>
  <c r="K15" i="7"/>
  <c r="C3" i="8"/>
  <c r="L8" i="8"/>
  <c r="P8" i="9"/>
  <c r="D14" i="9"/>
  <c r="X2" i="10"/>
  <c r="C6" i="10"/>
  <c r="G12" i="10"/>
  <c r="L14" i="10"/>
  <c r="M15" i="10"/>
  <c r="N2" i="11"/>
  <c r="Y12" i="11"/>
  <c r="O14" i="11"/>
  <c r="F7" i="12"/>
  <c r="W8" i="12"/>
  <c r="W3" i="13"/>
  <c r="C7" i="13"/>
  <c r="O13" i="13"/>
  <c r="M3" i="14"/>
  <c r="X13" i="14"/>
  <c r="G3" i="15"/>
  <c r="F8" i="15"/>
  <c r="I6" i="16"/>
  <c r="AB14" i="16"/>
  <c r="Y14" i="16"/>
  <c r="J14" i="16"/>
  <c r="Z13" i="5"/>
  <c r="W17" i="5"/>
  <c r="P14" i="6"/>
  <c r="Z3" i="7"/>
  <c r="O6" i="7"/>
  <c r="P7" i="7"/>
  <c r="P8" i="7"/>
  <c r="R7" i="7"/>
  <c r="L15" i="7"/>
  <c r="X14" i="8"/>
  <c r="AA14" i="8"/>
  <c r="D14" i="8"/>
  <c r="W14" i="8"/>
  <c r="Y2" i="10"/>
  <c r="E6" i="10"/>
  <c r="Z12" i="10"/>
  <c r="M14" i="10"/>
  <c r="N15" i="10"/>
  <c r="Q2" i="11"/>
  <c r="Z12" i="12"/>
  <c r="C12" i="12"/>
  <c r="AB3" i="13"/>
  <c r="R13" i="13"/>
  <c r="S3" i="14"/>
  <c r="I3" i="15"/>
  <c r="H8" i="15"/>
  <c r="J6" i="16"/>
  <c r="X17" i="18"/>
  <c r="V17" i="18"/>
  <c r="U17" i="18"/>
  <c r="S17" i="18"/>
  <c r="P17" i="18"/>
  <c r="O17" i="18"/>
  <c r="N17" i="18"/>
  <c r="M17" i="18"/>
  <c r="L17" i="18"/>
  <c r="J17" i="18"/>
  <c r="G17" i="18"/>
  <c r="E17" i="18"/>
  <c r="D17" i="18"/>
  <c r="C17" i="18"/>
  <c r="AB17" i="18"/>
  <c r="AA17" i="18"/>
  <c r="Y17" i="18"/>
  <c r="W17" i="18"/>
  <c r="X14" i="9"/>
  <c r="R14" i="9"/>
  <c r="O14" i="9"/>
  <c r="M14" i="11"/>
  <c r="D14" i="5"/>
  <c r="AA14" i="5"/>
  <c r="W14" i="5"/>
  <c r="X17" i="5"/>
  <c r="Q14" i="6"/>
  <c r="Q15" i="6"/>
  <c r="Q7" i="7"/>
  <c r="O14" i="5"/>
  <c r="R14" i="6"/>
  <c r="R15" i="6"/>
  <c r="Q6" i="7"/>
  <c r="T8" i="7"/>
  <c r="E13" i="7"/>
  <c r="AB17" i="7"/>
  <c r="U17" i="7"/>
  <c r="Q17" i="7"/>
  <c r="D3" i="8"/>
  <c r="M8" i="8"/>
  <c r="AB14" i="8"/>
  <c r="Q8" i="9"/>
  <c r="E14" i="9"/>
  <c r="Z12" i="11"/>
  <c r="Q14" i="11"/>
  <c r="G7" i="12"/>
  <c r="X8" i="12"/>
  <c r="V14" i="5"/>
  <c r="S14" i="6"/>
  <c r="S15" i="6"/>
  <c r="M17" i="6"/>
  <c r="R6" i="7"/>
  <c r="U7" i="7"/>
  <c r="V8" i="7"/>
  <c r="F13" i="7"/>
  <c r="M15" i="7"/>
  <c r="C17" i="7"/>
  <c r="O2" i="8"/>
  <c r="Q2" i="8"/>
  <c r="M2" i="8"/>
  <c r="E3" i="8"/>
  <c r="Q8" i="8"/>
  <c r="G13" i="8"/>
  <c r="AB13" i="8"/>
  <c r="C13" i="8"/>
  <c r="C14" i="8"/>
  <c r="R8" i="9"/>
  <c r="F14" i="9"/>
  <c r="M15" i="9"/>
  <c r="Z2" i="10"/>
  <c r="H6" i="10"/>
  <c r="AA12" i="10"/>
  <c r="N14" i="10"/>
  <c r="P15" i="10"/>
  <c r="AB12" i="11"/>
  <c r="T14" i="11"/>
  <c r="I7" i="12"/>
  <c r="Y8" i="12"/>
  <c r="H12" i="12"/>
  <c r="Q15" i="12"/>
  <c r="G7" i="13"/>
  <c r="S13" i="13"/>
  <c r="T3" i="14"/>
  <c r="G6" i="14"/>
  <c r="K3" i="15"/>
  <c r="M8" i="15"/>
  <c r="L6" i="16"/>
  <c r="F14" i="16"/>
  <c r="I17" i="18"/>
  <c r="Y15" i="14"/>
  <c r="P12" i="17"/>
  <c r="D2" i="18"/>
  <c r="AB8" i="18"/>
  <c r="Y12" i="18"/>
  <c r="H2" i="19"/>
  <c r="K3" i="19"/>
  <c r="N6" i="19"/>
  <c r="M8" i="19"/>
  <c r="C12" i="19"/>
  <c r="K13" i="19"/>
  <c r="T14" i="19"/>
  <c r="Q12" i="17"/>
  <c r="F2" i="18"/>
  <c r="C8" i="18"/>
  <c r="Z12" i="18"/>
  <c r="M2" i="19"/>
  <c r="M3" i="19"/>
  <c r="O6" i="19"/>
  <c r="N8" i="19"/>
  <c r="E12" i="19"/>
  <c r="L13" i="19"/>
  <c r="U14" i="19"/>
  <c r="G2" i="18"/>
  <c r="D8" i="18"/>
  <c r="N2" i="19"/>
  <c r="N3" i="19"/>
  <c r="R6" i="19"/>
  <c r="O8" i="19"/>
  <c r="F12" i="19"/>
  <c r="M13" i="19"/>
  <c r="V14" i="19"/>
  <c r="O2" i="19"/>
  <c r="P3" i="19"/>
  <c r="W6" i="19"/>
  <c r="P8" i="19"/>
  <c r="G12" i="19"/>
  <c r="O13" i="19"/>
  <c r="AB14" i="19"/>
  <c r="P13" i="19"/>
  <c r="R14" i="13"/>
  <c r="Q15" i="13"/>
  <c r="Y2" i="14"/>
  <c r="J7" i="14"/>
  <c r="G15" i="14"/>
  <c r="W6" i="15"/>
  <c r="AA15" i="15"/>
  <c r="U2" i="16"/>
  <c r="I7" i="16"/>
  <c r="H8" i="17"/>
  <c r="U12" i="17"/>
  <c r="H15" i="17"/>
  <c r="L17" i="17"/>
  <c r="L2" i="18"/>
  <c r="I6" i="18"/>
  <c r="G8" i="18"/>
  <c r="H13" i="18"/>
  <c r="R2" i="19"/>
  <c r="R3" i="19"/>
  <c r="R8" i="19"/>
  <c r="I12" i="19"/>
  <c r="Q13" i="19"/>
  <c r="C15" i="19"/>
  <c r="D8" i="13"/>
  <c r="K7" i="14"/>
  <c r="H15" i="14"/>
  <c r="X6" i="15"/>
  <c r="W2" i="16"/>
  <c r="J7" i="16"/>
  <c r="J8" i="17"/>
  <c r="V12" i="17"/>
  <c r="I15" i="17"/>
  <c r="M17" i="17"/>
  <c r="M2" i="18"/>
  <c r="J6" i="18"/>
  <c r="J8" i="18"/>
  <c r="P13" i="18"/>
  <c r="S2" i="19"/>
  <c r="S3" i="19"/>
  <c r="S8" i="19"/>
  <c r="J12" i="19"/>
  <c r="T13" i="19"/>
  <c r="E15" i="19"/>
  <c r="N8" i="17"/>
  <c r="W12" i="17"/>
  <c r="N15" i="17"/>
  <c r="O17" i="17"/>
  <c r="N2" i="18"/>
  <c r="K6" i="18"/>
  <c r="K8" i="18"/>
  <c r="U2" i="19"/>
  <c r="T3" i="19"/>
  <c r="T8" i="19"/>
  <c r="L12" i="19"/>
  <c r="V13" i="19"/>
  <c r="F15" i="19"/>
  <c r="V2" i="19"/>
  <c r="U3" i="19"/>
  <c r="V8" i="19"/>
  <c r="P12" i="19"/>
  <c r="W13" i="19"/>
  <c r="G15" i="19"/>
  <c r="I8" i="13"/>
  <c r="O7" i="14"/>
  <c r="L15" i="14"/>
  <c r="P7" i="16"/>
  <c r="Q8" i="17"/>
  <c r="AB12" i="17"/>
  <c r="U17" i="17"/>
  <c r="R2" i="18"/>
  <c r="Q6" i="18"/>
  <c r="O8" i="18"/>
  <c r="L14" i="18"/>
  <c r="X2" i="19"/>
  <c r="W3" i="19"/>
  <c r="Y8" i="19"/>
  <c r="R12" i="19"/>
  <c r="Z13" i="19"/>
  <c r="L15" i="19"/>
  <c r="C17" i="19"/>
  <c r="W17" i="17"/>
  <c r="S2" i="18"/>
  <c r="W6" i="18"/>
  <c r="P8" i="18"/>
  <c r="Q14" i="18"/>
  <c r="Z2" i="19"/>
  <c r="Y3" i="19"/>
  <c r="Z8" i="19"/>
  <c r="T12" i="19"/>
  <c r="AA13" i="19"/>
  <c r="M15" i="19"/>
  <c r="E17" i="19"/>
  <c r="R8" i="17"/>
  <c r="Z7" i="11"/>
  <c r="K8" i="13"/>
  <c r="Z15" i="13"/>
  <c r="R7" i="14"/>
  <c r="N15" i="14"/>
  <c r="E6" i="15"/>
  <c r="S7" i="16"/>
  <c r="S8" i="17"/>
  <c r="C12" i="17"/>
  <c r="C13" i="17"/>
  <c r="X17" i="17"/>
  <c r="U2" i="18"/>
  <c r="X6" i="18"/>
  <c r="R14" i="18"/>
  <c r="AB2" i="19"/>
  <c r="Z3" i="19"/>
  <c r="O15" i="19"/>
  <c r="F17" i="19"/>
  <c r="U14" i="18"/>
  <c r="AA3" i="19"/>
  <c r="AB8" i="19"/>
  <c r="V12" i="19"/>
  <c r="F14" i="19"/>
  <c r="P15" i="19"/>
  <c r="G17" i="19"/>
  <c r="U7" i="16"/>
  <c r="U8" i="17"/>
  <c r="E12" i="17"/>
  <c r="N13" i="17"/>
  <c r="Z17" i="17"/>
  <c r="X2" i="18"/>
  <c r="S8" i="18"/>
  <c r="V14" i="18"/>
  <c r="C3" i="19"/>
  <c r="AB3" i="19"/>
  <c r="C8" i="19"/>
  <c r="Y12" i="19"/>
  <c r="G14" i="19"/>
  <c r="Q15" i="19"/>
  <c r="M17" i="19"/>
  <c r="T8" i="13"/>
  <c r="E15" i="13"/>
  <c r="W7" i="14"/>
  <c r="Q15" i="14"/>
  <c r="K6" i="15"/>
  <c r="L17" i="15"/>
  <c r="V7" i="16"/>
  <c r="V8" i="17"/>
  <c r="F12" i="17"/>
  <c r="Q13" i="17"/>
  <c r="Y2" i="18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H7" i="11"/>
  <c r="E8" i="11"/>
  <c r="W8" i="13"/>
  <c r="H14" i="13"/>
  <c r="AB7" i="14"/>
  <c r="T15" i="14"/>
  <c r="N6" i="15"/>
  <c r="AB7" i="16"/>
  <c r="AA8" i="17"/>
  <c r="I12" i="17"/>
  <c r="U13" i="17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V15" i="14"/>
  <c r="M12" i="17"/>
  <c r="X13" i="17"/>
  <c r="C2" i="19"/>
  <c r="I3" i="19"/>
  <c r="H6" i="19"/>
  <c r="J8" i="19"/>
  <c r="E13" i="19"/>
  <c r="Q14" i="19"/>
  <c r="AA17" i="19"/>
  <c r="C7" i="14"/>
  <c r="W15" i="14"/>
  <c r="O12" i="17"/>
  <c r="F2" i="19"/>
  <c r="J3" i="19"/>
  <c r="J6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<sst xmlns="http://schemas.openxmlformats.org/spreadsheetml/2006/main" count="3113" uniqueCount="587">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</sst>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178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WV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1.0191058421899317E-2</v>
      </c>
      <c r="C2" s="7">
        <f>$B2 * IFERROR(VLOOKUP("transport|PM25|Premature mortality", US_national_yearly!$D:$AM, 11, FALSE) / VLOOKUP("transport|PM25|Premature mortality", US_national_yearly!$D:$AM, 10, FALSE), 1)</f>
        <v>1.0317405212767647E-2</v>
      </c>
      <c r="D2" s="7">
        <f>$B2 * IFERROR(VLOOKUP("transport|PM25|Premature mortality", US_national_yearly!$D:$AM, 12, FALSE) / VLOOKUP("transport|PM25|Premature mortality", US_national_yearly!$D:$AM, 10, FALSE), 1)</f>
        <v>1.0443752003635974E-2</v>
      </c>
      <c r="E2" s="7">
        <f>$B2 * IFERROR(VLOOKUP("transport|PM25|Premature mortality", US_national_yearly!$D:$AM, 13, FALSE) / VLOOKUP("transport|PM25|Premature mortality", US_national_yearly!$D:$AM, 10, FALSE), 1)</f>
        <v>1.0570098794504303E-2</v>
      </c>
      <c r="F2" s="7">
        <f>$B2 * IFERROR(VLOOKUP("transport|PM25|Premature mortality", US_national_yearly!$D:$AM, 14, FALSE) / VLOOKUP("transport|PM25|Premature mortality", US_national_yearly!$D:$AM, 10, FALSE), 1)</f>
        <v>1.0696445585372629E-2</v>
      </c>
      <c r="G2" s="7">
        <f>$B2 * IFERROR(VLOOKUP("transport|PM25|Premature mortality", US_national_yearly!$D:$AM, 15, FALSE) / VLOOKUP("transport|PM25|Premature mortality", US_national_yearly!$D:$AM, 10, FALSE), 1)</f>
        <v>1.0942505007703759E-2</v>
      </c>
      <c r="H2" s="7">
        <f>$B2 * IFERROR(VLOOKUP("transport|PM25|Premature mortality", US_national_yearly!$D:$AM, 16, FALSE) / VLOOKUP("transport|PM25|Premature mortality", US_national_yearly!$D:$AM, 10, FALSE), 1)</f>
        <v>1.1188564430034888E-2</v>
      </c>
      <c r="I2" s="7">
        <f>$B2 * IFERROR(VLOOKUP("transport|PM25|Premature mortality", US_national_yearly!$D:$AM, 17, FALSE) / VLOOKUP("transport|PM25|Premature mortality", US_national_yearly!$D:$AM, 10, FALSE), 1)</f>
        <v>1.135018661652668E-2</v>
      </c>
      <c r="J2" s="7">
        <f>$B2 * IFERROR(VLOOKUP("transport|PM25|Premature mortality", US_national_yearly!$D:$AM, 18, FALSE) / VLOOKUP("transport|PM25|Premature mortality", US_national_yearly!$D:$AM, 10, FALSE), 1)</f>
        <v>1.1511808803018478E-2</v>
      </c>
      <c r="K2" s="7">
        <f>$B2 * IFERROR(VLOOKUP("transport|PM25|Premature mortality", US_national_yearly!$D:$AM, 19, FALSE) / VLOOKUP("transport|PM25|Premature mortality", US_national_yearly!$D:$AM, 10, FALSE), 1)</f>
        <v>1.1673430989510273E-2</v>
      </c>
      <c r="L2" s="7">
        <f>$B2 * IFERROR(VLOOKUP("transport|PM25|Premature mortality", US_national_yearly!$D:$AM, 20, FALSE) / VLOOKUP("transport|PM25|Premature mortality", US_national_yearly!$D:$AM, 10, FALSE), 1)</f>
        <v>1.183505317600207E-2</v>
      </c>
      <c r="M2" s="7">
        <f>$B2 * IFERROR(VLOOKUP("transport|PM25|Premature mortality", US_national_yearly!$D:$AM, 21, FALSE) / VLOOKUP("transport|PM25|Premature mortality", US_national_yearly!$D:$AM, 10, FALSE), 1)</f>
        <v>1.1996675362493865E-2</v>
      </c>
      <c r="N2" s="7">
        <f>$B2 * IFERROR(VLOOKUP("transport|PM25|Premature mortality", US_national_yearly!$D:$AM, 22, FALSE) / VLOOKUP("transport|PM25|Premature mortality", US_national_yearly!$D:$AM, 10, FALSE), 1)</f>
        <v>1.2122164704015937E-2</v>
      </c>
      <c r="O2" s="7">
        <f>$B2 * IFERROR(VLOOKUP("transport|PM25|Premature mortality", US_national_yearly!$D:$AM, 23, FALSE) / VLOOKUP("transport|PM25|Premature mortality", US_national_yearly!$D:$AM, 10, FALSE), 1)</f>
        <v>1.2247654045538011E-2</v>
      </c>
      <c r="P2" s="7">
        <f>$B2 * IFERROR(VLOOKUP("transport|PM25|Premature mortality", US_national_yearly!$D:$AM, 24, FALSE) / VLOOKUP("transport|PM25|Premature mortality", US_national_yearly!$D:$AM, 10, FALSE), 1)</f>
        <v>1.2373143387060083E-2</v>
      </c>
      <c r="Q2" s="7">
        <f>$B2 * IFERROR(VLOOKUP("transport|PM25|Premature mortality", US_national_yearly!$D:$AM, 25, FALSE) / VLOOKUP("transport|PM25|Premature mortality", US_national_yearly!$D:$AM, 10, FALSE), 1)</f>
        <v>1.2498632728582156E-2</v>
      </c>
      <c r="R2" s="7">
        <f>$B2 * IFERROR(VLOOKUP("transport|PM25|Premature mortality", US_national_yearly!$D:$AM, 26, FALSE) / VLOOKUP("transport|PM25|Premature mortality", US_national_yearly!$D:$AM, 10, FALSE), 1)</f>
        <v>1.2624122070104229E-2</v>
      </c>
      <c r="S2" s="7">
        <f>$B2 * IFERROR(VLOOKUP("transport|PM25|Premature mortality", US_national_yearly!$D:$AM, 27, FALSE) / VLOOKUP("transport|PM25|Premature mortality", US_national_yearly!$D:$AM, 10, FALSE), 1)</f>
        <v>1.2690602594830017E-2</v>
      </c>
      <c r="T2" s="7">
        <f>$B2 * IFERROR(VLOOKUP("transport|PM25|Premature mortality", US_national_yearly!$D:$AM, 28, FALSE) / VLOOKUP("transport|PM25|Premature mortality", US_national_yearly!$D:$AM, 10, FALSE), 1)</f>
        <v>1.2757083119555802E-2</v>
      </c>
      <c r="U2" s="7">
        <f>$B2 * IFERROR(VLOOKUP("transport|PM25|Premature mortality", US_national_yearly!$D:$AM, 29, FALSE) / VLOOKUP("transport|PM25|Premature mortality", US_national_yearly!$D:$AM, 10, FALSE), 1)</f>
        <v>1.2823563644281588E-2</v>
      </c>
      <c r="V2" s="7">
        <f>$B2 * IFERROR(VLOOKUP("transport|PM25|Premature mortality", US_national_yearly!$D:$AM, 30, FALSE) / VLOOKUP("transport|PM25|Premature mortality", US_national_yearly!$D:$AM, 10, FALSE), 1)</f>
        <v>1.2890044169007372E-2</v>
      </c>
      <c r="W2" s="7">
        <f>$B2 * IFERROR(VLOOKUP("transport|PM25|Premature mortality", US_national_yearly!$D:$AM, 31, FALSE) / VLOOKUP("transport|PM25|Premature mortality", US_national_yearly!$D:$AM, 10, FALSE), 1)</f>
        <v>1.2956524693733158E-2</v>
      </c>
      <c r="X2" s="7">
        <f>$B2 * IFERROR(VLOOKUP("transport|PM25|Premature mortality", US_national_yearly!$D:$AM, 32, FALSE) / VLOOKUP("transport|PM25|Premature mortality", US_national_yearly!$D:$AM, 10, FALSE), 1)</f>
        <v>1.2968149327743945E-2</v>
      </c>
      <c r="Y2" s="7">
        <f>$B2 * IFERROR(VLOOKUP("transport|PM25|Premature mortality", US_national_yearly!$D:$AM, 33, FALSE) / VLOOKUP("transport|PM25|Premature mortality", US_national_yearly!$D:$AM, 10, FALSE), 1)</f>
        <v>1.2979773961754735E-2</v>
      </c>
      <c r="Z2" s="7">
        <f>$B2 * IFERROR(VLOOKUP("transport|PM25|Premature mortality", US_national_yearly!$D:$AM, 34, FALSE) / VLOOKUP("transport|PM25|Premature mortality", US_national_yearly!$D:$AM, 10, FALSE), 1)</f>
        <v>1.2991398595765523E-2</v>
      </c>
      <c r="AA2" s="7">
        <f>$B2 * IFERROR(VLOOKUP("transport|PM25|Premature mortality", US_national_yearly!$D:$AM, 35, FALSE) / VLOOKUP("transport|PM25|Premature mortality", US_national_yearly!$D:$AM, 10, FALSE), 1)</f>
        <v>1.3003023229776312E-2</v>
      </c>
      <c r="AB2" s="7">
        <f>$B2 * IFERROR(VLOOKUP("transport|PM25|Premature mortality", US_national_yearly!$D:$AM, 36, FALSE) / VLOOKUP("transport|PM25|Premature mortality", US_national_yearly!$D:$AM, 10, FALSE), 1)</f>
        <v>1.30146478637871E-2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1.8154954201389672E-5</v>
      </c>
      <c r="C3" s="7">
        <f>$B3 * IFERROR(VLOOKUP("transport|PM25|Infant mortality", US_national_yearly!$D:$AM, 11, FALSE) / VLOOKUP("transport|PM25|Infant mortality", US_national_yearly!$D:$AM, 10, FALSE), 1)</f>
        <v>1.7996659567267344E-5</v>
      </c>
      <c r="D3" s="7">
        <f>$B3 * IFERROR(VLOOKUP("transport|PM25|Infant mortality", US_national_yearly!$D:$AM, 12, FALSE) / VLOOKUP("transport|PM25|Infant mortality", US_national_yearly!$D:$AM, 10, FALSE), 1)</f>
        <v>1.7838364933145017E-5</v>
      </c>
      <c r="E3" s="7">
        <f>$B3 * IFERROR(VLOOKUP("transport|PM25|Infant mortality", US_national_yearly!$D:$AM, 13, FALSE) / VLOOKUP("transport|PM25|Infant mortality", US_national_yearly!$D:$AM, 10, FALSE), 1)</f>
        <v>1.7680070299022693E-5</v>
      </c>
      <c r="F3" s="7">
        <f>$B3 * IFERROR(VLOOKUP("transport|PM25|Infant mortality", US_national_yearly!$D:$AM, 14, FALSE) / VLOOKUP("transport|PM25|Infant mortality", US_national_yearly!$D:$AM, 10, FALSE), 1)</f>
        <v>1.7521775664900362E-5</v>
      </c>
      <c r="G3" s="7">
        <f>$B3 * IFERROR(VLOOKUP("transport|PM25|Infant mortality", US_national_yearly!$D:$AM, 15, FALSE) / VLOOKUP("transport|PM25|Infant mortality", US_national_yearly!$D:$AM, 10, FALSE), 1)</f>
        <v>1.165291809121312E-5</v>
      </c>
      <c r="H3" s="7">
        <f>$B3 * IFERROR(VLOOKUP("transport|PM25|Infant mortality", US_national_yearly!$D:$AM, 16, FALSE) / VLOOKUP("transport|PM25|Infant mortality", US_national_yearly!$D:$AM, 10, FALSE), 1)</f>
        <v>5.7840605175258754E-6</v>
      </c>
      <c r="I3" s="7">
        <f>$B3 * IFERROR(VLOOKUP("transport|PM25|Infant mortality", US_national_yearly!$D:$AM, 17, FALSE) / VLOOKUP("transport|PM25|Infant mortality", US_national_yearly!$D:$AM, 10, FALSE), 1)</f>
        <v>5.7462521276279318E-6</v>
      </c>
      <c r="J3" s="7">
        <f>$B3 * IFERROR(VLOOKUP("transport|PM25|Infant mortality", US_national_yearly!$D:$AM, 18, FALSE) / VLOOKUP("transport|PM25|Infant mortality", US_national_yearly!$D:$AM, 10, FALSE), 1)</f>
        <v>5.7084437377299882E-6</v>
      </c>
      <c r="K3" s="7">
        <f>$B3 * IFERROR(VLOOKUP("transport|PM25|Infant mortality", US_national_yearly!$D:$AM, 19, FALSE) / VLOOKUP("transport|PM25|Infant mortality", US_national_yearly!$D:$AM, 10, FALSE), 1)</f>
        <v>5.6706353478320438E-6</v>
      </c>
      <c r="L3" s="7">
        <f>$B3 * IFERROR(VLOOKUP("transport|PM25|Infant mortality", US_national_yearly!$D:$AM, 20, FALSE) / VLOOKUP("transport|PM25|Infant mortality", US_national_yearly!$D:$AM, 10, FALSE), 1)</f>
        <v>5.6328269579341011E-6</v>
      </c>
      <c r="M3" s="7">
        <f>$B3 * IFERROR(VLOOKUP("transport|PM25|Infant mortality", US_national_yearly!$D:$AM, 21, FALSE) / VLOOKUP("transport|PM25|Infant mortality", US_national_yearly!$D:$AM, 10, FALSE), 1)</f>
        <v>5.5950185680361584E-6</v>
      </c>
      <c r="N3" s="7">
        <f>$B3 * IFERROR(VLOOKUP("transport|PM25|Infant mortality", US_national_yearly!$D:$AM, 22, FALSE) / VLOOKUP("transport|PM25|Infant mortality", US_national_yearly!$D:$AM, 10, FALSE), 1)</f>
        <v>5.5712707133826839E-6</v>
      </c>
      <c r="O3" s="7">
        <f>$B3 * IFERROR(VLOOKUP("transport|PM25|Infant mortality", US_national_yearly!$D:$AM, 23, FALSE) / VLOOKUP("transport|PM25|Infant mortality", US_national_yearly!$D:$AM, 10, FALSE), 1)</f>
        <v>5.547522858729211E-6</v>
      </c>
      <c r="P3" s="7">
        <f>$B3 * IFERROR(VLOOKUP("transport|PM25|Infant mortality", US_national_yearly!$D:$AM, 24, FALSE) / VLOOKUP("transport|PM25|Infant mortality", US_national_yearly!$D:$AM, 10, FALSE), 1)</f>
        <v>5.5237750040757357E-6</v>
      </c>
      <c r="Q3" s="7">
        <f>$B3 * IFERROR(VLOOKUP("transport|PM25|Infant mortality", US_national_yearly!$D:$AM, 25, FALSE) / VLOOKUP("transport|PM25|Infant mortality", US_national_yearly!$D:$AM, 10, FALSE), 1)</f>
        <v>5.5000271494222628E-6</v>
      </c>
      <c r="R3" s="7">
        <f>$B3 * IFERROR(VLOOKUP("transport|PM25|Infant mortality", US_national_yearly!$D:$AM, 26, FALSE) / VLOOKUP("transport|PM25|Infant mortality", US_national_yearly!$D:$AM, 10, FALSE), 1)</f>
        <v>5.4762792947687883E-6</v>
      </c>
      <c r="S3" s="7">
        <f>$B3 * IFERROR(VLOOKUP("transport|PM25|Infant mortality", US_national_yearly!$D:$AM, 27, FALSE) / VLOOKUP("transport|PM25|Infant mortality", US_national_yearly!$D:$AM, 10, FALSE), 1)</f>
        <v>5.4466771083803807E-6</v>
      </c>
      <c r="T3" s="7">
        <f>$B3 * IFERROR(VLOOKUP("transport|PM25|Infant mortality", US_national_yearly!$D:$AM, 28, FALSE) / VLOOKUP("transport|PM25|Infant mortality", US_national_yearly!$D:$AM, 10, FALSE), 1)</f>
        <v>5.4170749219919723E-6</v>
      </c>
      <c r="U3" s="7">
        <f>$B3 * IFERROR(VLOOKUP("transport|PM25|Infant mortality", US_national_yearly!$D:$AM, 29, FALSE) / VLOOKUP("transport|PM25|Infant mortality", US_national_yearly!$D:$AM, 10, FALSE), 1)</f>
        <v>5.3874727356035647E-6</v>
      </c>
      <c r="V3" s="7">
        <f>$B3 * IFERROR(VLOOKUP("transport|PM25|Infant mortality", US_national_yearly!$D:$AM, 30, FALSE) / VLOOKUP("transport|PM25|Infant mortality", US_national_yearly!$D:$AM, 10, FALSE), 1)</f>
        <v>5.3578705492151571E-6</v>
      </c>
      <c r="W3" s="7">
        <f>$B3 * IFERROR(VLOOKUP("transport|PM25|Infant mortality", US_national_yearly!$D:$AM, 31, FALSE) / VLOOKUP("transport|PM25|Infant mortality", US_national_yearly!$D:$AM, 10, FALSE), 1)</f>
        <v>5.3282683628267487E-6</v>
      </c>
      <c r="X3" s="7">
        <f>$B3 * IFERROR(VLOOKUP("transport|PM25|Infant mortality", US_national_yearly!$D:$AM, 32, FALSE) / VLOOKUP("transport|PM25|Infant mortality", US_national_yearly!$D:$AM, 10, FALSE), 1)</f>
        <v>5.2963534852955522E-6</v>
      </c>
      <c r="Y3" s="7">
        <f>$B3 * IFERROR(VLOOKUP("transport|PM25|Infant mortality", US_national_yearly!$D:$AM, 33, FALSE) / VLOOKUP("transport|PM25|Infant mortality", US_national_yearly!$D:$AM, 10, FALSE), 1)</f>
        <v>5.264438607764354E-6</v>
      </c>
      <c r="Z3" s="7">
        <f>$B3 * IFERROR(VLOOKUP("transport|PM25|Infant mortality", US_national_yearly!$D:$AM, 34, FALSE) / VLOOKUP("transport|PM25|Infant mortality", US_national_yearly!$D:$AM, 10, FALSE), 1)</f>
        <v>5.2325237302331574E-6</v>
      </c>
      <c r="AA3" s="7">
        <f>$B3 * IFERROR(VLOOKUP("transport|PM25|Infant mortality", US_national_yearly!$D:$AM, 35, FALSE) / VLOOKUP("transport|PM25|Infant mortality", US_national_yearly!$D:$AM, 10, FALSE), 1)</f>
        <v>5.2006088527019609E-6</v>
      </c>
      <c r="AB3" s="7">
        <f>$B3 * IFERROR(VLOOKUP("transport|PM25|Infant mortality", US_national_yearly!$D:$AM, 36, FALSE) / VLOOKUP("transport|PM25|Infant mortality", US_national_yearly!$D:$AM, 10, FALSE), 1)</f>
        <v>5.1686939751707644E-6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1.8458567569400602E-2</v>
      </c>
      <c r="C6" s="7">
        <f>$B6 * IFERROR(VLOOKUP("transport|PM25|Asthma symptoms cough", US_national_yearly!$D:$AM, 11, FALSE) / VLOOKUP("transport|PM25|Asthma symptoms cough", US_national_yearly!$D:$AM, 10, FALSE), 1)</f>
        <v>1.8458567569400602E-2</v>
      </c>
      <c r="D6" s="7">
        <f>$B6 * IFERROR(VLOOKUP("transport|PM25|Asthma symptoms cough", US_national_yearly!$D:$AM, 12, FALSE) / VLOOKUP("transport|PM25|Asthma symptoms cough", US_national_yearly!$D:$AM, 10, FALSE), 1)</f>
        <v>1.8458567569400602E-2</v>
      </c>
      <c r="E6" s="7">
        <f>$B6 * IFERROR(VLOOKUP("transport|PM25|Asthma symptoms cough", US_national_yearly!$D:$AM, 13, FALSE) / VLOOKUP("transport|PM25|Asthma symptoms cough", US_national_yearly!$D:$AM, 10, FALSE), 1)</f>
        <v>1.8458567569400602E-2</v>
      </c>
      <c r="F6" s="7">
        <f>$B6 * IFERROR(VLOOKUP("transport|PM25|Asthma symptoms cough", US_national_yearly!$D:$AM, 14, FALSE) / VLOOKUP("transport|PM25|Asthma symptoms cough", US_national_yearly!$D:$AM, 10, FALSE), 1)</f>
        <v>1.8458567569400602E-2</v>
      </c>
      <c r="G6" s="7">
        <f>$B6 * IFERROR(VLOOKUP("transport|PM25|Asthma symptoms cough", US_national_yearly!$D:$AM, 15, FALSE) / VLOOKUP("transport|PM25|Asthma symptoms cough", US_national_yearly!$D:$AM, 10, FALSE), 1)</f>
        <v>1.8458567569400602E-2</v>
      </c>
      <c r="H6" s="7">
        <f>$B6 * IFERROR(VLOOKUP("transport|PM25|Asthma symptoms cough", US_national_yearly!$D:$AM, 16, FALSE) / VLOOKUP("transport|PM25|Asthma symptoms cough", US_national_yearly!$D:$AM, 10, FALSE), 1)</f>
        <v>1.8458567569400602E-2</v>
      </c>
      <c r="I6" s="7">
        <f>$B6 * IFERROR(VLOOKUP("transport|PM25|Asthma symptoms cough", US_national_yearly!$D:$AM, 17, FALSE) / VLOOKUP("transport|PM25|Asthma symptoms cough", US_national_yearly!$D:$AM, 10, FALSE), 1)</f>
        <v>1.8458567569400602E-2</v>
      </c>
      <c r="J6" s="7">
        <f>$B6 * IFERROR(VLOOKUP("transport|PM25|Asthma symptoms cough", US_national_yearly!$D:$AM, 18, FALSE) / VLOOKUP("transport|PM25|Asthma symptoms cough", US_national_yearly!$D:$AM, 10, FALSE), 1)</f>
        <v>1.8458567569400602E-2</v>
      </c>
      <c r="K6" s="7">
        <f>$B6 * IFERROR(VLOOKUP("transport|PM25|Asthma symptoms cough", US_national_yearly!$D:$AM, 19, FALSE) / VLOOKUP("transport|PM25|Asthma symptoms cough", US_national_yearly!$D:$AM, 10, FALSE), 1)</f>
        <v>1.8458567569400602E-2</v>
      </c>
      <c r="L6" s="7">
        <f>$B6 * IFERROR(VLOOKUP("transport|PM25|Asthma symptoms cough", US_national_yearly!$D:$AM, 20, FALSE) / VLOOKUP("transport|PM25|Asthma symptoms cough", US_national_yearly!$D:$AM, 10, FALSE), 1)</f>
        <v>1.8458567569400602E-2</v>
      </c>
      <c r="M6" s="7">
        <f>$B6 * IFERROR(VLOOKUP("transport|PM25|Asthma symptoms cough", US_national_yearly!$D:$AM, 21, FALSE) / VLOOKUP("transport|PM25|Asthma symptoms cough", US_national_yearly!$D:$AM, 10, FALSE), 1)</f>
        <v>1.8458567569400602E-2</v>
      </c>
      <c r="N6" s="7">
        <f>$B6 * IFERROR(VLOOKUP("transport|PM25|Asthma symptoms cough", US_national_yearly!$D:$AM, 22, FALSE) / VLOOKUP("transport|PM25|Asthma symptoms cough", US_national_yearly!$D:$AM, 10, FALSE), 1)</f>
        <v>1.8458567569400602E-2</v>
      </c>
      <c r="O6" s="7">
        <f>$B6 * IFERROR(VLOOKUP("transport|PM25|Asthma symptoms cough", US_national_yearly!$D:$AM, 23, FALSE) / VLOOKUP("transport|PM25|Asthma symptoms cough", US_national_yearly!$D:$AM, 10, FALSE), 1)</f>
        <v>1.8458567569400602E-2</v>
      </c>
      <c r="P6" s="7">
        <f>$B6 * IFERROR(VLOOKUP("transport|PM25|Asthma symptoms cough", US_national_yearly!$D:$AM, 24, FALSE) / VLOOKUP("transport|PM25|Asthma symptoms cough", US_national_yearly!$D:$AM, 10, FALSE), 1)</f>
        <v>1.8458567569400602E-2</v>
      </c>
      <c r="Q6" s="7">
        <f>$B6 * IFERROR(VLOOKUP("transport|PM25|Asthma symptoms cough", US_national_yearly!$D:$AM, 25, FALSE) / VLOOKUP("transport|PM25|Asthma symptoms cough", US_national_yearly!$D:$AM, 10, FALSE), 1)</f>
        <v>1.8458567569400602E-2</v>
      </c>
      <c r="R6" s="7">
        <f>$B6 * IFERROR(VLOOKUP("transport|PM25|Asthma symptoms cough", US_national_yearly!$D:$AM, 26, FALSE) / VLOOKUP("transport|PM25|Asthma symptoms cough", US_national_yearly!$D:$AM, 10, FALSE), 1)</f>
        <v>1.8458567569400602E-2</v>
      </c>
      <c r="S6" s="7">
        <f>$B6 * IFERROR(VLOOKUP("transport|PM25|Asthma symptoms cough", US_national_yearly!$D:$AM, 27, FALSE) / VLOOKUP("transport|PM25|Asthma symptoms cough", US_national_yearly!$D:$AM, 10, FALSE), 1)</f>
        <v>1.8458567569400602E-2</v>
      </c>
      <c r="T6" s="7">
        <f>$B6 * IFERROR(VLOOKUP("transport|PM25|Asthma symptoms cough", US_national_yearly!$D:$AM, 28, FALSE) / VLOOKUP("transport|PM25|Asthma symptoms cough", US_national_yearly!$D:$AM, 10, FALSE), 1)</f>
        <v>1.8458567569400602E-2</v>
      </c>
      <c r="U6" s="7">
        <f>$B6 * IFERROR(VLOOKUP("transport|PM25|Asthma symptoms cough", US_national_yearly!$D:$AM, 29, FALSE) / VLOOKUP("transport|PM25|Asthma symptoms cough", US_national_yearly!$D:$AM, 10, FALSE), 1)</f>
        <v>1.8458567569400602E-2</v>
      </c>
      <c r="V6" s="7">
        <f>$B6 * IFERROR(VLOOKUP("transport|PM25|Asthma symptoms cough", US_national_yearly!$D:$AM, 30, FALSE) / VLOOKUP("transport|PM25|Asthma symptoms cough", US_national_yearly!$D:$AM, 10, FALSE), 1)</f>
        <v>1.8458567569400602E-2</v>
      </c>
      <c r="W6" s="7">
        <f>$B6 * IFERROR(VLOOKUP("transport|PM25|Asthma symptoms cough", US_national_yearly!$D:$AM, 31, FALSE) / VLOOKUP("transport|PM25|Asthma symptoms cough", US_national_yearly!$D:$AM, 10, FALSE), 1)</f>
        <v>1.8458567569400602E-2</v>
      </c>
      <c r="X6" s="7">
        <f>$B6 * IFERROR(VLOOKUP("transport|PM25|Asthma symptoms cough", US_national_yearly!$D:$AM, 32, FALSE) / VLOOKUP("transport|PM25|Asthma symptoms cough", US_national_yearly!$D:$AM, 10, FALSE), 1)</f>
        <v>1.8458567569400602E-2</v>
      </c>
      <c r="Y6" s="7">
        <f>$B6 * IFERROR(VLOOKUP("transport|PM25|Asthma symptoms cough", US_national_yearly!$D:$AM, 33, FALSE) / VLOOKUP("transport|PM25|Asthma symptoms cough", US_national_yearly!$D:$AM, 10, FALSE), 1)</f>
        <v>1.8458567569400602E-2</v>
      </c>
      <c r="Z6" s="7">
        <f>$B6 * IFERROR(VLOOKUP("transport|PM25|Asthma symptoms cough", US_national_yearly!$D:$AM, 34, FALSE) / VLOOKUP("transport|PM25|Asthma symptoms cough", US_national_yearly!$D:$AM, 10, FALSE), 1)</f>
        <v>1.8458567569400602E-2</v>
      </c>
      <c r="AA6" s="7">
        <f>$B6 * IFERROR(VLOOKUP("transport|PM25|Asthma symptoms cough", US_national_yearly!$D:$AM, 35, FALSE) / VLOOKUP("transport|PM25|Asthma symptoms cough", US_national_yearly!$D:$AM, 10, FALSE), 1)</f>
        <v>1.8458567569400602E-2</v>
      </c>
      <c r="AB6" s="7">
        <f>$B6 * IFERROR(VLOOKUP("transport|PM25|Asthma symptoms cough", US_national_yearly!$D:$AM, 36, FALSE) / VLOOKUP("transport|PM25|Asthma symptoms cough", US_national_yearly!$D:$AM, 10, FALSE), 1)</f>
        <v>1.8458567569400602E-2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2.4857023664931963E-2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2.4857023664931963E-2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2.4857023664931963E-2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2.4857023664931963E-2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2.4857023664931963E-2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2.4857023664931963E-2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2.4857023664931963E-2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2.4857023664931963E-2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2.4857023664931963E-2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2.4857023664931963E-2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2.4857023664931963E-2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2.4857023664931963E-2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2.4857023664931963E-2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2.4857023664931963E-2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2.4857023664931963E-2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2.4857023664931963E-2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2.4857023664931963E-2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2.4857023664931963E-2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2.4857023664931963E-2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2.4857023664931963E-2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2.4857023664931963E-2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2.4857023664931963E-2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2.4857023664931963E-2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2.4857023664931963E-2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2.4857023664931963E-2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2.4857023664931963E-2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2.4857023664931963E-2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3.797773321700431E-2</v>
      </c>
      <c r="C8" s="7">
        <f>$B8 * IFERROR(VLOOKUP("transport|PM25|Asthma symptoms wheeze", US_national_yearly!$D:$AM, 11, FALSE) / VLOOKUP("transport|PM25|Asthma symptoms wheeze", US_national_yearly!$D:$AM, 10, FALSE), 1)</f>
        <v>3.797773321700431E-2</v>
      </c>
      <c r="D8" s="7">
        <f>$B8 * IFERROR(VLOOKUP("transport|PM25|Asthma symptoms wheeze", US_national_yearly!$D:$AM, 12, FALSE) / VLOOKUP("transport|PM25|Asthma symptoms wheeze", US_national_yearly!$D:$AM, 10, FALSE), 1)</f>
        <v>3.797773321700431E-2</v>
      </c>
      <c r="E8" s="7">
        <f>$B8 * IFERROR(VLOOKUP("transport|PM25|Asthma symptoms wheeze", US_national_yearly!$D:$AM, 13, FALSE) / VLOOKUP("transport|PM25|Asthma symptoms wheeze", US_national_yearly!$D:$AM, 10, FALSE), 1)</f>
        <v>3.797773321700431E-2</v>
      </c>
      <c r="F8" s="7">
        <f>$B8 * IFERROR(VLOOKUP("transport|PM25|Asthma symptoms wheeze", US_national_yearly!$D:$AM, 14, FALSE) / VLOOKUP("transport|PM25|Asthma symptoms wheeze", US_national_yearly!$D:$AM, 10, FALSE), 1)</f>
        <v>3.797773321700431E-2</v>
      </c>
      <c r="G8" s="7">
        <f>$B8 * IFERROR(VLOOKUP("transport|PM25|Asthma symptoms wheeze", US_national_yearly!$D:$AM, 15, FALSE) / VLOOKUP("transport|PM25|Asthma symptoms wheeze", US_national_yearly!$D:$AM, 10, FALSE), 1)</f>
        <v>3.797773321700431E-2</v>
      </c>
      <c r="H8" s="7">
        <f>$B8 * IFERROR(VLOOKUP("transport|PM25|Asthma symptoms wheeze", US_national_yearly!$D:$AM, 16, FALSE) / VLOOKUP("transport|PM25|Asthma symptoms wheeze", US_national_yearly!$D:$AM, 10, FALSE), 1)</f>
        <v>3.797773321700431E-2</v>
      </c>
      <c r="I8" s="7">
        <f>$B8 * IFERROR(VLOOKUP("transport|PM25|Asthma symptoms wheeze", US_national_yearly!$D:$AM, 17, FALSE) / VLOOKUP("transport|PM25|Asthma symptoms wheeze", US_national_yearly!$D:$AM, 10, FALSE), 1)</f>
        <v>3.797773321700431E-2</v>
      </c>
      <c r="J8" s="7">
        <f>$B8 * IFERROR(VLOOKUP("transport|PM25|Asthma symptoms wheeze", US_national_yearly!$D:$AM, 18, FALSE) / VLOOKUP("transport|PM25|Asthma symptoms wheeze", US_national_yearly!$D:$AM, 10, FALSE), 1)</f>
        <v>3.797773321700431E-2</v>
      </c>
      <c r="K8" s="7">
        <f>$B8 * IFERROR(VLOOKUP("transport|PM25|Asthma symptoms wheeze", US_national_yearly!$D:$AM, 19, FALSE) / VLOOKUP("transport|PM25|Asthma symptoms wheeze", US_national_yearly!$D:$AM, 10, FALSE), 1)</f>
        <v>3.797773321700431E-2</v>
      </c>
      <c r="L8" s="7">
        <f>$B8 * IFERROR(VLOOKUP("transport|PM25|Asthma symptoms wheeze", US_national_yearly!$D:$AM, 20, FALSE) / VLOOKUP("transport|PM25|Asthma symptoms wheeze", US_national_yearly!$D:$AM, 10, FALSE), 1)</f>
        <v>3.797773321700431E-2</v>
      </c>
      <c r="M8" s="7">
        <f>$B8 * IFERROR(VLOOKUP("transport|PM25|Asthma symptoms wheeze", US_national_yearly!$D:$AM, 21, FALSE) / VLOOKUP("transport|PM25|Asthma symptoms wheeze", US_national_yearly!$D:$AM, 10, FALSE), 1)</f>
        <v>3.797773321700431E-2</v>
      </c>
      <c r="N8" s="7">
        <f>$B8 * IFERROR(VLOOKUP("transport|PM25|Asthma symptoms wheeze", US_national_yearly!$D:$AM, 22, FALSE) / VLOOKUP("transport|PM25|Asthma symptoms wheeze", US_national_yearly!$D:$AM, 10, FALSE), 1)</f>
        <v>3.797773321700431E-2</v>
      </c>
      <c r="O8" s="7">
        <f>$B8 * IFERROR(VLOOKUP("transport|PM25|Asthma symptoms wheeze", US_national_yearly!$D:$AM, 23, FALSE) / VLOOKUP("transport|PM25|Asthma symptoms wheeze", US_national_yearly!$D:$AM, 10, FALSE), 1)</f>
        <v>3.797773321700431E-2</v>
      </c>
      <c r="P8" s="7">
        <f>$B8 * IFERROR(VLOOKUP("transport|PM25|Asthma symptoms wheeze", US_national_yearly!$D:$AM, 24, FALSE) / VLOOKUP("transport|PM25|Asthma symptoms wheeze", US_national_yearly!$D:$AM, 10, FALSE), 1)</f>
        <v>3.797773321700431E-2</v>
      </c>
      <c r="Q8" s="7">
        <f>$B8 * IFERROR(VLOOKUP("transport|PM25|Asthma symptoms wheeze", US_national_yearly!$D:$AM, 25, FALSE) / VLOOKUP("transport|PM25|Asthma symptoms wheeze", US_national_yearly!$D:$AM, 10, FALSE), 1)</f>
        <v>3.797773321700431E-2</v>
      </c>
      <c r="R8" s="7">
        <f>$B8 * IFERROR(VLOOKUP("transport|PM25|Asthma symptoms wheeze", US_national_yearly!$D:$AM, 26, FALSE) / VLOOKUP("transport|PM25|Asthma symptoms wheeze", US_national_yearly!$D:$AM, 10, FALSE), 1)</f>
        <v>3.797773321700431E-2</v>
      </c>
      <c r="S8" s="7">
        <f>$B8 * IFERROR(VLOOKUP("transport|PM25|Asthma symptoms wheeze", US_national_yearly!$D:$AM, 27, FALSE) / VLOOKUP("transport|PM25|Asthma symptoms wheeze", US_national_yearly!$D:$AM, 10, FALSE), 1)</f>
        <v>3.797773321700431E-2</v>
      </c>
      <c r="T8" s="7">
        <f>$B8 * IFERROR(VLOOKUP("transport|PM25|Asthma symptoms wheeze", US_national_yearly!$D:$AM, 28, FALSE) / VLOOKUP("transport|PM25|Asthma symptoms wheeze", US_national_yearly!$D:$AM, 10, FALSE), 1)</f>
        <v>3.797773321700431E-2</v>
      </c>
      <c r="U8" s="7">
        <f>$B8 * IFERROR(VLOOKUP("transport|PM25|Asthma symptoms wheeze", US_national_yearly!$D:$AM, 29, FALSE) / VLOOKUP("transport|PM25|Asthma symptoms wheeze", US_national_yearly!$D:$AM, 10, FALSE), 1)</f>
        <v>3.797773321700431E-2</v>
      </c>
      <c r="V8" s="7">
        <f>$B8 * IFERROR(VLOOKUP("transport|PM25|Asthma symptoms wheeze", US_national_yearly!$D:$AM, 30, FALSE) / VLOOKUP("transport|PM25|Asthma symptoms wheeze", US_national_yearly!$D:$AM, 10, FALSE), 1)</f>
        <v>3.797773321700431E-2</v>
      </c>
      <c r="W8" s="7">
        <f>$B8 * IFERROR(VLOOKUP("transport|PM25|Asthma symptoms wheeze", US_national_yearly!$D:$AM, 31, FALSE) / VLOOKUP("transport|PM25|Asthma symptoms wheeze", US_national_yearly!$D:$AM, 10, FALSE), 1)</f>
        <v>3.797773321700431E-2</v>
      </c>
      <c r="X8" s="7">
        <f>$B8 * IFERROR(VLOOKUP("transport|PM25|Asthma symptoms wheeze", US_national_yearly!$D:$AM, 32, FALSE) / VLOOKUP("transport|PM25|Asthma symptoms wheeze", US_national_yearly!$D:$AM, 10, FALSE), 1)</f>
        <v>3.797773321700431E-2</v>
      </c>
      <c r="Y8" s="7">
        <f>$B8 * IFERROR(VLOOKUP("transport|PM25|Asthma symptoms wheeze", US_national_yearly!$D:$AM, 33, FALSE) / VLOOKUP("transport|PM25|Asthma symptoms wheeze", US_national_yearly!$D:$AM, 10, FALSE), 1)</f>
        <v>3.797773321700431E-2</v>
      </c>
      <c r="Z8" s="7">
        <f>$B8 * IFERROR(VLOOKUP("transport|PM25|Asthma symptoms wheeze", US_national_yearly!$D:$AM, 34, FALSE) / VLOOKUP("transport|PM25|Asthma symptoms wheeze", US_national_yearly!$D:$AM, 10, FALSE), 1)</f>
        <v>3.797773321700431E-2</v>
      </c>
      <c r="AA8" s="7">
        <f>$B8 * IFERROR(VLOOKUP("transport|PM25|Asthma symptoms wheeze", US_national_yearly!$D:$AM, 35, FALSE) / VLOOKUP("transport|PM25|Asthma symptoms wheeze", US_national_yearly!$D:$AM, 10, FALSE), 1)</f>
        <v>3.797773321700431E-2</v>
      </c>
      <c r="AB8" s="7">
        <f>$B8 * IFERROR(VLOOKUP("transport|PM25|Asthma symptoms wheeze", US_national_yearly!$D:$AM, 36, FALSE) / VLOOKUP("transport|PM25|Asthma symptoms wheeze", US_national_yearly!$D:$AM, 10, FALSE), 1)</f>
        <v>3.797773321700431E-2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9.4731488228932698E-4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9.5274450937275995E-4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9.5817413645619281E-4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9.6360376353962578E-4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9.6903339062305853E-4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9.7489761947540615E-4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9.8076184832775366E-4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9.8636489619352281E-4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9.9196794405929218E-4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9.9757099192506133E-4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1.0031740397908307E-3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1.0087770876565996E-3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1.012798558617047E-3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1.0168200295774942E-3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1.0208415005379412E-3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1.0248629714983883E-3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1.0288844424588357E-3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1.0327134127138446E-3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1.0365423829688536E-3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1.0403713532238625E-3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1.0442003234788714E-3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1.0480292937338803E-3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1.051712811962195E-3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1.0553963301905094E-3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1.059079848418824E-3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1.0627633666471382E-3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1.0664468848754528E-3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3.5331714191397297E-3</v>
      </c>
      <c r="C13" s="7">
        <f>$B13 * IFERROR(VLOOKUP("transport|PM25|Non-fatal heart attacks", US_national_yearly!$D:$AM, 11, FALSE) / VLOOKUP("transport|PM25|Non-fatal heart attacks", US_national_yearly!$D:$AM, 10, FALSE), 1)</f>
        <v>3.6358900882579896E-3</v>
      </c>
      <c r="D13" s="7">
        <f>$B13 * IFERROR(VLOOKUP("transport|PM25|Non-fatal heart attacks", US_national_yearly!$D:$AM, 12, FALSE) / VLOOKUP("transport|PM25|Non-fatal heart attacks", US_national_yearly!$D:$AM, 10, FALSE), 1)</f>
        <v>3.7386087573762494E-3</v>
      </c>
      <c r="E13" s="7">
        <f>$B13 * IFERROR(VLOOKUP("transport|PM25|Non-fatal heart attacks", US_national_yearly!$D:$AM, 13, FALSE) / VLOOKUP("transport|PM25|Non-fatal heart attacks", US_national_yearly!$D:$AM, 10, FALSE), 1)</f>
        <v>3.8413274264945088E-3</v>
      </c>
      <c r="F13" s="7">
        <f>$B13 * IFERROR(VLOOKUP("transport|PM25|Non-fatal heart attacks", US_national_yearly!$D:$AM, 14, FALSE) / VLOOKUP("transport|PM25|Non-fatal heart attacks", US_national_yearly!$D:$AM, 10, FALSE), 1)</f>
        <v>3.9440460956127691E-3</v>
      </c>
      <c r="G13" s="7">
        <f>$B13 * IFERROR(VLOOKUP("transport|PM25|Non-fatal heart attacks", US_national_yearly!$D:$AM, 15, FALSE) / VLOOKUP("transport|PM25|Non-fatal heart attacks", US_national_yearly!$D:$AM, 10, FALSE), 1)</f>
        <v>4.0409162943396554E-3</v>
      </c>
      <c r="H13" s="7">
        <f>$B13 * IFERROR(VLOOKUP("transport|PM25|Non-fatal heart attacks", US_national_yearly!$D:$AM, 16, FALSE) / VLOOKUP("transport|PM25|Non-fatal heart attacks", US_national_yearly!$D:$AM, 10, FALSE), 1)</f>
        <v>4.1377864930665399E-3</v>
      </c>
      <c r="I13" s="7">
        <f>$B13 * IFERROR(VLOOKUP("transport|PM25|Non-fatal heart attacks", US_national_yearly!$D:$AM, 17, FALSE) / VLOOKUP("transport|PM25|Non-fatal heart attacks", US_national_yearly!$D:$AM, 10, FALSE), 1)</f>
        <v>4.2156378987994363E-3</v>
      </c>
      <c r="J13" s="7">
        <f>$B13 * IFERROR(VLOOKUP("transport|PM25|Non-fatal heart attacks", US_national_yearly!$D:$AM, 18, FALSE) / VLOOKUP("transport|PM25|Non-fatal heart attacks", US_national_yearly!$D:$AM, 10, FALSE), 1)</f>
        <v>4.2934893045323335E-3</v>
      </c>
      <c r="K13" s="7">
        <f>$B13 * IFERROR(VLOOKUP("transport|PM25|Non-fatal heart attacks", US_national_yearly!$D:$AM, 19, FALSE) / VLOOKUP("transport|PM25|Non-fatal heart attacks", US_national_yearly!$D:$AM, 10, FALSE), 1)</f>
        <v>4.3713407102652308E-3</v>
      </c>
      <c r="L13" s="7">
        <f>$B13 * IFERROR(VLOOKUP("transport|PM25|Non-fatal heart attacks", US_national_yearly!$D:$AM, 20, FALSE) / VLOOKUP("transport|PM25|Non-fatal heart attacks", US_national_yearly!$D:$AM, 10, FALSE), 1)</f>
        <v>4.4491921159981272E-3</v>
      </c>
      <c r="M13" s="7">
        <f>$B13 * IFERROR(VLOOKUP("transport|PM25|Non-fatal heart attacks", US_national_yearly!$D:$AM, 21, FALSE) / VLOOKUP("transport|PM25|Non-fatal heart attacks", US_national_yearly!$D:$AM, 10, FALSE), 1)</f>
        <v>4.5270435217310253E-3</v>
      </c>
      <c r="N13" s="7">
        <f>$B13 * IFERROR(VLOOKUP("transport|PM25|Non-fatal heart attacks", US_national_yearly!$D:$AM, 22, FALSE) / VLOOKUP("transport|PM25|Non-fatal heart attacks", US_national_yearly!$D:$AM, 10, FALSE), 1)</f>
        <v>4.5772499909543405E-3</v>
      </c>
      <c r="O13" s="7">
        <f>$B13 * IFERROR(VLOOKUP("transport|PM25|Non-fatal heart attacks", US_national_yearly!$D:$AM, 23, FALSE) / VLOOKUP("transport|PM25|Non-fatal heart attacks", US_national_yearly!$D:$AM, 10, FALSE), 1)</f>
        <v>4.6274564601776575E-3</v>
      </c>
      <c r="P13" s="7">
        <f>$B13 * IFERROR(VLOOKUP("transport|PM25|Non-fatal heart attacks", US_national_yearly!$D:$AM, 24, FALSE) / VLOOKUP("transport|PM25|Non-fatal heart attacks", US_national_yearly!$D:$AM, 10, FALSE), 1)</f>
        <v>4.6776629294009737E-3</v>
      </c>
      <c r="Q13" s="7">
        <f>$B13 * IFERROR(VLOOKUP("transport|PM25|Non-fatal heart attacks", US_national_yearly!$D:$AM, 25, FALSE) / VLOOKUP("transport|PM25|Non-fatal heart attacks", US_national_yearly!$D:$AM, 10, FALSE), 1)</f>
        <v>4.7278693986242898E-3</v>
      </c>
      <c r="R13" s="7">
        <f>$B13 * IFERROR(VLOOKUP("transport|PM25|Non-fatal heart attacks", US_national_yearly!$D:$AM, 26, FALSE) / VLOOKUP("transport|PM25|Non-fatal heart attacks", US_national_yearly!$D:$AM, 10, FALSE), 1)</f>
        <v>4.7780758678476068E-3</v>
      </c>
      <c r="S13" s="7">
        <f>$B13 * IFERROR(VLOOKUP("transport|PM25|Non-fatal heart attacks", US_national_yearly!$D:$AM, 27, FALSE) / VLOOKUP("transport|PM25|Non-fatal heart attacks", US_national_yearly!$D:$AM, 10, FALSE), 1)</f>
        <v>4.8045160289284837E-3</v>
      </c>
      <c r="T13" s="7">
        <f>$B13 * IFERROR(VLOOKUP("transport|PM25|Non-fatal heart attacks", US_national_yearly!$D:$AM, 28, FALSE) / VLOOKUP("transport|PM25|Non-fatal heart attacks", US_national_yearly!$D:$AM, 10, FALSE), 1)</f>
        <v>4.8309561900093624E-3</v>
      </c>
      <c r="U13" s="7">
        <f>$B13 * IFERROR(VLOOKUP("transport|PM25|Non-fatal heart attacks", US_national_yearly!$D:$AM, 29, FALSE) / VLOOKUP("transport|PM25|Non-fatal heart attacks", US_national_yearly!$D:$AM, 10, FALSE), 1)</f>
        <v>4.8573963510902401E-3</v>
      </c>
      <c r="V13" s="7">
        <f>$B13 * IFERROR(VLOOKUP("transport|PM25|Non-fatal heart attacks", US_national_yearly!$D:$AM, 30, FALSE) / VLOOKUP("transport|PM25|Non-fatal heart attacks", US_national_yearly!$D:$AM, 10, FALSE), 1)</f>
        <v>4.8838365121711179E-3</v>
      </c>
      <c r="W13" s="7">
        <f>$B13 * IFERROR(VLOOKUP("transport|PM25|Non-fatal heart attacks", US_national_yearly!$D:$AM, 31, FALSE) / VLOOKUP("transport|PM25|Non-fatal heart attacks", US_national_yearly!$D:$AM, 10, FALSE), 1)</f>
        <v>4.9102766732519957E-3</v>
      </c>
      <c r="X13" s="7">
        <f>$B13 * IFERROR(VLOOKUP("transport|PM25|Non-fatal heart attacks", US_national_yearly!$D:$AM, 32, FALSE) / VLOOKUP("transport|PM25|Non-fatal heart attacks", US_national_yearly!$D:$AM, 10, FALSE), 1)</f>
        <v>4.9303485786811006E-3</v>
      </c>
      <c r="Y13" s="7">
        <f>$B13 * IFERROR(VLOOKUP("transport|PM25|Non-fatal heart attacks", US_national_yearly!$D:$AM, 33, FALSE) / VLOOKUP("transport|PM25|Non-fatal heart attacks", US_national_yearly!$D:$AM, 10, FALSE), 1)</f>
        <v>4.9504204841102064E-3</v>
      </c>
      <c r="Z13" s="7">
        <f>$B13 * IFERROR(VLOOKUP("transport|PM25|Non-fatal heart attacks", US_national_yearly!$D:$AM, 34, FALSE) / VLOOKUP("transport|PM25|Non-fatal heart attacks", US_national_yearly!$D:$AM, 10, FALSE), 1)</f>
        <v>4.9704923895393114E-3</v>
      </c>
      <c r="AA13" s="7">
        <f>$B13 * IFERROR(VLOOKUP("transport|PM25|Non-fatal heart attacks", US_national_yearly!$D:$AM, 35, FALSE) / VLOOKUP("transport|PM25|Non-fatal heart attacks", US_national_yearly!$D:$AM, 10, FALSE), 1)</f>
        <v>4.9905642949684172E-3</v>
      </c>
      <c r="AB13" s="7">
        <f>$B13 * IFERROR(VLOOKUP("transport|PM25|Non-fatal heart attacks", US_national_yearly!$D:$AM, 36, FALSE) / VLOOKUP("transport|PM25|Non-fatal heart attacks", US_national_yearly!$D:$AM, 10, FALSE), 1)</f>
        <v>5.0106362003975212E-3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2.3993706919261428</v>
      </c>
      <c r="C14" s="7">
        <f>$B14 * IFERROR(VLOOKUP("transport|PM25|Minor restricted activity days", US_national_yearly!$D:$AM, 11, FALSE) / VLOOKUP("transport|PM25|Minor restricted activity days", US_national_yearly!$D:$AM, 10, FALSE), 1)</f>
        <v>2.4052302396993173</v>
      </c>
      <c r="D14" s="7">
        <f>$B14 * IFERROR(VLOOKUP("transport|PM25|Minor restricted activity days", US_national_yearly!$D:$AM, 12, FALSE) / VLOOKUP("transport|PM25|Minor restricted activity days", US_national_yearly!$D:$AM, 10, FALSE), 1)</f>
        <v>2.4110897874724921</v>
      </c>
      <c r="E14" s="7">
        <f>$B14 * IFERROR(VLOOKUP("transport|PM25|Minor restricted activity days", US_national_yearly!$D:$AM, 13, FALSE) / VLOOKUP("transport|PM25|Minor restricted activity days", US_national_yearly!$D:$AM, 10, FALSE), 1)</f>
        <v>2.4169493352456675</v>
      </c>
      <c r="F14" s="7">
        <f>$B14 * IFERROR(VLOOKUP("transport|PM25|Minor restricted activity days", US_national_yearly!$D:$AM, 14, FALSE) / VLOOKUP("transport|PM25|Minor restricted activity days", US_national_yearly!$D:$AM, 10, FALSE), 1)</f>
        <v>2.4228088830188415</v>
      </c>
      <c r="G14" s="7">
        <f>$B14 * IFERROR(VLOOKUP("transport|PM25|Minor restricted activity days", US_national_yearly!$D:$AM, 15, FALSE) / VLOOKUP("transport|PM25|Minor restricted activity days", US_national_yearly!$D:$AM, 10, FALSE), 1)</f>
        <v>2.4314544703970924</v>
      </c>
      <c r="H14" s="7">
        <f>$B14 * IFERROR(VLOOKUP("transport|PM25|Minor restricted activity days", US_national_yearly!$D:$AM, 16, FALSE) / VLOOKUP("transport|PM25|Minor restricted activity days", US_national_yearly!$D:$AM, 10, FALSE), 1)</f>
        <v>2.4401000577753429</v>
      </c>
      <c r="I14" s="7">
        <f>$B14 * IFERROR(VLOOKUP("transport|PM25|Minor restricted activity days", US_national_yearly!$D:$AM, 17, FALSE) / VLOOKUP("transport|PM25|Minor restricted activity days", US_national_yearly!$D:$AM, 10, FALSE), 1)</f>
        <v>2.4548800531255059</v>
      </c>
      <c r="J14" s="7">
        <f>$B14 * IFERROR(VLOOKUP("transport|PM25|Minor restricted activity days", US_national_yearly!$D:$AM, 18, FALSE) / VLOOKUP("transport|PM25|Minor restricted activity days", US_national_yearly!$D:$AM, 10, FALSE), 1)</f>
        <v>2.4696600484756681</v>
      </c>
      <c r="K14" s="7">
        <f>$B14 * IFERROR(VLOOKUP("transport|PM25|Minor restricted activity days", US_national_yearly!$D:$AM, 19, FALSE) / VLOOKUP("transport|PM25|Minor restricted activity days", US_national_yearly!$D:$AM, 10, FALSE), 1)</f>
        <v>2.4844400438258312</v>
      </c>
      <c r="L14" s="7">
        <f>$B14 * IFERROR(VLOOKUP("transport|PM25|Minor restricted activity days", US_national_yearly!$D:$AM, 20, FALSE) / VLOOKUP("transport|PM25|Minor restricted activity days", US_national_yearly!$D:$AM, 10, FALSE), 1)</f>
        <v>2.4992200391759938</v>
      </c>
      <c r="M14" s="7">
        <f>$B14 * IFERROR(VLOOKUP("transport|PM25|Minor restricted activity days", US_national_yearly!$D:$AM, 21, FALSE) / VLOOKUP("transport|PM25|Minor restricted activity days", US_national_yearly!$D:$AM, 10, FALSE), 1)</f>
        <v>2.5140000345261564</v>
      </c>
      <c r="N14" s="7">
        <f>$B14 * IFERROR(VLOOKUP("transport|PM25|Minor restricted activity days", US_national_yearly!$D:$AM, 22, FALSE) / VLOOKUP("transport|PM25|Minor restricted activity days", US_national_yearly!$D:$AM, 10, FALSE), 1)</f>
        <v>2.5341333308849188</v>
      </c>
      <c r="O14" s="7">
        <f>$B14 * IFERROR(VLOOKUP("transport|PM25|Minor restricted activity days", US_national_yearly!$D:$AM, 23, FALSE) / VLOOKUP("transport|PM25|Minor restricted activity days", US_national_yearly!$D:$AM, 10, FALSE), 1)</f>
        <v>2.5542666272436807</v>
      </c>
      <c r="P14" s="7">
        <f>$B14 * IFERROR(VLOOKUP("transport|PM25|Minor restricted activity days", US_national_yearly!$D:$AM, 24, FALSE) / VLOOKUP("transport|PM25|Minor restricted activity days", US_national_yearly!$D:$AM, 10, FALSE), 1)</f>
        <v>2.5743999236024431</v>
      </c>
      <c r="Q14" s="7">
        <f>$B14 * IFERROR(VLOOKUP("transport|PM25|Minor restricted activity days", US_national_yearly!$D:$AM, 25, FALSE) / VLOOKUP("transport|PM25|Minor restricted activity days", US_national_yearly!$D:$AM, 10, FALSE), 1)</f>
        <v>2.594533219961205</v>
      </c>
      <c r="R14" s="7">
        <f>$B14 * IFERROR(VLOOKUP("transport|PM25|Minor restricted activity days", US_national_yearly!$D:$AM, 26, FALSE) / VLOOKUP("transport|PM25|Minor restricted activity days", US_national_yearly!$D:$AM, 10, FALSE), 1)</f>
        <v>2.6146665163199669</v>
      </c>
      <c r="S14" s="7">
        <f>$B14 * IFERROR(VLOOKUP("transport|PM25|Minor restricted activity days", US_national_yearly!$D:$AM, 27, FALSE) / VLOOKUP("transport|PM25|Minor restricted activity days", US_national_yearly!$D:$AM, 10, FALSE), 1)</f>
        <v>2.6349384640934854</v>
      </c>
      <c r="T14" s="7">
        <f>$B14 * IFERROR(VLOOKUP("transport|PM25|Minor restricted activity days", US_national_yearly!$D:$AM, 28, FALSE) / VLOOKUP("transport|PM25|Minor restricted activity days", US_national_yearly!$D:$AM, 10, FALSE), 1)</f>
        <v>2.6552104118670043</v>
      </c>
      <c r="U14" s="7">
        <f>$B14 * IFERROR(VLOOKUP("transport|PM25|Minor restricted activity days", US_national_yearly!$D:$AM, 29, FALSE) / VLOOKUP("transport|PM25|Minor restricted activity days", US_national_yearly!$D:$AM, 10, FALSE), 1)</f>
        <v>2.6754823596405228</v>
      </c>
      <c r="V14" s="7">
        <f>$B14 * IFERROR(VLOOKUP("transport|PM25|Minor restricted activity days", US_national_yearly!$D:$AM, 30, FALSE) / VLOOKUP("transport|PM25|Minor restricted activity days", US_national_yearly!$D:$AM, 10, FALSE), 1)</f>
        <v>2.6957543074140413</v>
      </c>
      <c r="W14" s="7">
        <f>$B14 * IFERROR(VLOOKUP("transport|PM25|Minor restricted activity days", US_national_yearly!$D:$AM, 31, FALSE) / VLOOKUP("transport|PM25|Minor restricted activity days", US_national_yearly!$D:$AM, 10, FALSE), 1)</f>
        <v>2.7160262551875598</v>
      </c>
      <c r="X14" s="7">
        <f>$B14 * IFERROR(VLOOKUP("transport|PM25|Minor restricted activity days", US_national_yearly!$D:$AM, 32, FALSE) / VLOOKUP("transport|PM25|Minor restricted activity days", US_national_yearly!$D:$AM, 10, FALSE), 1)</f>
        <v>2.7336243452517222</v>
      </c>
      <c r="Y14" s="7">
        <f>$B14 * IFERROR(VLOOKUP("transport|PM25|Minor restricted activity days", US_national_yearly!$D:$AM, 33, FALSE) / VLOOKUP("transport|PM25|Minor restricted activity days", US_national_yearly!$D:$AM, 10, FALSE), 1)</f>
        <v>2.7512224353158841</v>
      </c>
      <c r="Z14" s="7">
        <f>$B14 * IFERROR(VLOOKUP("transport|PM25|Minor restricted activity days", US_national_yearly!$D:$AM, 34, FALSE) / VLOOKUP("transport|PM25|Minor restricted activity days", US_national_yearly!$D:$AM, 10, FALSE), 1)</f>
        <v>2.768820525380046</v>
      </c>
      <c r="AA14" s="7">
        <f>$B14 * IFERROR(VLOOKUP("transport|PM25|Minor restricted activity days", US_national_yearly!$D:$AM, 35, FALSE) / VLOOKUP("transport|PM25|Minor restricted activity days", US_national_yearly!$D:$AM, 10, FALSE), 1)</f>
        <v>2.7864186154442074</v>
      </c>
      <c r="AB14" s="7">
        <f>$B14 * IFERROR(VLOOKUP("transport|PM25|Minor restricted activity days", US_national_yearly!$D:$AM, 36, FALSE) / VLOOKUP("transport|PM25|Minor restricted activity days", US_national_yearly!$D:$AM, 10, FALSE), 1)</f>
        <v>2.8040167055083693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0.40186902876180031</v>
      </c>
      <c r="C15" s="7">
        <f>$B15 * IFERROR(VLOOKUP("transport|PM25|Work loss days", US_national_yearly!$D:$AM, 11, FALSE) / VLOOKUP("transport|PM25|Work loss days", US_national_yearly!$D:$AM, 10, FALSE), 1)</f>
        <v>0.4031146780094742</v>
      </c>
      <c r="D15" s="7">
        <f>$B15 * IFERROR(VLOOKUP("transport|PM25|Work loss days", US_national_yearly!$D:$AM, 12, FALSE) / VLOOKUP("transport|PM25|Work loss days", US_national_yearly!$D:$AM, 10, FALSE), 1)</f>
        <v>0.40436032725714816</v>
      </c>
      <c r="E15" s="7">
        <f>$B15 * IFERROR(VLOOKUP("transport|PM25|Work loss days", US_national_yearly!$D:$AM, 13, FALSE) / VLOOKUP("transport|PM25|Work loss days", US_national_yearly!$D:$AM, 10, FALSE), 1)</f>
        <v>0.40560597650482205</v>
      </c>
      <c r="F15" s="7">
        <f>$B15 * IFERROR(VLOOKUP("transport|PM25|Work loss days", US_national_yearly!$D:$AM, 14, FALSE) / VLOOKUP("transport|PM25|Work loss days", US_national_yearly!$D:$AM, 10, FALSE), 1)</f>
        <v>0.40685162575249595</v>
      </c>
      <c r="G15" s="7">
        <f>$B15 * IFERROR(VLOOKUP("transport|PM25|Work loss days", US_national_yearly!$D:$AM, 15, FALSE) / VLOOKUP("transport|PM25|Work loss days", US_national_yearly!$D:$AM, 10, FALSE), 1)</f>
        <v>0.40848475140226959</v>
      </c>
      <c r="H15" s="7">
        <f>$B15 * IFERROR(VLOOKUP("transport|PM25|Work loss days", US_national_yearly!$D:$AM, 16, FALSE) / VLOOKUP("transport|PM25|Work loss days", US_national_yearly!$D:$AM, 10, FALSE), 1)</f>
        <v>0.41011787705204333</v>
      </c>
      <c r="I15" s="7">
        <f>$B15 * IFERROR(VLOOKUP("transport|PM25|Work loss days", US_national_yearly!$D:$AM, 17, FALSE) / VLOOKUP("transport|PM25|Work loss days", US_national_yearly!$D:$AM, 10, FALSE), 1)</f>
        <v>0.41252283419050928</v>
      </c>
      <c r="J15" s="7">
        <f>$B15 * IFERROR(VLOOKUP("transport|PM25|Work loss days", US_national_yearly!$D:$AM, 18, FALSE) / VLOOKUP("transport|PM25|Work loss days", US_national_yearly!$D:$AM, 10, FALSE), 1)</f>
        <v>0.41492779132897517</v>
      </c>
      <c r="K15" s="7">
        <f>$B15 * IFERROR(VLOOKUP("transport|PM25|Work loss days", US_national_yearly!$D:$AM, 19, FALSE) / VLOOKUP("transport|PM25|Work loss days", US_national_yearly!$D:$AM, 10, FALSE), 1)</f>
        <v>0.41733274846744106</v>
      </c>
      <c r="L15" s="7">
        <f>$B15 * IFERROR(VLOOKUP("transport|PM25|Work loss days", US_national_yearly!$D:$AM, 20, FALSE) / VLOOKUP("transport|PM25|Work loss days", US_national_yearly!$D:$AM, 10, FALSE), 1)</f>
        <v>0.41973770560590695</v>
      </c>
      <c r="M15" s="7">
        <f>$B15 * IFERROR(VLOOKUP("transport|PM25|Work loss days", US_national_yearly!$D:$AM, 21, FALSE) / VLOOKUP("transport|PM25|Work loss days", US_national_yearly!$D:$AM, 10, FALSE), 1)</f>
        <v>0.4221426627443729</v>
      </c>
      <c r="N15" s="7">
        <f>$B15 * IFERROR(VLOOKUP("transport|PM25|Work loss days", US_national_yearly!$D:$AM, 22, FALSE) / VLOOKUP("transport|PM25|Work loss days", US_national_yearly!$D:$AM, 10, FALSE), 1)</f>
        <v>0.42516948333145471</v>
      </c>
      <c r="O15" s="7">
        <f>$B15 * IFERROR(VLOOKUP("transport|PM25|Work loss days", US_national_yearly!$D:$AM, 23, FALSE) / VLOOKUP("transport|PM25|Work loss days", US_national_yearly!$D:$AM, 10, FALSE), 1)</f>
        <v>0.42819630391853641</v>
      </c>
      <c r="P15" s="7">
        <f>$B15 * IFERROR(VLOOKUP("transport|PM25|Work loss days", US_national_yearly!$D:$AM, 24, FALSE) / VLOOKUP("transport|PM25|Work loss days", US_national_yearly!$D:$AM, 10, FALSE), 1)</f>
        <v>0.43122312450561823</v>
      </c>
      <c r="Q15" s="7">
        <f>$B15 * IFERROR(VLOOKUP("transport|PM25|Work loss days", US_national_yearly!$D:$AM, 25, FALSE) / VLOOKUP("transport|PM25|Work loss days", US_national_yearly!$D:$AM, 10, FALSE), 1)</f>
        <v>0.43424994509269998</v>
      </c>
      <c r="R15" s="7">
        <f>$B15 * IFERROR(VLOOKUP("transport|PM25|Work loss days", US_national_yearly!$D:$AM, 26, FALSE) / VLOOKUP("transport|PM25|Work loss days", US_national_yearly!$D:$AM, 10, FALSE), 1)</f>
        <v>0.4372767656797818</v>
      </c>
      <c r="S15" s="7">
        <f>$B15 * IFERROR(VLOOKUP("transport|PM25|Work loss days", US_national_yearly!$D:$AM, 27, FALSE) / VLOOKUP("transport|PM25|Work loss days", US_national_yearly!$D:$AM, 10, FALSE), 1)</f>
        <v>0.44062455847451698</v>
      </c>
      <c r="T15" s="7">
        <f>$B15 * IFERROR(VLOOKUP("transport|PM25|Work loss days", US_national_yearly!$D:$AM, 28, FALSE) / VLOOKUP("transport|PM25|Work loss days", US_national_yearly!$D:$AM, 10, FALSE), 1)</f>
        <v>0.44397235126925227</v>
      </c>
      <c r="U15" s="7">
        <f>$B15 * IFERROR(VLOOKUP("transport|PM25|Work loss days", US_national_yearly!$D:$AM, 29, FALSE) / VLOOKUP("transport|PM25|Work loss days", US_national_yearly!$D:$AM, 10, FALSE), 1)</f>
        <v>0.44732014406398735</v>
      </c>
      <c r="V15" s="7">
        <f>$B15 * IFERROR(VLOOKUP("transport|PM25|Work loss days", US_national_yearly!$D:$AM, 30, FALSE) / VLOOKUP("transport|PM25|Work loss days", US_national_yearly!$D:$AM, 10, FALSE), 1)</f>
        <v>0.45066793685872264</v>
      </c>
      <c r="W15" s="7">
        <f>$B15 * IFERROR(VLOOKUP("transport|PM25|Work loss days", US_national_yearly!$D:$AM, 31, FALSE) / VLOOKUP("transport|PM25|Work loss days", US_national_yearly!$D:$AM, 10, FALSE), 1)</f>
        <v>0.45401572965345782</v>
      </c>
      <c r="X15" s="7">
        <f>$B15 * IFERROR(VLOOKUP("transport|PM25|Work loss days", US_national_yearly!$D:$AM, 32, FALSE) / VLOOKUP("transport|PM25|Work loss days", US_national_yearly!$D:$AM, 10, FALSE), 1)</f>
        <v>0.45698612477423173</v>
      </c>
      <c r="Y15" s="7">
        <f>$B15 * IFERROR(VLOOKUP("transport|PM25|Work loss days", US_national_yearly!$D:$AM, 33, FALSE) / VLOOKUP("transport|PM25|Work loss days", US_national_yearly!$D:$AM, 10, FALSE), 1)</f>
        <v>0.45995651989500558</v>
      </c>
      <c r="Z15" s="7">
        <f>$B15 * IFERROR(VLOOKUP("transport|PM25|Work loss days", US_national_yearly!$D:$AM, 34, FALSE) / VLOOKUP("transport|PM25|Work loss days", US_national_yearly!$D:$AM, 10, FALSE), 1)</f>
        <v>0.46292691501577954</v>
      </c>
      <c r="AA15" s="7">
        <f>$B15 * IFERROR(VLOOKUP("transport|PM25|Work loss days", US_national_yearly!$D:$AM, 35, FALSE) / VLOOKUP("transport|PM25|Work loss days", US_national_yearly!$D:$AM, 10, FALSE), 1)</f>
        <v>0.4658973101365535</v>
      </c>
      <c r="AB15" s="7">
        <f>$B15 * IFERROR(VLOOKUP("transport|PM25|Work loss days", US_national_yearly!$D:$AM, 36, FALSE) / VLOOKUP("transport|PM25|Work loss days", US_national_yearly!$D:$AM, 10, FALSE), 1)</f>
        <v>0.46886770525732735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8.223562154713607E-4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8.4692879263249582E-4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8.7150136979363105E-4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8.9607394695476628E-4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9.2064652411590151E-4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9.4418266371665901E-4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9.6771880331741683E-4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9.878482020898487E-4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1.0079776008622802E-3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1.0281069996347118E-3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1.048236398407144E-3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1.0683657971795755E-3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1.0817865269221647E-3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1.0952072566647543E-3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1.1086279864073434E-3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1.122048716149933E-3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1.1354694458925222E-3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1.1425702649000241E-3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1.1496710839075258E-3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1.1567719029150275E-3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1.1638727219225292E-3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1.1709735409300309E-3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1.1757539056898422E-3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1.1805342704496534E-3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1.1853146352094645E-3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1.1900949999692758E-3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1.194875364729087E-3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3.958807629441963E-4</v>
      </c>
      <c r="C2" s="7">
        <f>$B2 * IFERROR(VLOOKUP("transport|NOx|Premature mortality", US_national_yearly!$D:$AM, 11, FALSE) / VLOOKUP("transport|NOx|Premature mortality", US_national_yearly!$D:$AM, 10, FALSE), 1)</f>
        <v>4.0169558221309136E-4</v>
      </c>
      <c r="D2" s="7">
        <f>$B2 * IFERROR(VLOOKUP("transport|NOx|Premature mortality", US_national_yearly!$D:$AM, 12, FALSE) / VLOOKUP("transport|NOx|Premature mortality", US_national_yearly!$D:$AM, 10, FALSE), 1)</f>
        <v>4.0751040148198631E-4</v>
      </c>
      <c r="E2" s="7">
        <f>$B2 * IFERROR(VLOOKUP("transport|NOx|Premature mortality", US_national_yearly!$D:$AM, 13, FALSE) / VLOOKUP("transport|NOx|Premature mortality", US_national_yearly!$D:$AM, 10, FALSE), 1)</f>
        <v>4.1332522075088131E-4</v>
      </c>
      <c r="F2" s="7">
        <f>$B2 * IFERROR(VLOOKUP("transport|NOx|Premature mortality", US_national_yearly!$D:$AM, 14, FALSE) / VLOOKUP("transport|NOx|Premature mortality", US_national_yearly!$D:$AM, 10, FALSE), 1)</f>
        <v>4.1914004001977637E-4</v>
      </c>
      <c r="G2" s="7">
        <f>$B2 * IFERROR(VLOOKUP("transport|NOx|Premature mortality", US_national_yearly!$D:$AM, 15, FALSE) / VLOOKUP("transport|NOx|Premature mortality", US_national_yearly!$D:$AM, 10, FALSE), 1)</f>
        <v>4.2958483019073072E-4</v>
      </c>
      <c r="H2" s="7">
        <f>$B2 * IFERROR(VLOOKUP("transport|NOx|Premature mortality", US_national_yearly!$D:$AM, 16, FALSE) / VLOOKUP("transport|NOx|Premature mortality", US_national_yearly!$D:$AM, 10, FALSE), 1)</f>
        <v>4.4002962036168529E-4</v>
      </c>
      <c r="I2" s="7">
        <f>$B2 * IFERROR(VLOOKUP("transport|NOx|Premature mortality", US_national_yearly!$D:$AM, 17, FALSE) / VLOOKUP("transport|NOx|Premature mortality", US_national_yearly!$D:$AM, 10, FALSE), 1)</f>
        <v>4.4677193054044873E-4</v>
      </c>
      <c r="J2" s="7">
        <f>$B2 * IFERROR(VLOOKUP("transport|NOx|Premature mortality", US_national_yearly!$D:$AM, 18, FALSE) / VLOOKUP("transport|NOx|Premature mortality", US_national_yearly!$D:$AM, 10, FALSE), 1)</f>
        <v>4.5351424071921222E-4</v>
      </c>
      <c r="K2" s="7">
        <f>$B2 * IFERROR(VLOOKUP("transport|NOx|Premature mortality", US_national_yearly!$D:$AM, 19, FALSE) / VLOOKUP("transport|NOx|Premature mortality", US_national_yearly!$D:$AM, 10, FALSE), 1)</f>
        <v>4.6025655089797565E-4</v>
      </c>
      <c r="L2" s="7">
        <f>$B2 * IFERROR(VLOOKUP("transport|NOx|Premature mortality", US_national_yearly!$D:$AM, 20, FALSE) / VLOOKUP("transport|NOx|Premature mortality", US_national_yearly!$D:$AM, 10, FALSE), 1)</f>
        <v>4.6699886107673909E-4</v>
      </c>
      <c r="M2" s="7">
        <f>$B2 * IFERROR(VLOOKUP("transport|NOx|Premature mortality", US_national_yearly!$D:$AM, 21, FALSE) / VLOOKUP("transport|NOx|Premature mortality", US_national_yearly!$D:$AM, 10, FALSE), 1)</f>
        <v>4.7374117125550258E-4</v>
      </c>
      <c r="N2" s="7">
        <f>$B2 * IFERROR(VLOOKUP("transport|NOx|Premature mortality", US_national_yearly!$D:$AM, 22, FALSE) / VLOOKUP("transport|NOx|Premature mortality", US_national_yearly!$D:$AM, 10, FALSE), 1)</f>
        <v>4.7873584842490508E-4</v>
      </c>
      <c r="O2" s="7">
        <f>$B2 * IFERROR(VLOOKUP("transport|NOx|Premature mortality", US_national_yearly!$D:$AM, 23, FALSE) / VLOOKUP("transport|NOx|Premature mortality", US_national_yearly!$D:$AM, 10, FALSE), 1)</f>
        <v>4.8373052559430758E-4</v>
      </c>
      <c r="P2" s="7">
        <f>$B2 * IFERROR(VLOOKUP("transport|NOx|Premature mortality", US_national_yearly!$D:$AM, 24, FALSE) / VLOOKUP("transport|NOx|Premature mortality", US_national_yearly!$D:$AM, 10, FALSE), 1)</f>
        <v>4.8872520276371009E-4</v>
      </c>
      <c r="Q2" s="7">
        <f>$B2 * IFERROR(VLOOKUP("transport|NOx|Premature mortality", US_national_yearly!$D:$AM, 25, FALSE) / VLOOKUP("transport|NOx|Premature mortality", US_national_yearly!$D:$AM, 10, FALSE), 1)</f>
        <v>4.937198799331127E-4</v>
      </c>
      <c r="R2" s="7">
        <f>$B2 * IFERROR(VLOOKUP("transport|NOx|Premature mortality", US_national_yearly!$D:$AM, 26, FALSE) / VLOOKUP("transport|NOx|Premature mortality", US_national_yearly!$D:$AM, 10, FALSE), 1)</f>
        <v>4.987145571025152E-4</v>
      </c>
      <c r="S2" s="7">
        <f>$B2 * IFERROR(VLOOKUP("transport|NOx|Premature mortality", US_national_yearly!$D:$AM, 27, FALSE) / VLOOKUP("transport|NOx|Premature mortality", US_national_yearly!$D:$AM, 10, FALSE), 1)</f>
        <v>5.0098468817173932E-4</v>
      </c>
      <c r="T2" s="7">
        <f>$B2 * IFERROR(VLOOKUP("transport|NOx|Premature mortality", US_national_yearly!$D:$AM, 28, FALSE) / VLOOKUP("transport|NOx|Premature mortality", US_national_yearly!$D:$AM, 10, FALSE), 1)</f>
        <v>5.0325481924096355E-4</v>
      </c>
      <c r="U2" s="7">
        <f>$B2 * IFERROR(VLOOKUP("transport|NOx|Premature mortality", US_national_yearly!$D:$AM, 29, FALSE) / VLOOKUP("transport|NOx|Premature mortality", US_national_yearly!$D:$AM, 10, FALSE), 1)</f>
        <v>5.0552495031018778E-4</v>
      </c>
      <c r="V2" s="7">
        <f>$B2 * IFERROR(VLOOKUP("transport|NOx|Premature mortality", US_national_yearly!$D:$AM, 30, FALSE) / VLOOKUP("transport|NOx|Premature mortality", US_national_yearly!$D:$AM, 10, FALSE), 1)</f>
        <v>5.077950813794119E-4</v>
      </c>
      <c r="W2" s="7">
        <f>$B2 * IFERROR(VLOOKUP("transport|NOx|Premature mortality", US_national_yearly!$D:$AM, 31, FALSE) / VLOOKUP("transport|NOx|Premature mortality", US_national_yearly!$D:$AM, 10, FALSE), 1)</f>
        <v>5.1006521244863613E-4</v>
      </c>
      <c r="X2" s="7">
        <f>$B2 * IFERROR(VLOOKUP("transport|NOx|Premature mortality", US_national_yearly!$D:$AM, 32, FALSE) / VLOOKUP("transport|NOx|Premature mortality", US_national_yearly!$D:$AM, 10, FALSE), 1)</f>
        <v>5.1014384848580843E-4</v>
      </c>
      <c r="Y2" s="7">
        <f>$B2 * IFERROR(VLOOKUP("transport|NOx|Premature mortality", US_national_yearly!$D:$AM, 33, FALSE) / VLOOKUP("transport|NOx|Premature mortality", US_national_yearly!$D:$AM, 10, FALSE), 1)</f>
        <v>5.1022248452298061E-4</v>
      </c>
      <c r="Z2" s="7">
        <f>$B2 * IFERROR(VLOOKUP("transport|NOx|Premature mortality", US_national_yearly!$D:$AM, 34, FALSE) / VLOOKUP("transport|NOx|Premature mortality", US_national_yearly!$D:$AM, 10, FALSE), 1)</f>
        <v>5.103011205601528E-4</v>
      </c>
      <c r="AA2" s="7">
        <f>$B2 * IFERROR(VLOOKUP("transport|NOx|Premature mortality", US_national_yearly!$D:$AM, 35, FALSE) / VLOOKUP("transport|NOx|Premature mortality", US_national_yearly!$D:$AM, 10, FALSE), 1)</f>
        <v>5.103797565973252E-4</v>
      </c>
      <c r="AB2" s="7">
        <f>$B2 * IFERROR(VLOOKUP("transport|NOx|Premature mortality", US_national_yearly!$D:$AM, 36, FALSE) / VLOOKUP("transport|NOx|Premature mortality", US_national_yearly!$D:$AM, 10, FALSE), 1)</f>
        <v>5.1045839263449749E-4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6.9353612468522623E-7</v>
      </c>
      <c r="C3" s="7">
        <f>$B3 * IFERROR(VLOOKUP("transport|NOx|Infant mortality", US_national_yearly!$D:$AM, 11, FALSE) / VLOOKUP("transport|NOx|Infant mortality", US_national_yearly!$D:$AM, 10, FALSE), 1)</f>
        <v>6.8692842585485204E-7</v>
      </c>
      <c r="D3" s="7">
        <f>$B3 * IFERROR(VLOOKUP("transport|NOx|Infant mortality", US_national_yearly!$D:$AM, 12, FALSE) / VLOOKUP("transport|NOx|Infant mortality", US_national_yearly!$D:$AM, 10, FALSE), 1)</f>
        <v>6.8032072702447775E-7</v>
      </c>
      <c r="E3" s="7">
        <f>$B3 * IFERROR(VLOOKUP("transport|NOx|Infant mortality", US_national_yearly!$D:$AM, 13, FALSE) / VLOOKUP("transport|NOx|Infant mortality", US_national_yearly!$D:$AM, 10, FALSE), 1)</f>
        <v>6.7371302819410357E-7</v>
      </c>
      <c r="F3" s="7">
        <f>$B3 * IFERROR(VLOOKUP("transport|NOx|Infant mortality", US_national_yearly!$D:$AM, 14, FALSE) / VLOOKUP("transport|NOx|Infant mortality", US_national_yearly!$D:$AM, 10, FALSE), 1)</f>
        <v>6.6710532936372939E-7</v>
      </c>
      <c r="G3" s="7">
        <f>$B3 * IFERROR(VLOOKUP("transport|NOx|Infant mortality", US_national_yearly!$D:$AM, 15, FALSE) / VLOOKUP("transport|NOx|Infant mortality", US_national_yearly!$D:$AM, 10, FALSE), 1)</f>
        <v>4.4285745994833462E-7</v>
      </c>
      <c r="H3" s="7">
        <f>$B3 * IFERROR(VLOOKUP("transport|NOx|Infant mortality", US_national_yearly!$D:$AM, 16, FALSE) / VLOOKUP("transport|NOx|Infant mortality", US_national_yearly!$D:$AM, 10, FALSE), 1)</f>
        <v>2.1860959053293991E-7</v>
      </c>
      <c r="I3" s="7">
        <f>$B3 * IFERROR(VLOOKUP("transport|NOx|Infant mortality", US_national_yearly!$D:$AM, 17, FALSE) / VLOOKUP("transport|NOx|Infant mortality", US_national_yearly!$D:$AM, 10, FALSE), 1)</f>
        <v>2.1706381199858442E-7</v>
      </c>
      <c r="J3" s="7">
        <f>$B3 * IFERROR(VLOOKUP("transport|NOx|Infant mortality", US_national_yearly!$D:$AM, 18, FALSE) / VLOOKUP("transport|NOx|Infant mortality", US_national_yearly!$D:$AM, 10, FALSE), 1)</f>
        <v>2.155180334642289E-7</v>
      </c>
      <c r="K3" s="7">
        <f>$B3 * IFERROR(VLOOKUP("transport|NOx|Infant mortality", US_national_yearly!$D:$AM, 19, FALSE) / VLOOKUP("transport|NOx|Infant mortality", US_national_yearly!$D:$AM, 10, FALSE), 1)</f>
        <v>2.139722549298734E-7</v>
      </c>
      <c r="L3" s="7">
        <f>$B3 * IFERROR(VLOOKUP("transport|NOx|Infant mortality", US_national_yearly!$D:$AM, 20, FALSE) / VLOOKUP("transport|NOx|Infant mortality", US_national_yearly!$D:$AM, 10, FALSE), 1)</f>
        <v>2.1242647639551791E-7</v>
      </c>
      <c r="M3" s="7">
        <f>$B3 * IFERROR(VLOOKUP("transport|NOx|Infant mortality", US_national_yearly!$D:$AM, 21, FALSE) / VLOOKUP("transport|NOx|Infant mortality", US_national_yearly!$D:$AM, 10, FALSE), 1)</f>
        <v>2.1088069786116239E-7</v>
      </c>
      <c r="N3" s="7">
        <f>$B3 * IFERROR(VLOOKUP("transport|NOx|Infant mortality", US_national_yearly!$D:$AM, 22, FALSE) / VLOOKUP("transport|NOx|Infant mortality", US_national_yearly!$D:$AM, 10, FALSE), 1)</f>
        <v>2.0985467470289841E-7</v>
      </c>
      <c r="O3" s="7">
        <f>$B3 * IFERROR(VLOOKUP("transport|NOx|Infant mortality", US_national_yearly!$D:$AM, 23, FALSE) / VLOOKUP("transport|NOx|Infant mortality", US_national_yearly!$D:$AM, 10, FALSE), 1)</f>
        <v>2.0882865154463443E-7</v>
      </c>
      <c r="P3" s="7">
        <f>$B3 * IFERROR(VLOOKUP("transport|NOx|Infant mortality", US_national_yearly!$D:$AM, 24, FALSE) / VLOOKUP("transport|NOx|Infant mortality", US_national_yearly!$D:$AM, 10, FALSE), 1)</f>
        <v>2.0780262838637045E-7</v>
      </c>
      <c r="Q3" s="7">
        <f>$B3 * IFERROR(VLOOKUP("transport|NOx|Infant mortality", US_national_yearly!$D:$AM, 25, FALSE) / VLOOKUP("transport|NOx|Infant mortality", US_national_yearly!$D:$AM, 10, FALSE), 1)</f>
        <v>2.0677660522810647E-7</v>
      </c>
      <c r="R3" s="7">
        <f>$B3 * IFERROR(VLOOKUP("transport|NOx|Infant mortality", US_national_yearly!$D:$AM, 26, FALSE) / VLOOKUP("transport|NOx|Infant mortality", US_national_yearly!$D:$AM, 10, FALSE), 1)</f>
        <v>2.0575058206984249E-7</v>
      </c>
      <c r="S3" s="7">
        <f>$B3 * IFERROR(VLOOKUP("transport|NOx|Infant mortality", US_national_yearly!$D:$AM, 27, FALSE) / VLOOKUP("transport|NOx|Infant mortality", US_national_yearly!$D:$AM, 10, FALSE), 1)</f>
        <v>2.0451713907148125E-7</v>
      </c>
      <c r="T3" s="7">
        <f>$B3 * IFERROR(VLOOKUP("transport|NOx|Infant mortality", US_national_yearly!$D:$AM, 28, FALSE) / VLOOKUP("transport|NOx|Infant mortality", US_national_yearly!$D:$AM, 10, FALSE), 1)</f>
        <v>2.0328369607312003E-7</v>
      </c>
      <c r="U3" s="7">
        <f>$B3 * IFERROR(VLOOKUP("transport|NOx|Infant mortality", US_national_yearly!$D:$AM, 29, FALSE) / VLOOKUP("transport|NOx|Infant mortality", US_national_yearly!$D:$AM, 10, FALSE), 1)</f>
        <v>2.0205025307475879E-7</v>
      </c>
      <c r="V3" s="7">
        <f>$B3 * IFERROR(VLOOKUP("transport|NOx|Infant mortality", US_national_yearly!$D:$AM, 30, FALSE) / VLOOKUP("transport|NOx|Infant mortality", US_national_yearly!$D:$AM, 10, FALSE), 1)</f>
        <v>2.0081681007639754E-7</v>
      </c>
      <c r="W3" s="7">
        <f>$B3 * IFERROR(VLOOKUP("transport|NOx|Infant mortality", US_national_yearly!$D:$AM, 31, FALSE) / VLOOKUP("transport|NOx|Infant mortality", US_national_yearly!$D:$AM, 10, FALSE), 1)</f>
        <v>1.995833670780363E-7</v>
      </c>
      <c r="X3" s="7">
        <f>$B3 * IFERROR(VLOOKUP("transport|NOx|Infant mortality", US_national_yearly!$D:$AM, 32, FALSE) / VLOOKUP("transport|NOx|Infant mortality", US_national_yearly!$D:$AM, 10, FALSE), 1)</f>
        <v>1.9827709129590284E-7</v>
      </c>
      <c r="Y3" s="7">
        <f>$B3 * IFERROR(VLOOKUP("transport|NOx|Infant mortality", US_national_yearly!$D:$AM, 33, FALSE) / VLOOKUP("transport|NOx|Infant mortality", US_national_yearly!$D:$AM, 10, FALSE), 1)</f>
        <v>1.969708155137693E-7</v>
      </c>
      <c r="Z3" s="7">
        <f>$B3 * IFERROR(VLOOKUP("transport|NOx|Infant mortality", US_national_yearly!$D:$AM, 34, FALSE) / VLOOKUP("transport|NOx|Infant mortality", US_national_yearly!$D:$AM, 10, FALSE), 1)</f>
        <v>1.9566453973163579E-7</v>
      </c>
      <c r="AA3" s="7">
        <f>$B3 * IFERROR(VLOOKUP("transport|NOx|Infant mortality", US_national_yearly!$D:$AM, 35, FALSE) / VLOOKUP("transport|NOx|Infant mortality", US_national_yearly!$D:$AM, 10, FALSE), 1)</f>
        <v>1.9435826394950228E-7</v>
      </c>
      <c r="AB3" s="7">
        <f>$B3 * IFERROR(VLOOKUP("transport|NOx|Infant mortality", US_national_yearly!$D:$AM, 36, FALSE) / VLOOKUP("transport|NOx|Infant mortality", US_national_yearly!$D:$AM, 10, FALSE), 1)</f>
        <v>1.9305198816736877E-7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7.0267621219632546E-4</v>
      </c>
      <c r="C6" s="7">
        <f>$B6 * IFERROR(VLOOKUP("transport|NOx|Asthma symptoms cough", US_national_yearly!$D:$AM, 11, FALSE) / VLOOKUP("transport|NOx|Asthma symptoms cough", US_national_yearly!$D:$AM, 10, FALSE), 1)</f>
        <v>7.1228294484718016E-4</v>
      </c>
      <c r="D6" s="7">
        <f>$B6 * IFERROR(VLOOKUP("transport|NOx|Asthma symptoms cough", US_national_yearly!$D:$AM, 12, FALSE) / VLOOKUP("transport|NOx|Asthma symptoms cough", US_national_yearly!$D:$AM, 10, FALSE), 1)</f>
        <v>7.2188967749803486E-4</v>
      </c>
      <c r="E6" s="7">
        <f>$B6 * IFERROR(VLOOKUP("transport|NOx|Asthma symptoms cough", US_national_yearly!$D:$AM, 13, FALSE) / VLOOKUP("transport|NOx|Asthma symptoms cough", US_national_yearly!$D:$AM, 10, FALSE), 1)</f>
        <v>7.3149641014888945E-4</v>
      </c>
      <c r="F6" s="7">
        <f>$B6 * IFERROR(VLOOKUP("transport|NOx|Asthma symptoms cough", US_national_yearly!$D:$AM, 14, FALSE) / VLOOKUP("transport|NOx|Asthma symptoms cough", US_national_yearly!$D:$AM, 10, FALSE), 1)</f>
        <v>7.4110314279974415E-4</v>
      </c>
      <c r="G6" s="7">
        <f>$B6 * IFERROR(VLOOKUP("transport|NOx|Asthma symptoms cough", US_national_yearly!$D:$AM, 15, FALSE) / VLOOKUP("transport|NOx|Asthma symptoms cough", US_national_yearly!$D:$AM, 10, FALSE), 1)</f>
        <v>7.4877277637125904E-4</v>
      </c>
      <c r="H6" s="7">
        <f>$B6 * IFERROR(VLOOKUP("transport|NOx|Asthma symptoms cough", US_national_yearly!$D:$AM, 16, FALSE) / VLOOKUP("transport|NOx|Asthma symptoms cough", US_national_yearly!$D:$AM, 10, FALSE), 1)</f>
        <v>7.5644240994277403E-4</v>
      </c>
      <c r="I6" s="7">
        <f>$B6 * IFERROR(VLOOKUP("transport|NOx|Asthma symptoms cough", US_national_yearly!$D:$AM, 17, FALSE) / VLOOKUP("transport|NOx|Asthma symptoms cough", US_national_yearly!$D:$AM, 10, FALSE), 1)</f>
        <v>7.5908218817491533E-4</v>
      </c>
      <c r="J6" s="7">
        <f>$B6 * IFERROR(VLOOKUP("transport|NOx|Asthma symptoms cough", US_national_yearly!$D:$AM, 18, FALSE) / VLOOKUP("transport|NOx|Asthma symptoms cough", US_national_yearly!$D:$AM, 10, FALSE), 1)</f>
        <v>7.6172196640705674E-4</v>
      </c>
      <c r="K6" s="7">
        <f>$B6 * IFERROR(VLOOKUP("transport|NOx|Asthma symptoms cough", US_national_yearly!$D:$AM, 19, FALSE) / VLOOKUP("transport|NOx|Asthma symptoms cough", US_national_yearly!$D:$AM, 10, FALSE), 1)</f>
        <v>7.6436174463919793E-4</v>
      </c>
      <c r="L6" s="7">
        <f>$B6 * IFERROR(VLOOKUP("transport|NOx|Asthma symptoms cough", US_national_yearly!$D:$AM, 20, FALSE) / VLOOKUP("transport|NOx|Asthma symptoms cough", US_national_yearly!$D:$AM, 10, FALSE), 1)</f>
        <v>7.6700152287133912E-4</v>
      </c>
      <c r="M6" s="7">
        <f>$B6 * IFERROR(VLOOKUP("transport|NOx|Asthma symptoms cough", US_national_yearly!$D:$AM, 21, FALSE) / VLOOKUP("transport|NOx|Asthma symptoms cough", US_national_yearly!$D:$AM, 10, FALSE), 1)</f>
        <v>7.6964130110348053E-4</v>
      </c>
      <c r="N6" s="7">
        <f>$B6 * IFERROR(VLOOKUP("transport|NOx|Asthma symptoms cough", US_national_yearly!$D:$AM, 22, FALSE) / VLOOKUP("transport|NOx|Asthma symptoms cough", US_national_yearly!$D:$AM, 10, FALSE), 1)</f>
        <v>7.7270232054072569E-4</v>
      </c>
      <c r="O6" s="7">
        <f>$B6 * IFERROR(VLOOKUP("transport|NOx|Asthma symptoms cough", US_national_yearly!$D:$AM, 23, FALSE) / VLOOKUP("transport|NOx|Asthma symptoms cough", US_national_yearly!$D:$AM, 10, FALSE), 1)</f>
        <v>7.7576333997797086E-4</v>
      </c>
      <c r="P6" s="7">
        <f>$B6 * IFERROR(VLOOKUP("transport|NOx|Asthma symptoms cough", US_national_yearly!$D:$AM, 24, FALSE) / VLOOKUP("transport|NOx|Asthma symptoms cough", US_national_yearly!$D:$AM, 10, FALSE), 1)</f>
        <v>7.7882435941521602E-4</v>
      </c>
      <c r="Q6" s="7">
        <f>$B6 * IFERROR(VLOOKUP("transport|NOx|Asthma symptoms cough", US_national_yearly!$D:$AM, 25, FALSE) / VLOOKUP("transport|NOx|Asthma symptoms cough", US_national_yearly!$D:$AM, 10, FALSE), 1)</f>
        <v>7.818853788524613E-4</v>
      </c>
      <c r="R6" s="7">
        <f>$B6 * IFERROR(VLOOKUP("transport|NOx|Asthma symptoms cough", US_national_yearly!$D:$AM, 26, FALSE) / VLOOKUP("transport|NOx|Asthma symptoms cough", US_national_yearly!$D:$AM, 10, FALSE), 1)</f>
        <v>7.8494639828970646E-4</v>
      </c>
      <c r="S6" s="7">
        <f>$B6 * IFERROR(VLOOKUP("transport|NOx|Asthma symptoms cough", US_national_yearly!$D:$AM, 27, FALSE) / VLOOKUP("transport|NOx|Asthma symptoms cough", US_national_yearly!$D:$AM, 10, FALSE), 1)</f>
        <v>7.8894506460221528E-4</v>
      </c>
      <c r="T6" s="7">
        <f>$B6 * IFERROR(VLOOKUP("transport|NOx|Asthma symptoms cough", US_national_yearly!$D:$AM, 28, FALSE) / VLOOKUP("transport|NOx|Asthma symptoms cough", US_national_yearly!$D:$AM, 10, FALSE), 1)</f>
        <v>7.9294373091472387E-4</v>
      </c>
      <c r="U6" s="7">
        <f>$B6 * IFERROR(VLOOKUP("transport|NOx|Asthma symptoms cough", US_national_yearly!$D:$AM, 29, FALSE) / VLOOKUP("transport|NOx|Asthma symptoms cough", US_national_yearly!$D:$AM, 10, FALSE), 1)</f>
        <v>7.9694239722723236E-4</v>
      </c>
      <c r="V6" s="7">
        <f>$B6 * IFERROR(VLOOKUP("transport|NOx|Asthma symptoms cough", US_national_yearly!$D:$AM, 30, FALSE) / VLOOKUP("transport|NOx|Asthma symptoms cough", US_national_yearly!$D:$AM, 10, FALSE), 1)</f>
        <v>8.0094106353974118E-4</v>
      </c>
      <c r="W6" s="7">
        <f>$B6 * IFERROR(VLOOKUP("transport|NOx|Asthma symptoms cough", US_national_yearly!$D:$AM, 31, FALSE) / VLOOKUP("transport|NOx|Asthma symptoms cough", US_national_yearly!$D:$AM, 10, FALSE), 1)</f>
        <v>8.0493972985224988E-4</v>
      </c>
      <c r="X6" s="7">
        <f>$B6 * IFERROR(VLOOKUP("transport|NOx|Asthma symptoms cough", US_national_yearly!$D:$AM, 32, FALSE) / VLOOKUP("transport|NOx|Asthma symptoms cough", US_national_yearly!$D:$AM, 10, FALSE), 1)</f>
        <v>8.0865506540712961E-4</v>
      </c>
      <c r="Y6" s="7">
        <f>$B6 * IFERROR(VLOOKUP("transport|NOx|Asthma symptoms cough", US_national_yearly!$D:$AM, 33, FALSE) / VLOOKUP("transport|NOx|Asthma symptoms cough", US_national_yearly!$D:$AM, 10, FALSE), 1)</f>
        <v>8.1237040096200934E-4</v>
      </c>
      <c r="Z6" s="7">
        <f>$B6 * IFERROR(VLOOKUP("transport|NOx|Asthma symptoms cough", US_national_yearly!$D:$AM, 34, FALSE) / VLOOKUP("transport|NOx|Asthma symptoms cough", US_national_yearly!$D:$AM, 10, FALSE), 1)</f>
        <v>8.1608573651688907E-4</v>
      </c>
      <c r="AA6" s="7">
        <f>$B6 * IFERROR(VLOOKUP("transport|NOx|Asthma symptoms cough", US_national_yearly!$D:$AM, 35, FALSE) / VLOOKUP("transport|NOx|Asthma symptoms cough", US_national_yearly!$D:$AM, 10, FALSE), 1)</f>
        <v>8.1980107207176869E-4</v>
      </c>
      <c r="AB6" s="7">
        <f>$B6 * IFERROR(VLOOKUP("transport|NOx|Asthma symptoms cough", US_national_yearly!$D:$AM, 36, FALSE) / VLOOKUP("transport|NOx|Asthma symptoms cough", US_national_yearly!$D:$AM, 10, FALSE), 1)</f>
        <v>8.2351640762664863E-4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9.4624703729622025E-4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9.5918378133860553E-4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9.7212052538099059E-4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9.8505726942337587E-4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9.9799401346576115E-4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1.0083221957867864E-3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1.0186503781078116E-3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1.0222051907958836E-3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1.0257600034839557E-3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1.0293148161720277E-3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1.0328696288600999E-3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1.0364244415481719E-3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1.0405465115911402E-3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1.0446685816341084E-3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1.0487906516770764E-3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1.0529127217200444E-3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1.0570347917630127E-3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1.0624195281237997E-3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1.0678042644845867E-3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1.0731890008453737E-3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1.0785737372061605E-3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1.0839584735669473E-3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1.088961667351615E-3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1.0939648611362825E-3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1.0989680549209502E-3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1.103971248705618E-3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1.1089744424902855E-3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1.4457352217461907E-3</v>
      </c>
      <c r="C8" s="7">
        <f>$B8 * IFERROR(VLOOKUP("transport|NOx|Asthma symptoms wheeze", US_national_yearly!$D:$AM, 11, FALSE) / VLOOKUP("transport|NOx|Asthma symptoms wheeze", US_national_yearly!$D:$AM, 10, FALSE), 1)</f>
        <v>1.4655007859382388E-3</v>
      </c>
      <c r="D8" s="7">
        <f>$B8 * IFERROR(VLOOKUP("transport|NOx|Asthma symptoms wheeze", US_national_yearly!$D:$AM, 12, FALSE) / VLOOKUP("transport|NOx|Asthma symptoms wheeze", US_national_yearly!$D:$AM, 10, FALSE), 1)</f>
        <v>1.4852663501302877E-3</v>
      </c>
      <c r="E8" s="7">
        <f>$B8 * IFERROR(VLOOKUP("transport|NOx|Asthma symptoms wheeze", US_national_yearly!$D:$AM, 13, FALSE) / VLOOKUP("transport|NOx|Asthma symptoms wheeze", US_national_yearly!$D:$AM, 10, FALSE), 1)</f>
        <v>1.5050319143223357E-3</v>
      </c>
      <c r="F8" s="7">
        <f>$B8 * IFERROR(VLOOKUP("transport|NOx|Asthma symptoms wheeze", US_national_yearly!$D:$AM, 14, FALSE) / VLOOKUP("transport|NOx|Asthma symptoms wheeze", US_national_yearly!$D:$AM, 10, FALSE), 1)</f>
        <v>1.5247974785143838E-3</v>
      </c>
      <c r="G8" s="7">
        <f>$B8 * IFERROR(VLOOKUP("transport|NOx|Asthma symptoms wheeze", US_national_yearly!$D:$AM, 15, FALSE) / VLOOKUP("transport|NOx|Asthma symptoms wheeze", US_national_yearly!$D:$AM, 10, FALSE), 1)</f>
        <v>1.5405775194824974E-3</v>
      </c>
      <c r="H8" s="7">
        <f>$B8 * IFERROR(VLOOKUP("transport|NOx|Asthma symptoms wheeze", US_national_yearly!$D:$AM, 16, FALSE) / VLOOKUP("transport|NOx|Asthma symptoms wheeze", US_national_yearly!$D:$AM, 10, FALSE), 1)</f>
        <v>1.5563575604506108E-3</v>
      </c>
      <c r="I8" s="7">
        <f>$B8 * IFERROR(VLOOKUP("transport|NOx|Asthma symptoms wheeze", US_national_yearly!$D:$AM, 17, FALSE) / VLOOKUP("transport|NOx|Asthma symptoms wheeze", US_national_yearly!$D:$AM, 10, FALSE), 1)</f>
        <v>1.5617888249843533E-3</v>
      </c>
      <c r="J8" s="7">
        <f>$B8 * IFERROR(VLOOKUP("transport|NOx|Asthma symptoms wheeze", US_national_yearly!$D:$AM, 18, FALSE) / VLOOKUP("transport|NOx|Asthma symptoms wheeze", US_national_yearly!$D:$AM, 10, FALSE), 1)</f>
        <v>1.5672200895180963E-3</v>
      </c>
      <c r="K8" s="7">
        <f>$B8 * IFERROR(VLOOKUP("transport|NOx|Asthma symptoms wheeze", US_national_yearly!$D:$AM, 19, FALSE) / VLOOKUP("transport|NOx|Asthma symptoms wheeze", US_national_yearly!$D:$AM, 10, FALSE), 1)</f>
        <v>1.5726513540518384E-3</v>
      </c>
      <c r="L8" s="7">
        <f>$B8 * IFERROR(VLOOKUP("transport|NOx|Asthma symptoms wheeze", US_national_yearly!$D:$AM, 20, FALSE) / VLOOKUP("transport|NOx|Asthma symptoms wheeze", US_national_yearly!$D:$AM, 10, FALSE), 1)</f>
        <v>1.5780826185855814E-3</v>
      </c>
      <c r="M8" s="7">
        <f>$B8 * IFERROR(VLOOKUP("transport|NOx|Asthma symptoms wheeze", US_national_yearly!$D:$AM, 21, FALSE) / VLOOKUP("transport|NOx|Asthma symptoms wheeze", US_national_yearly!$D:$AM, 10, FALSE), 1)</f>
        <v>1.5835138831193239E-3</v>
      </c>
      <c r="N8" s="7">
        <f>$B8 * IFERROR(VLOOKUP("transport|NOx|Asthma symptoms wheeze", US_national_yearly!$D:$AM, 22, FALSE) / VLOOKUP("transport|NOx|Asthma symptoms wheeze", US_national_yearly!$D:$AM, 10, FALSE), 1)</f>
        <v>1.5898118388001517E-3</v>
      </c>
      <c r="O8" s="7">
        <f>$B8 * IFERROR(VLOOKUP("transport|NOx|Asthma symptoms wheeze", US_national_yearly!$D:$AM, 23, FALSE) / VLOOKUP("transport|NOx|Asthma symptoms wheeze", US_national_yearly!$D:$AM, 10, FALSE), 1)</f>
        <v>1.5961097944809798E-3</v>
      </c>
      <c r="P8" s="7">
        <f>$B8 * IFERROR(VLOOKUP("transport|NOx|Asthma symptoms wheeze", US_national_yearly!$D:$AM, 24, FALSE) / VLOOKUP("transport|NOx|Asthma symptoms wheeze", US_national_yearly!$D:$AM, 10, FALSE), 1)</f>
        <v>1.6024077501618074E-3</v>
      </c>
      <c r="Q8" s="7">
        <f>$B8 * IFERROR(VLOOKUP("transport|NOx|Asthma symptoms wheeze", US_national_yearly!$D:$AM, 25, FALSE) / VLOOKUP("transport|NOx|Asthma symptoms wheeze", US_national_yearly!$D:$AM, 10, FALSE), 1)</f>
        <v>1.6087057058426354E-3</v>
      </c>
      <c r="R8" s="7">
        <f>$B8 * IFERROR(VLOOKUP("transport|NOx|Asthma symptoms wheeze", US_national_yearly!$D:$AM, 26, FALSE) / VLOOKUP("transport|NOx|Asthma symptoms wheeze", US_national_yearly!$D:$AM, 10, FALSE), 1)</f>
        <v>1.6150036615234632E-3</v>
      </c>
      <c r="S8" s="7">
        <f>$B8 * IFERROR(VLOOKUP("transport|NOx|Asthma symptoms wheeze", US_national_yearly!$D:$AM, 27, FALSE) / VLOOKUP("transport|NOx|Asthma symptoms wheeze", US_national_yearly!$D:$AM, 10, FALSE), 1)</f>
        <v>1.6232307975217715E-3</v>
      </c>
      <c r="T8" s="7">
        <f>$B8 * IFERROR(VLOOKUP("transport|NOx|Asthma symptoms wheeze", US_national_yearly!$D:$AM, 28, FALSE) / VLOOKUP("transport|NOx|Asthma symptoms wheeze", US_national_yearly!$D:$AM, 10, FALSE), 1)</f>
        <v>1.6314579335200798E-3</v>
      </c>
      <c r="U8" s="7">
        <f>$B8 * IFERROR(VLOOKUP("transport|NOx|Asthma symptoms wheeze", US_national_yearly!$D:$AM, 29, FALSE) / VLOOKUP("transport|NOx|Asthma symptoms wheeze", US_national_yearly!$D:$AM, 10, FALSE), 1)</f>
        <v>1.6396850695183883E-3</v>
      </c>
      <c r="V8" s="7">
        <f>$B8 * IFERROR(VLOOKUP("transport|NOx|Asthma symptoms wheeze", US_national_yearly!$D:$AM, 30, FALSE) / VLOOKUP("transport|NOx|Asthma symptoms wheeze", US_national_yearly!$D:$AM, 10, FALSE), 1)</f>
        <v>1.6479122055166968E-3</v>
      </c>
      <c r="W8" s="7">
        <f>$B8 * IFERROR(VLOOKUP("transport|NOx|Asthma symptoms wheeze", US_national_yearly!$D:$AM, 31, FALSE) / VLOOKUP("transport|NOx|Asthma symptoms wheeze", US_national_yearly!$D:$AM, 10, FALSE), 1)</f>
        <v>1.6561393415150049E-3</v>
      </c>
      <c r="X8" s="7">
        <f>$B8 * IFERROR(VLOOKUP("transport|NOx|Asthma symptoms wheeze", US_national_yearly!$D:$AM, 32, FALSE) / VLOOKUP("transport|NOx|Asthma symptoms wheeze", US_national_yearly!$D:$AM, 10, FALSE), 1)</f>
        <v>1.6637835329753781E-3</v>
      </c>
      <c r="Y8" s="7">
        <f>$B8 * IFERROR(VLOOKUP("transport|NOx|Asthma symptoms wheeze", US_national_yearly!$D:$AM, 33, FALSE) / VLOOKUP("transport|NOx|Asthma symptoms wheeze", US_national_yearly!$D:$AM, 10, FALSE), 1)</f>
        <v>1.671427724435751E-3</v>
      </c>
      <c r="Z8" s="7">
        <f>$B8 * IFERROR(VLOOKUP("transport|NOx|Asthma symptoms wheeze", US_national_yearly!$D:$AM, 34, FALSE) / VLOOKUP("transport|NOx|Asthma symptoms wheeze", US_national_yearly!$D:$AM, 10, FALSE), 1)</f>
        <v>1.6790719158961242E-3</v>
      </c>
      <c r="AA8" s="7">
        <f>$B8 * IFERROR(VLOOKUP("transport|NOx|Asthma symptoms wheeze", US_national_yearly!$D:$AM, 35, FALSE) / VLOOKUP("transport|NOx|Asthma symptoms wheeze", US_national_yearly!$D:$AM, 10, FALSE), 1)</f>
        <v>1.686716107356497E-3</v>
      </c>
      <c r="AB8" s="7">
        <f>$B8 * IFERROR(VLOOKUP("transport|NOx|Asthma symptoms wheeze", US_national_yearly!$D:$AM, 36, FALSE) / VLOOKUP("transport|NOx|Asthma symptoms wheeze", US_national_yearly!$D:$AM, 10, FALSE), 1)</f>
        <v>1.6943602988168701E-3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3.6071923402732486E-5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3.6971725437191243E-5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3.7871527471650007E-5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3.8771329506108771E-5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3.9671131540567542E-5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4.0531372911125836E-5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4.1391614281684137E-5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4.2121976890061003E-5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4.2852339498437855E-5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4.3582702106814721E-5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4.431306471519158E-5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4.5043427323568446E-5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4.5531687877125305E-5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4.6019948430682184E-5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4.6508208984239049E-5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4.6996469537795928E-5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4.7484730091352793E-5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4.7746326865620074E-5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4.8007923639887362E-5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4.8269520414154643E-5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4.8531117188421917E-5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4.8792713962689204E-5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4.8971481372167498E-5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4.9150248781645799E-5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4.9329016191124093E-5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4.9507783600602393E-5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4.9686551010080687E-5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1.3390585037685566E-4</v>
      </c>
      <c r="C13" s="7">
        <f>$B13 * IFERROR(VLOOKUP("transport|NOx|Non-fatal heart attacks", US_national_yearly!$D:$AM, 11, FALSE) / VLOOKUP("transport|NOx|Non-fatal heart attacks", US_national_yearly!$D:$AM, 10, FALSE), 1)</f>
        <v>1.3773410066054848E-4</v>
      </c>
      <c r="D13" s="7">
        <f>$B13 * IFERROR(VLOOKUP("transport|NOx|Non-fatal heart attacks", US_national_yearly!$D:$AM, 12, FALSE) / VLOOKUP("transport|NOx|Non-fatal heart attacks", US_national_yearly!$D:$AM, 10, FALSE), 1)</f>
        <v>1.4156235094424128E-4</v>
      </c>
      <c r="E13" s="7">
        <f>$B13 * IFERROR(VLOOKUP("transport|NOx|Non-fatal heart attacks", US_national_yearly!$D:$AM, 13, FALSE) / VLOOKUP("transport|NOx|Non-fatal heart attacks", US_national_yearly!$D:$AM, 10, FALSE), 1)</f>
        <v>1.4539060122793407E-4</v>
      </c>
      <c r="F13" s="7">
        <f>$B13 * IFERROR(VLOOKUP("transport|NOx|Non-fatal heart attacks", US_national_yearly!$D:$AM, 14, FALSE) / VLOOKUP("transport|NOx|Non-fatal heart attacks", US_national_yearly!$D:$AM, 10, FALSE), 1)</f>
        <v>1.492188515116269E-4</v>
      </c>
      <c r="G13" s="7">
        <f>$B13 * IFERROR(VLOOKUP("transport|NOx|Non-fatal heart attacks", US_national_yearly!$D:$AM, 15, FALSE) / VLOOKUP("transport|NOx|Non-fatal heart attacks", US_national_yearly!$D:$AM, 10, FALSE), 1)</f>
        <v>1.5279634344530488E-4</v>
      </c>
      <c r="H13" s="7">
        <f>$B13 * IFERROR(VLOOKUP("transport|NOx|Non-fatal heart attacks", US_national_yearly!$D:$AM, 16, FALSE) / VLOOKUP("transport|NOx|Non-fatal heart attacks", US_national_yearly!$D:$AM, 10, FALSE), 1)</f>
        <v>1.5637383537898288E-4</v>
      </c>
      <c r="I13" s="7">
        <f>$B13 * IFERROR(VLOOKUP("transport|NOx|Non-fatal heart attacks", US_national_yearly!$D:$AM, 17, FALSE) / VLOOKUP("transport|NOx|Non-fatal heart attacks", US_national_yearly!$D:$AM, 10, FALSE), 1)</f>
        <v>1.591942788223132E-4</v>
      </c>
      <c r="J13" s="7">
        <f>$B13 * IFERROR(VLOOKUP("transport|NOx|Non-fatal heart attacks", US_national_yearly!$D:$AM, 18, FALSE) / VLOOKUP("transport|NOx|Non-fatal heart attacks", US_national_yearly!$D:$AM, 10, FALSE), 1)</f>
        <v>1.6201472226564357E-4</v>
      </c>
      <c r="K13" s="7">
        <f>$B13 * IFERROR(VLOOKUP("transport|NOx|Non-fatal heart attacks", US_national_yearly!$D:$AM, 19, FALSE) / VLOOKUP("transport|NOx|Non-fatal heart attacks", US_national_yearly!$D:$AM, 10, FALSE), 1)</f>
        <v>1.6483516570897381E-4</v>
      </c>
      <c r="L13" s="7">
        <f>$B13 * IFERROR(VLOOKUP("transport|NOx|Non-fatal heart attacks", US_national_yearly!$D:$AM, 20, FALSE) / VLOOKUP("transport|NOx|Non-fatal heart attacks", US_national_yearly!$D:$AM, 10, FALSE), 1)</f>
        <v>1.6765560915230426E-4</v>
      </c>
      <c r="M13" s="7">
        <f>$B13 * IFERROR(VLOOKUP("transport|NOx|Non-fatal heart attacks", US_national_yearly!$D:$AM, 21, FALSE) / VLOOKUP("transport|NOx|Non-fatal heart attacks", US_national_yearly!$D:$AM, 10, FALSE), 1)</f>
        <v>1.7047605259563455E-4</v>
      </c>
      <c r="N13" s="7">
        <f>$B13 * IFERROR(VLOOKUP("transport|NOx|Non-fatal heart attacks", US_national_yearly!$D:$AM, 22, FALSE) / VLOOKUP("transport|NOx|Non-fatal heart attacks", US_national_yearly!$D:$AM, 10, FALSE), 1)</f>
        <v>1.7217291690553943E-4</v>
      </c>
      <c r="O13" s="7">
        <f>$B13 * IFERROR(VLOOKUP("transport|NOx|Non-fatal heart attacks", US_national_yearly!$D:$AM, 23, FALSE) / VLOOKUP("transport|NOx|Non-fatal heart attacks", US_national_yearly!$D:$AM, 10, FALSE), 1)</f>
        <v>1.738697812154443E-4</v>
      </c>
      <c r="P13" s="7">
        <f>$B13 * IFERROR(VLOOKUP("transport|NOx|Non-fatal heart attacks", US_national_yearly!$D:$AM, 24, FALSE) / VLOOKUP("transport|NOx|Non-fatal heart attacks", US_national_yearly!$D:$AM, 10, FALSE), 1)</f>
        <v>1.7556664552534912E-4</v>
      </c>
      <c r="Q13" s="7">
        <f>$B13 * IFERROR(VLOOKUP("transport|NOx|Non-fatal heart attacks", US_national_yearly!$D:$AM, 25, FALSE) / VLOOKUP("transport|NOx|Non-fatal heart attacks", US_national_yearly!$D:$AM, 10, FALSE), 1)</f>
        <v>1.7726350983525402E-4</v>
      </c>
      <c r="R13" s="7">
        <f>$B13 * IFERROR(VLOOKUP("transport|NOx|Non-fatal heart attacks", US_national_yearly!$D:$AM, 26, FALSE) / VLOOKUP("transport|NOx|Non-fatal heart attacks", US_national_yearly!$D:$AM, 10, FALSE), 1)</f>
        <v>1.789603741451589E-4</v>
      </c>
      <c r="S13" s="7">
        <f>$B13 * IFERROR(VLOOKUP("transport|NOx|Non-fatal heart attacks", US_national_yearly!$D:$AM, 27, FALSE) / VLOOKUP("transport|NOx|Non-fatal heart attacks", US_national_yearly!$D:$AM, 10, FALSE), 1)</f>
        <v>1.7973008353227657E-4</v>
      </c>
      <c r="T13" s="7">
        <f>$B13 * IFERROR(VLOOKUP("transport|NOx|Non-fatal heart attacks", US_national_yearly!$D:$AM, 28, FALSE) / VLOOKUP("transport|NOx|Non-fatal heart attacks", US_national_yearly!$D:$AM, 10, FALSE), 1)</f>
        <v>1.8049979291939424E-4</v>
      </c>
      <c r="U13" s="7">
        <f>$B13 * IFERROR(VLOOKUP("transport|NOx|Non-fatal heart attacks", US_national_yearly!$D:$AM, 29, FALSE) / VLOOKUP("transport|NOx|Non-fatal heart attacks", US_national_yearly!$D:$AM, 10, FALSE), 1)</f>
        <v>1.8126950230651191E-4</v>
      </c>
      <c r="V13" s="7">
        <f>$B13 * IFERROR(VLOOKUP("transport|NOx|Non-fatal heart attacks", US_national_yearly!$D:$AM, 30, FALSE) / VLOOKUP("transport|NOx|Non-fatal heart attacks", US_national_yearly!$D:$AM, 10, FALSE), 1)</f>
        <v>1.8203921169362958E-4</v>
      </c>
      <c r="W13" s="7">
        <f>$B13 * IFERROR(VLOOKUP("transport|NOx|Non-fatal heart attacks", US_national_yearly!$D:$AM, 31, FALSE) / VLOOKUP("transport|NOx|Non-fatal heart attacks", US_national_yearly!$D:$AM, 10, FALSE), 1)</f>
        <v>1.8280892108074725E-4</v>
      </c>
      <c r="X13" s="7">
        <f>$B13 * IFERROR(VLOOKUP("transport|NOx|Non-fatal heart attacks", US_national_yearly!$D:$AM, 32, FALSE) / VLOOKUP("transport|NOx|Non-fatal heart attacks", US_national_yearly!$D:$AM, 10, FALSE), 1)</f>
        <v>1.8332328139394983E-4</v>
      </c>
      <c r="Y13" s="7">
        <f>$B13 * IFERROR(VLOOKUP("transport|NOx|Non-fatal heart attacks", US_national_yearly!$D:$AM, 33, FALSE) / VLOOKUP("transport|NOx|Non-fatal heart attacks", US_national_yearly!$D:$AM, 10, FALSE), 1)</f>
        <v>1.8383764170715246E-4</v>
      </c>
      <c r="Z13" s="7">
        <f>$B13 * IFERROR(VLOOKUP("transport|NOx|Non-fatal heart attacks", US_national_yearly!$D:$AM, 34, FALSE) / VLOOKUP("transport|NOx|Non-fatal heart attacks", US_national_yearly!$D:$AM, 10, FALSE), 1)</f>
        <v>1.8435200202035501E-4</v>
      </c>
      <c r="AA13" s="7">
        <f>$B13 * IFERROR(VLOOKUP("transport|NOx|Non-fatal heart attacks", US_national_yearly!$D:$AM, 35, FALSE) / VLOOKUP("transport|NOx|Non-fatal heart attacks", US_national_yearly!$D:$AM, 10, FALSE), 1)</f>
        <v>1.8486636233355758E-4</v>
      </c>
      <c r="AB13" s="7">
        <f>$B13 * IFERROR(VLOOKUP("transport|NOx|Non-fatal heart attacks", US_national_yearly!$D:$AM, 36, FALSE) / VLOOKUP("transport|NOx|Non-fatal heart attacks", US_national_yearly!$D:$AM, 10, FALSE), 1)</f>
        <v>1.8538072264676021E-4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9.0974661270102689E-2</v>
      </c>
      <c r="C14" s="7">
        <f>$B14 * IFERROR(VLOOKUP("transport|NOx|Minor restricted activity days", US_national_yearly!$D:$AM, 11, FALSE) / VLOOKUP("transport|NOx|Minor restricted activity days", US_national_yearly!$D:$AM, 10, FALSE), 1)</f>
        <v>9.1114140693072082E-2</v>
      </c>
      <c r="D14" s="7">
        <f>$B14 * IFERROR(VLOOKUP("transport|NOx|Minor restricted activity days", US_national_yearly!$D:$AM, 12, FALSE) / VLOOKUP("transport|NOx|Minor restricted activity days", US_national_yearly!$D:$AM, 10, FALSE), 1)</f>
        <v>9.1253620116041489E-2</v>
      </c>
      <c r="E14" s="7">
        <f>$B14 * IFERROR(VLOOKUP("transport|NOx|Minor restricted activity days", US_national_yearly!$D:$AM, 13, FALSE) / VLOOKUP("transport|NOx|Minor restricted activity days", US_national_yearly!$D:$AM, 10, FALSE), 1)</f>
        <v>9.1393099539010897E-2</v>
      </c>
      <c r="F14" s="7">
        <f>$B14 * IFERROR(VLOOKUP("transport|NOx|Minor restricted activity days", US_national_yearly!$D:$AM, 14, FALSE) / VLOOKUP("transport|NOx|Minor restricted activity days", US_national_yearly!$D:$AM, 10, FALSE), 1)</f>
        <v>9.153257896198029E-2</v>
      </c>
      <c r="G14" s="7">
        <f>$B14 * IFERROR(VLOOKUP("transport|NOx|Minor restricted activity days", US_national_yearly!$D:$AM, 15, FALSE) / VLOOKUP("transport|NOx|Minor restricted activity days", US_national_yearly!$D:$AM, 10, FALSE), 1)</f>
        <v>9.1784445600907608E-2</v>
      </c>
      <c r="H14" s="7">
        <f>$B14 * IFERROR(VLOOKUP("transport|NOx|Minor restricted activity days", US_national_yearly!$D:$AM, 16, FALSE) / VLOOKUP("transport|NOx|Minor restricted activity days", US_national_yearly!$D:$AM, 10, FALSE), 1)</f>
        <v>9.2036312239834911E-2</v>
      </c>
      <c r="I14" s="7">
        <f>$B14 * IFERROR(VLOOKUP("transport|NOx|Minor restricted activity days", US_national_yearly!$D:$AM, 17, FALSE) / VLOOKUP("transport|NOx|Minor restricted activity days", US_national_yearly!$D:$AM, 10, FALSE), 1)</f>
        <v>9.2528953425739247E-2</v>
      </c>
      <c r="J14" s="7">
        <f>$B14 * IFERROR(VLOOKUP("transport|NOx|Minor restricted activity days", US_national_yearly!$D:$AM, 18, FALSE) / VLOOKUP("transport|NOx|Minor restricted activity days", US_national_yearly!$D:$AM, 10, FALSE), 1)</f>
        <v>9.3021594611643568E-2</v>
      </c>
      <c r="K14" s="7">
        <f>$B14 * IFERROR(VLOOKUP("transport|NOx|Minor restricted activity days", US_national_yearly!$D:$AM, 19, FALSE) / VLOOKUP("transport|NOx|Minor restricted activity days", US_national_yearly!$D:$AM, 10, FALSE), 1)</f>
        <v>9.3514235797547904E-2</v>
      </c>
      <c r="L14" s="7">
        <f>$B14 * IFERROR(VLOOKUP("transport|NOx|Minor restricted activity days", US_national_yearly!$D:$AM, 20, FALSE) / VLOOKUP("transport|NOx|Minor restricted activity days", US_national_yearly!$D:$AM, 10, FALSE), 1)</f>
        <v>9.4006876983452226E-2</v>
      </c>
      <c r="M14" s="7">
        <f>$B14 * IFERROR(VLOOKUP("transport|NOx|Minor restricted activity days", US_national_yearly!$D:$AM, 21, FALSE) / VLOOKUP("transport|NOx|Minor restricted activity days", US_national_yearly!$D:$AM, 10, FALSE), 1)</f>
        <v>9.4499518169356561E-2</v>
      </c>
      <c r="N14" s="7">
        <f>$B14 * IFERROR(VLOOKUP("transport|NOx|Minor restricted activity days", US_national_yearly!$D:$AM, 22, FALSE) / VLOOKUP("transport|NOx|Minor restricted activity days", US_national_yearly!$D:$AM, 10, FALSE), 1)</f>
        <v>9.5204868643602114E-2</v>
      </c>
      <c r="O14" s="7">
        <f>$B14 * IFERROR(VLOOKUP("transport|NOx|Minor restricted activity days", US_national_yearly!$D:$AM, 23, FALSE) / VLOOKUP("transport|NOx|Minor restricted activity days", US_national_yearly!$D:$AM, 10, FALSE), 1)</f>
        <v>9.5910219117847667E-2</v>
      </c>
      <c r="P14" s="7">
        <f>$B14 * IFERROR(VLOOKUP("transport|NOx|Minor restricted activity days", US_national_yearly!$D:$AM, 24, FALSE) / VLOOKUP("transport|NOx|Minor restricted activity days", US_national_yearly!$D:$AM, 10, FALSE), 1)</f>
        <v>9.6615569592093206E-2</v>
      </c>
      <c r="Q14" s="7">
        <f>$B14 * IFERROR(VLOOKUP("transport|NOx|Minor restricted activity days", US_national_yearly!$D:$AM, 25, FALSE) / VLOOKUP("transport|NOx|Minor restricted activity days", US_national_yearly!$D:$AM, 10, FALSE), 1)</f>
        <v>9.7320920066338759E-2</v>
      </c>
      <c r="R14" s="7">
        <f>$B14 * IFERROR(VLOOKUP("transport|NOx|Minor restricted activity days", US_national_yearly!$D:$AM, 26, FALSE) / VLOOKUP("transport|NOx|Minor restricted activity days", US_national_yearly!$D:$AM, 10, FALSE), 1)</f>
        <v>9.8026270540584312E-2</v>
      </c>
      <c r="S14" s="7">
        <f>$B14 * IFERROR(VLOOKUP("transport|NOx|Minor restricted activity days", US_national_yearly!$D:$AM, 27, FALSE) / VLOOKUP("transport|NOx|Minor restricted activity days", US_national_yearly!$D:$AM, 10, FALSE), 1)</f>
        <v>9.8731472716402341E-2</v>
      </c>
      <c r="T14" s="7">
        <f>$B14 * IFERROR(VLOOKUP("transport|NOx|Minor restricted activity days", US_national_yearly!$D:$AM, 28, FALSE) / VLOOKUP("transport|NOx|Minor restricted activity days", US_national_yearly!$D:$AM, 10, FALSE), 1)</f>
        <v>9.9436674892220342E-2</v>
      </c>
      <c r="U14" s="7">
        <f>$B14 * IFERROR(VLOOKUP("transport|NOx|Minor restricted activity days", US_national_yearly!$D:$AM, 29, FALSE) / VLOOKUP("transport|NOx|Minor restricted activity days", US_national_yearly!$D:$AM, 10, FALSE), 1)</f>
        <v>0.10014187706803837</v>
      </c>
      <c r="V14" s="7">
        <f>$B14 * IFERROR(VLOOKUP("transport|NOx|Minor restricted activity days", US_national_yearly!$D:$AM, 30, FALSE) / VLOOKUP("transport|NOx|Minor restricted activity days", US_national_yearly!$D:$AM, 10, FALSE), 1)</f>
        <v>0.1008470792438564</v>
      </c>
      <c r="W14" s="7">
        <f>$B14 * IFERROR(VLOOKUP("transport|NOx|Minor restricted activity days", US_national_yearly!$D:$AM, 31, FALSE) / VLOOKUP("transport|NOx|Minor restricted activity days", US_national_yearly!$D:$AM, 10, FALSE), 1)</f>
        <v>0.10155228141967441</v>
      </c>
      <c r="X14" s="7">
        <f>$B14 * IFERROR(VLOOKUP("transport|NOx|Minor restricted activity days", US_national_yearly!$D:$AM, 32, FALSE) / VLOOKUP("transport|NOx|Minor restricted activity days", US_national_yearly!$D:$AM, 10, FALSE), 1)</f>
        <v>0.10214850299406644</v>
      </c>
      <c r="Y14" s="7">
        <f>$B14 * IFERROR(VLOOKUP("transport|NOx|Minor restricted activity days", US_national_yearly!$D:$AM, 33, FALSE) / VLOOKUP("transport|NOx|Minor restricted activity days", US_national_yearly!$D:$AM, 10, FALSE), 1)</f>
        <v>0.10274472456845847</v>
      </c>
      <c r="Z14" s="7">
        <f>$B14 * IFERROR(VLOOKUP("transport|NOx|Minor restricted activity days", US_national_yearly!$D:$AM, 34, FALSE) / VLOOKUP("transport|NOx|Minor restricted activity days", US_national_yearly!$D:$AM, 10, FALSE), 1)</f>
        <v>0.1033409461428505</v>
      </c>
      <c r="AA14" s="7">
        <f>$B14 * IFERROR(VLOOKUP("transport|NOx|Minor restricted activity days", US_national_yearly!$D:$AM, 35, FALSE) / VLOOKUP("transport|NOx|Minor restricted activity days", US_national_yearly!$D:$AM, 10, FALSE), 1)</f>
        <v>0.10393716771724253</v>
      </c>
      <c r="AB14" s="7">
        <f>$B14 * IFERROR(VLOOKUP("transport|NOx|Minor restricted activity days", US_national_yearly!$D:$AM, 36, FALSE) / VLOOKUP("transport|NOx|Minor restricted activity days", US_national_yearly!$D:$AM, 10, FALSE), 1)</f>
        <v>0.10453338929163455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1.5226183050639761E-2</v>
      </c>
      <c r="C15" s="7">
        <f>$B15 * IFERROR(VLOOKUP("transport|NOx|Work loss days", US_national_yearly!$D:$AM, 11, FALSE) / VLOOKUP("transport|NOx|Work loss days", US_national_yearly!$D:$AM, 10, FALSE), 1)</f>
        <v>1.5260052875719002E-2</v>
      </c>
      <c r="D15" s="7">
        <f>$B15 * IFERROR(VLOOKUP("transport|NOx|Work loss days", US_national_yearly!$D:$AM, 12, FALSE) / VLOOKUP("transport|NOx|Work loss days", US_national_yearly!$D:$AM, 10, FALSE), 1)</f>
        <v>1.5293922700798249E-2</v>
      </c>
      <c r="E15" s="7">
        <f>$B15 * IFERROR(VLOOKUP("transport|NOx|Work loss days", US_national_yearly!$D:$AM, 13, FALSE) / VLOOKUP("transport|NOx|Work loss days", US_national_yearly!$D:$AM, 10, FALSE), 1)</f>
        <v>1.5327792525877491E-2</v>
      </c>
      <c r="F15" s="7">
        <f>$B15 * IFERROR(VLOOKUP("transport|NOx|Work loss days", US_national_yearly!$D:$AM, 14, FALSE) / VLOOKUP("transport|NOx|Work loss days", US_national_yearly!$D:$AM, 10, FALSE), 1)</f>
        <v>1.5361662350956736E-2</v>
      </c>
      <c r="G15" s="7">
        <f>$B15 * IFERROR(VLOOKUP("transport|NOx|Work loss days", US_national_yearly!$D:$AM, 15, FALSE) / VLOOKUP("transport|NOx|Work loss days", US_national_yearly!$D:$AM, 10, FALSE), 1)</f>
        <v>1.5411112584497077E-2</v>
      </c>
      <c r="H15" s="7">
        <f>$B15 * IFERROR(VLOOKUP("transport|NOx|Work loss days", US_national_yearly!$D:$AM, 16, FALSE) / VLOOKUP("transport|NOx|Work loss days", US_national_yearly!$D:$AM, 10, FALSE), 1)</f>
        <v>1.5460562818037421E-2</v>
      </c>
      <c r="I15" s="7">
        <f>$B15 * IFERROR(VLOOKUP("transport|NOx|Work loss days", US_national_yearly!$D:$AM, 17, FALSE) / VLOOKUP("transport|NOx|Work loss days", US_national_yearly!$D:$AM, 10, FALSE), 1)</f>
        <v>1.5540669516357202E-2</v>
      </c>
      <c r="J15" s="7">
        <f>$B15 * IFERROR(VLOOKUP("transport|NOx|Work loss days", US_national_yearly!$D:$AM, 18, FALSE) / VLOOKUP("transport|NOx|Work loss days", US_national_yearly!$D:$AM, 10, FALSE), 1)</f>
        <v>1.5620776214676987E-2</v>
      </c>
      <c r="K15" s="7">
        <f>$B15 * IFERROR(VLOOKUP("transport|NOx|Work loss days", US_national_yearly!$D:$AM, 19, FALSE) / VLOOKUP("transport|NOx|Work loss days", US_national_yearly!$D:$AM, 10, FALSE), 1)</f>
        <v>1.5700882912996768E-2</v>
      </c>
      <c r="L15" s="7">
        <f>$B15 * IFERROR(VLOOKUP("transport|NOx|Work loss days", US_national_yearly!$D:$AM, 20, FALSE) / VLOOKUP("transport|NOx|Work loss days", US_national_yearly!$D:$AM, 10, FALSE), 1)</f>
        <v>1.5780989611316548E-2</v>
      </c>
      <c r="M15" s="7">
        <f>$B15 * IFERROR(VLOOKUP("transport|NOx|Work loss days", US_national_yearly!$D:$AM, 21, FALSE) / VLOOKUP("transport|NOx|Work loss days", US_national_yearly!$D:$AM, 10, FALSE), 1)</f>
        <v>1.5861096309636332E-2</v>
      </c>
      <c r="N15" s="7">
        <f>$B15 * IFERROR(VLOOKUP("transport|NOx|Work loss days", US_national_yearly!$D:$AM, 22, FALSE) / VLOOKUP("transport|NOx|Work loss days", US_national_yearly!$D:$AM, 10, FALSE), 1)</f>
        <v>1.5965350261933565E-2</v>
      </c>
      <c r="O15" s="7">
        <f>$B15 * IFERROR(VLOOKUP("transport|NOx|Work loss days", US_national_yearly!$D:$AM, 23, FALSE) / VLOOKUP("transport|NOx|Work loss days", US_national_yearly!$D:$AM, 10, FALSE), 1)</f>
        <v>1.6069604214230798E-2</v>
      </c>
      <c r="P15" s="7">
        <f>$B15 * IFERROR(VLOOKUP("transport|NOx|Work loss days", US_national_yearly!$D:$AM, 24, FALSE) / VLOOKUP("transport|NOx|Work loss days", US_national_yearly!$D:$AM, 10, FALSE), 1)</f>
        <v>1.617385816652803E-2</v>
      </c>
      <c r="Q15" s="7">
        <f>$B15 * IFERROR(VLOOKUP("transport|NOx|Work loss days", US_national_yearly!$D:$AM, 25, FALSE) / VLOOKUP("transport|NOx|Work loss days", US_national_yearly!$D:$AM, 10, FALSE), 1)</f>
        <v>1.6278112118825259E-2</v>
      </c>
      <c r="R15" s="7">
        <f>$B15 * IFERROR(VLOOKUP("transport|NOx|Work loss days", US_national_yearly!$D:$AM, 26, FALSE) / VLOOKUP("transport|NOx|Work loss days", US_national_yearly!$D:$AM, 10, FALSE), 1)</f>
        <v>1.6382366071122496E-2</v>
      </c>
      <c r="S15" s="7">
        <f>$B15 * IFERROR(VLOOKUP("transport|NOx|Work loss days", US_national_yearly!$D:$AM, 27, FALSE) / VLOOKUP("transport|NOx|Work loss days", US_national_yearly!$D:$AM, 10, FALSE), 1)</f>
        <v>1.6498595897814571E-2</v>
      </c>
      <c r="T15" s="7">
        <f>$B15 * IFERROR(VLOOKUP("transport|NOx|Work loss days", US_national_yearly!$D:$AM, 28, FALSE) / VLOOKUP("transport|NOx|Work loss days", US_national_yearly!$D:$AM, 10, FALSE), 1)</f>
        <v>1.6614825724506649E-2</v>
      </c>
      <c r="U15" s="7">
        <f>$B15 * IFERROR(VLOOKUP("transport|NOx|Work loss days", US_national_yearly!$D:$AM, 29, FALSE) / VLOOKUP("transport|NOx|Work loss days", US_national_yearly!$D:$AM, 10, FALSE), 1)</f>
        <v>1.6731055551198724E-2</v>
      </c>
      <c r="V15" s="7">
        <f>$B15 * IFERROR(VLOOKUP("transport|NOx|Work loss days", US_national_yearly!$D:$AM, 30, FALSE) / VLOOKUP("transport|NOx|Work loss days", US_national_yearly!$D:$AM, 10, FALSE), 1)</f>
        <v>1.6847285377890799E-2</v>
      </c>
      <c r="W15" s="7">
        <f>$B15 * IFERROR(VLOOKUP("transport|NOx|Work loss days", US_national_yearly!$D:$AM, 31, FALSE) / VLOOKUP("transport|NOx|Work loss days", US_national_yearly!$D:$AM, 10, FALSE), 1)</f>
        <v>1.6963515204582877E-2</v>
      </c>
      <c r="X15" s="7">
        <f>$B15 * IFERROR(VLOOKUP("transport|NOx|Work loss days", US_national_yearly!$D:$AM, 32, FALSE) / VLOOKUP("transport|NOx|Work loss days", US_national_yearly!$D:$AM, 10, FALSE), 1)</f>
        <v>1.7064396497156083E-2</v>
      </c>
      <c r="Y15" s="7">
        <f>$B15 * IFERROR(VLOOKUP("transport|NOx|Work loss days", US_national_yearly!$D:$AM, 33, FALSE) / VLOOKUP("transport|NOx|Work loss days", US_national_yearly!$D:$AM, 10, FALSE), 1)</f>
        <v>1.7165277789729289E-2</v>
      </c>
      <c r="Z15" s="7">
        <f>$B15 * IFERROR(VLOOKUP("transport|NOx|Work loss days", US_national_yearly!$D:$AM, 34, FALSE) / VLOOKUP("transport|NOx|Work loss days", US_national_yearly!$D:$AM, 10, FALSE), 1)</f>
        <v>1.7266159082302494E-2</v>
      </c>
      <c r="AA15" s="7">
        <f>$B15 * IFERROR(VLOOKUP("transport|NOx|Work loss days", US_national_yearly!$D:$AM, 35, FALSE) / VLOOKUP("transport|NOx|Work loss days", US_national_yearly!$D:$AM, 10, FALSE), 1)</f>
        <v>1.7367040374875697E-2</v>
      </c>
      <c r="AB15" s="7">
        <f>$B15 * IFERROR(VLOOKUP("transport|NOx|Work loss days", US_national_yearly!$D:$AM, 36, FALSE) / VLOOKUP("transport|NOx|Work loss days", US_national_yearly!$D:$AM, 10, FALSE), 1)</f>
        <v>1.7467921667448903E-2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3.1111128991731915E-5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3.2025318059438778E-5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3.2939507127145627E-5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3.3853696194852482E-5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3.4767885262559345E-5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3.5636213693230831E-5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3.6504542123902317E-5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3.7234739346339613E-5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3.7964936568776903E-5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3.86951337912142E-5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3.9425331013651489E-5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4.0155528236088793E-5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4.0612144754207403E-5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4.1068761272326021E-5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4.1525377790444632E-5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4.1981994308563256E-5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4.2438610826681867E-5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4.2646952404990307E-5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4.2855293983298753E-5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4.3063635561607186E-5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4.3271977139915625E-5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4.3480318718224071E-5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4.3596268029674993E-5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4.3712217341125915E-5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4.3828166652576838E-5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4.3944115964027766E-5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4.4060065275478689E-5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1.6058261374237402E-3</v>
      </c>
      <c r="C2" s="7">
        <f>$B2 * IFERROR(VLOOKUP("transport|SO2|Premature mortality", US_national_yearly!$D:$AM, 11, FALSE) / VLOOKUP("transport|SO2|Premature mortality", US_national_yearly!$D:$AM, 10, FALSE), 1)</f>
        <v>1.6261630565988067E-3</v>
      </c>
      <c r="D2" s="7">
        <f>$B2 * IFERROR(VLOOKUP("transport|SO2|Premature mortality", US_national_yearly!$D:$AM, 12, FALSE) / VLOOKUP("transport|SO2|Premature mortality", US_national_yearly!$D:$AM, 10, FALSE), 1)</f>
        <v>1.6464999757738736E-3</v>
      </c>
      <c r="E2" s="7">
        <f>$B2 * IFERROR(VLOOKUP("transport|SO2|Premature mortality", US_national_yearly!$D:$AM, 13, FALSE) / VLOOKUP("transport|SO2|Premature mortality", US_national_yearly!$D:$AM, 10, FALSE), 1)</f>
        <v>1.6668368949489401E-3</v>
      </c>
      <c r="F2" s="7">
        <f>$B2 * IFERROR(VLOOKUP("transport|SO2|Premature mortality", US_national_yearly!$D:$AM, 14, FALSE) / VLOOKUP("transport|SO2|Premature mortality", US_national_yearly!$D:$AM, 10, FALSE), 1)</f>
        <v>1.6871738141240066E-3</v>
      </c>
      <c r="G2" s="7">
        <f>$B2 * IFERROR(VLOOKUP("transport|SO2|Premature mortality", US_national_yearly!$D:$AM, 15, FALSE) / VLOOKUP("transport|SO2|Premature mortality", US_national_yearly!$D:$AM, 10, FALSE), 1)</f>
        <v>1.7263619048028176E-3</v>
      </c>
      <c r="H2" s="7">
        <f>$B2 * IFERROR(VLOOKUP("transport|SO2|Premature mortality", US_national_yearly!$D:$AM, 16, FALSE) / VLOOKUP("transport|SO2|Premature mortality", US_national_yearly!$D:$AM, 10, FALSE), 1)</f>
        <v>1.7655499954816283E-3</v>
      </c>
      <c r="I2" s="7">
        <f>$B2 * IFERROR(VLOOKUP("transport|SO2|Premature mortality", US_national_yearly!$D:$AM, 17, FALSE) / VLOOKUP("transport|SO2|Premature mortality", US_national_yearly!$D:$AM, 10, FALSE), 1)</f>
        <v>1.7914478870140159E-3</v>
      </c>
      <c r="J2" s="7">
        <f>$B2 * IFERROR(VLOOKUP("transport|SO2|Premature mortality", US_national_yearly!$D:$AM, 18, FALSE) / VLOOKUP("transport|SO2|Premature mortality", US_national_yearly!$D:$AM, 10, FALSE), 1)</f>
        <v>1.8173457785464037E-3</v>
      </c>
      <c r="K2" s="7">
        <f>$B2 * IFERROR(VLOOKUP("transport|SO2|Premature mortality", US_national_yearly!$D:$AM, 19, FALSE) / VLOOKUP("transport|SO2|Premature mortality", US_national_yearly!$D:$AM, 10, FALSE), 1)</f>
        <v>1.8432436700787911E-3</v>
      </c>
      <c r="L2" s="7">
        <f>$B2 * IFERROR(VLOOKUP("transport|SO2|Premature mortality", US_national_yearly!$D:$AM, 20, FALSE) / VLOOKUP("transport|SO2|Premature mortality", US_national_yearly!$D:$AM, 10, FALSE), 1)</f>
        <v>1.8691415616111789E-3</v>
      </c>
      <c r="M2" s="7">
        <f>$B2 * IFERROR(VLOOKUP("transport|SO2|Premature mortality", US_national_yearly!$D:$AM, 21, FALSE) / VLOOKUP("transport|SO2|Premature mortality", US_national_yearly!$D:$AM, 10, FALSE), 1)</f>
        <v>1.8950394531435668E-3</v>
      </c>
      <c r="N2" s="7">
        <f>$B2 * IFERROR(VLOOKUP("transport|SO2|Premature mortality", US_national_yearly!$D:$AM, 22, FALSE) / VLOOKUP("transport|SO2|Premature mortality", US_national_yearly!$D:$AM, 10, FALSE), 1)</f>
        <v>1.9152746608147213E-3</v>
      </c>
      <c r="O2" s="7">
        <f>$B2 * IFERROR(VLOOKUP("transport|SO2|Premature mortality", US_national_yearly!$D:$AM, 23, FALSE) / VLOOKUP("transport|SO2|Premature mortality", US_national_yearly!$D:$AM, 10, FALSE), 1)</f>
        <v>1.9355098684858761E-3</v>
      </c>
      <c r="P2" s="7">
        <f>$B2 * IFERROR(VLOOKUP("transport|SO2|Premature mortality", US_national_yearly!$D:$AM, 24, FALSE) / VLOOKUP("transport|SO2|Premature mortality", US_national_yearly!$D:$AM, 10, FALSE), 1)</f>
        <v>1.9557450761570308E-3</v>
      </c>
      <c r="Q2" s="7">
        <f>$B2 * IFERROR(VLOOKUP("transport|SO2|Premature mortality", US_national_yearly!$D:$AM, 25, FALSE) / VLOOKUP("transport|SO2|Premature mortality", US_national_yearly!$D:$AM, 10, FALSE), 1)</f>
        <v>1.9759802838281854E-3</v>
      </c>
      <c r="R2" s="7">
        <f>$B2 * IFERROR(VLOOKUP("transport|SO2|Premature mortality", US_national_yearly!$D:$AM, 26, FALSE) / VLOOKUP("transport|SO2|Premature mortality", US_national_yearly!$D:$AM, 10, FALSE), 1)</f>
        <v>1.9962154914993395E-3</v>
      </c>
      <c r="S2" s="7">
        <f>$B2 * IFERROR(VLOOKUP("transport|SO2|Premature mortality", US_national_yearly!$D:$AM, 27, FALSE) / VLOOKUP("transport|SO2|Premature mortality", US_national_yearly!$D:$AM, 10, FALSE), 1)</f>
        <v>2.0070517146430649E-3</v>
      </c>
      <c r="T2" s="7">
        <f>$B2 * IFERROR(VLOOKUP("transport|SO2|Premature mortality", US_national_yearly!$D:$AM, 28, FALSE) / VLOOKUP("transport|SO2|Premature mortality", US_national_yearly!$D:$AM, 10, FALSE), 1)</f>
        <v>2.01788793778679E-3</v>
      </c>
      <c r="U2" s="7">
        <f>$B2 * IFERROR(VLOOKUP("transport|SO2|Premature mortality", US_national_yearly!$D:$AM, 29, FALSE) / VLOOKUP("transport|SO2|Premature mortality", US_national_yearly!$D:$AM, 10, FALSE), 1)</f>
        <v>2.028724160930515E-3</v>
      </c>
      <c r="V2" s="7">
        <f>$B2 * IFERROR(VLOOKUP("transport|SO2|Premature mortality", US_national_yearly!$D:$AM, 30, FALSE) / VLOOKUP("transport|SO2|Premature mortality", US_national_yearly!$D:$AM, 10, FALSE), 1)</f>
        <v>2.03956038407424E-3</v>
      </c>
      <c r="W2" s="7">
        <f>$B2 * IFERROR(VLOOKUP("transport|SO2|Premature mortality", US_national_yearly!$D:$AM, 31, FALSE) / VLOOKUP("transport|SO2|Premature mortality", US_national_yearly!$D:$AM, 10, FALSE), 1)</f>
        <v>2.0503966072179655E-3</v>
      </c>
      <c r="X2" s="7">
        <f>$B2 * IFERROR(VLOOKUP("transport|SO2|Premature mortality", US_national_yearly!$D:$AM, 32, FALSE) / VLOOKUP("transport|SO2|Premature mortality", US_national_yearly!$D:$AM, 10, FALSE), 1)</f>
        <v>2.0525980190951271E-3</v>
      </c>
      <c r="Y2" s="7">
        <f>$B2 * IFERROR(VLOOKUP("transport|SO2|Premature mortality", US_national_yearly!$D:$AM, 33, FALSE) / VLOOKUP("transport|SO2|Premature mortality", US_national_yearly!$D:$AM, 10, FALSE), 1)</f>
        <v>2.0547994309722891E-3</v>
      </c>
      <c r="Z2" s="7">
        <f>$B2 * IFERROR(VLOOKUP("transport|SO2|Premature mortality", US_national_yearly!$D:$AM, 34, FALSE) / VLOOKUP("transport|SO2|Premature mortality", US_national_yearly!$D:$AM, 10, FALSE), 1)</f>
        <v>2.0570008428494511E-3</v>
      </c>
      <c r="AA2" s="7">
        <f>$B2 * IFERROR(VLOOKUP("transport|SO2|Premature mortality", US_national_yearly!$D:$AM, 35, FALSE) / VLOOKUP("transport|SO2|Premature mortality", US_national_yearly!$D:$AM, 10, FALSE), 1)</f>
        <v>2.0592022547266131E-3</v>
      </c>
      <c r="AB2" s="7">
        <f>$B2 * IFERROR(VLOOKUP("transport|SO2|Premature mortality", US_national_yearly!$D:$AM, 36, FALSE) / VLOOKUP("transport|SO2|Premature mortality", US_national_yearly!$D:$AM, 10, FALSE), 1)</f>
        <v>2.0614036666037746E-3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2.8258900698537755E-6</v>
      </c>
      <c r="C3" s="7">
        <f>$B3 * IFERROR(VLOOKUP("transport|SO2|Infant mortality", US_national_yearly!$D:$AM, 11, FALSE) / VLOOKUP("transport|SO2|Infant mortality", US_national_yearly!$D:$AM, 10, FALSE), 1)</f>
        <v>2.8016151586956399E-6</v>
      </c>
      <c r="D3" s="7">
        <f>$B3 * IFERROR(VLOOKUP("transport|SO2|Infant mortality", US_national_yearly!$D:$AM, 12, FALSE) / VLOOKUP("transport|SO2|Infant mortality", US_national_yearly!$D:$AM, 10, FALSE), 1)</f>
        <v>2.7773402475375047E-6</v>
      </c>
      <c r="E3" s="7">
        <f>$B3 * IFERROR(VLOOKUP("transport|SO2|Infant mortality", US_national_yearly!$D:$AM, 13, FALSE) / VLOOKUP("transport|SO2|Infant mortality", US_national_yearly!$D:$AM, 10, FALSE), 1)</f>
        <v>2.7530653363793687E-6</v>
      </c>
      <c r="F3" s="7">
        <f>$B3 * IFERROR(VLOOKUP("transport|SO2|Infant mortality", US_national_yearly!$D:$AM, 14, FALSE) / VLOOKUP("transport|SO2|Infant mortality", US_national_yearly!$D:$AM, 10, FALSE), 1)</f>
        <v>2.7287904252212335E-6</v>
      </c>
      <c r="G3" s="7">
        <f>$B3 * IFERROR(VLOOKUP("transport|SO2|Infant mortality", US_national_yearly!$D:$AM, 15, FALSE) / VLOOKUP("transport|SO2|Infant mortality", US_national_yearly!$D:$AM, 10, FALSE), 1)</f>
        <v>1.817594204291563E-6</v>
      </c>
      <c r="H3" s="7">
        <f>$B3 * IFERROR(VLOOKUP("transport|SO2|Infant mortality", US_national_yearly!$D:$AM, 16, FALSE) / VLOOKUP("transport|SO2|Infant mortality", US_national_yearly!$D:$AM, 10, FALSE), 1)</f>
        <v>9.063979833618942E-7</v>
      </c>
      <c r="I3" s="7">
        <f>$B3 * IFERROR(VLOOKUP("transport|SO2|Infant mortality", US_national_yearly!$D:$AM, 17, FALSE) / VLOOKUP("transport|SO2|Infant mortality", US_national_yearly!$D:$AM, 10, FALSE), 1)</f>
        <v>9.0071187510357391E-7</v>
      </c>
      <c r="J3" s="7">
        <f>$B3 * IFERROR(VLOOKUP("transport|SO2|Infant mortality", US_national_yearly!$D:$AM, 18, FALSE) / VLOOKUP("transport|SO2|Infant mortality", US_national_yearly!$D:$AM, 10, FALSE), 1)</f>
        <v>8.9502576684525374E-7</v>
      </c>
      <c r="K3" s="7">
        <f>$B3 * IFERROR(VLOOKUP("transport|SO2|Infant mortality", US_national_yearly!$D:$AM, 19, FALSE) / VLOOKUP("transport|SO2|Infant mortality", US_national_yearly!$D:$AM, 10, FALSE), 1)</f>
        <v>8.8933965858693356E-7</v>
      </c>
      <c r="L3" s="7">
        <f>$B3 * IFERROR(VLOOKUP("transport|SO2|Infant mortality", US_national_yearly!$D:$AM, 20, FALSE) / VLOOKUP("transport|SO2|Infant mortality", US_national_yearly!$D:$AM, 10, FALSE), 1)</f>
        <v>8.8365355032861349E-7</v>
      </c>
      <c r="M3" s="7">
        <f>$B3 * IFERROR(VLOOKUP("transport|SO2|Infant mortality", US_national_yearly!$D:$AM, 21, FALSE) / VLOOKUP("transport|SO2|Infant mortality", US_national_yearly!$D:$AM, 10, FALSE), 1)</f>
        <v>8.779674420702932E-7</v>
      </c>
      <c r="N3" s="7">
        <f>$B3 * IFERROR(VLOOKUP("transport|SO2|Infant mortality", US_national_yearly!$D:$AM, 22, FALSE) / VLOOKUP("transport|SO2|Infant mortality", US_national_yearly!$D:$AM, 10, FALSE), 1)</f>
        <v>8.7439831448651759E-7</v>
      </c>
      <c r="O3" s="7">
        <f>$B3 * IFERROR(VLOOKUP("transport|SO2|Infant mortality", US_national_yearly!$D:$AM, 23, FALSE) / VLOOKUP("transport|SO2|Infant mortality", US_national_yearly!$D:$AM, 10, FALSE), 1)</f>
        <v>8.7082918690274186E-7</v>
      </c>
      <c r="P3" s="7">
        <f>$B3 * IFERROR(VLOOKUP("transport|SO2|Infant mortality", US_national_yearly!$D:$AM, 24, FALSE) / VLOOKUP("transport|SO2|Infant mortality", US_national_yearly!$D:$AM, 10, FALSE), 1)</f>
        <v>8.6726005931896603E-7</v>
      </c>
      <c r="Q3" s="7">
        <f>$B3 * IFERROR(VLOOKUP("transport|SO2|Infant mortality", US_national_yearly!$D:$AM, 25, FALSE) / VLOOKUP("transport|SO2|Infant mortality", US_national_yearly!$D:$AM, 10, FALSE), 1)</f>
        <v>8.6369093173519041E-7</v>
      </c>
      <c r="R3" s="7">
        <f>$B3 * IFERROR(VLOOKUP("transport|SO2|Infant mortality", US_national_yearly!$D:$AM, 26, FALSE) / VLOOKUP("transport|SO2|Infant mortality", US_national_yearly!$D:$AM, 10, FALSE), 1)</f>
        <v>8.6012180415141459E-7</v>
      </c>
      <c r="S3" s="7">
        <f>$B3 * IFERROR(VLOOKUP("transport|SO2|Infant mortality", US_national_yearly!$D:$AM, 27, FALSE) / VLOOKUP("transport|SO2|Infant mortality", US_national_yearly!$D:$AM, 10, FALSE), 1)</f>
        <v>8.5564054703407744E-7</v>
      </c>
      <c r="T3" s="7">
        <f>$B3 * IFERROR(VLOOKUP("transport|SO2|Infant mortality", US_national_yearly!$D:$AM, 28, FALSE) / VLOOKUP("transport|SO2|Infant mortality", US_national_yearly!$D:$AM, 10, FALSE), 1)</f>
        <v>8.5115928991674018E-7</v>
      </c>
      <c r="U3" s="7">
        <f>$B3 * IFERROR(VLOOKUP("transport|SO2|Infant mortality", US_national_yearly!$D:$AM, 29, FALSE) / VLOOKUP("transport|SO2|Infant mortality", US_national_yearly!$D:$AM, 10, FALSE), 1)</f>
        <v>8.4667803279940271E-7</v>
      </c>
      <c r="V3" s="7">
        <f>$B3 * IFERROR(VLOOKUP("transport|SO2|Infant mortality", US_national_yearly!$D:$AM, 30, FALSE) / VLOOKUP("transport|SO2|Infant mortality", US_national_yearly!$D:$AM, 10, FALSE), 1)</f>
        <v>8.4219677568206567E-7</v>
      </c>
      <c r="W3" s="7">
        <f>$B3 * IFERROR(VLOOKUP("transport|SO2|Infant mortality", US_national_yearly!$D:$AM, 31, FALSE) / VLOOKUP("transport|SO2|Infant mortality", US_national_yearly!$D:$AM, 10, FALSE), 1)</f>
        <v>8.3771551856472831E-7</v>
      </c>
      <c r="X3" s="7">
        <f>$B3 * IFERROR(VLOOKUP("transport|SO2|Infant mortality", US_national_yearly!$D:$AM, 32, FALSE) / VLOOKUP("transport|SO2|Infant mortality", US_national_yearly!$D:$AM, 10, FALSE), 1)</f>
        <v>8.3281612129656013E-7</v>
      </c>
      <c r="Y3" s="7">
        <f>$B3 * IFERROR(VLOOKUP("transport|SO2|Infant mortality", US_national_yearly!$D:$AM, 33, FALSE) / VLOOKUP("transport|SO2|Infant mortality", US_national_yearly!$D:$AM, 10, FALSE), 1)</f>
        <v>8.2791672402839164E-7</v>
      </c>
      <c r="Z3" s="7">
        <f>$B3 * IFERROR(VLOOKUP("transport|SO2|Infant mortality", US_national_yearly!$D:$AM, 34, FALSE) / VLOOKUP("transport|SO2|Infant mortality", US_national_yearly!$D:$AM, 10, FALSE), 1)</f>
        <v>8.2301732676022346E-7</v>
      </c>
      <c r="AA3" s="7">
        <f>$B3 * IFERROR(VLOOKUP("transport|SO2|Infant mortality", US_national_yearly!$D:$AM, 35, FALSE) / VLOOKUP("transport|SO2|Infant mortality", US_national_yearly!$D:$AM, 10, FALSE), 1)</f>
        <v>8.1811792949205497E-7</v>
      </c>
      <c r="AB3" s="7">
        <f>$B3 * IFERROR(VLOOKUP("transport|SO2|Infant mortality", US_national_yearly!$D:$AM, 36, FALSE) / VLOOKUP("transport|SO2|Infant mortality", US_national_yearly!$D:$AM, 10, FALSE), 1)</f>
        <v>8.1321853222388679E-7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2.89569458733737E-3</v>
      </c>
      <c r="C6" s="7">
        <f>$B6 * IFERROR(VLOOKUP("transport|SO2|Asthma symptoms cough", US_national_yearly!$D:$AM, 11, FALSE) / VLOOKUP("transport|SO2|Asthma symptoms cough", US_national_yearly!$D:$AM, 10, FALSE), 1)</f>
        <v>2.89569458733737E-3</v>
      </c>
      <c r="D6" s="7">
        <f>$B6 * IFERROR(VLOOKUP("transport|SO2|Asthma symptoms cough", US_national_yearly!$D:$AM, 12, FALSE) / VLOOKUP("transport|SO2|Asthma symptoms cough", US_national_yearly!$D:$AM, 10, FALSE), 1)</f>
        <v>2.89569458733737E-3</v>
      </c>
      <c r="E6" s="7">
        <f>$B6 * IFERROR(VLOOKUP("transport|SO2|Asthma symptoms cough", US_national_yearly!$D:$AM, 13, FALSE) / VLOOKUP("transport|SO2|Asthma symptoms cough", US_national_yearly!$D:$AM, 10, FALSE), 1)</f>
        <v>2.89569458733737E-3</v>
      </c>
      <c r="F6" s="7">
        <f>$B6 * IFERROR(VLOOKUP("transport|SO2|Asthma symptoms cough", US_national_yearly!$D:$AM, 14, FALSE) / VLOOKUP("transport|SO2|Asthma symptoms cough", US_national_yearly!$D:$AM, 10, FALSE), 1)</f>
        <v>2.89569458733737E-3</v>
      </c>
      <c r="G6" s="7">
        <f>$B6 * IFERROR(VLOOKUP("transport|SO2|Asthma symptoms cough", US_national_yearly!$D:$AM, 15, FALSE) / VLOOKUP("transport|SO2|Asthma symptoms cough", US_national_yearly!$D:$AM, 10, FALSE), 1)</f>
        <v>2.89569458733737E-3</v>
      </c>
      <c r="H6" s="7">
        <f>$B6 * IFERROR(VLOOKUP("transport|SO2|Asthma symptoms cough", US_national_yearly!$D:$AM, 16, FALSE) / VLOOKUP("transport|SO2|Asthma symptoms cough", US_national_yearly!$D:$AM, 10, FALSE), 1)</f>
        <v>2.89569458733737E-3</v>
      </c>
      <c r="I6" s="7">
        <f>$B6 * IFERROR(VLOOKUP("transport|SO2|Asthma symptoms cough", US_national_yearly!$D:$AM, 17, FALSE) / VLOOKUP("transport|SO2|Asthma symptoms cough", US_national_yearly!$D:$AM, 10, FALSE), 1)</f>
        <v>2.89569458733737E-3</v>
      </c>
      <c r="J6" s="7">
        <f>$B6 * IFERROR(VLOOKUP("transport|SO2|Asthma symptoms cough", US_national_yearly!$D:$AM, 18, FALSE) / VLOOKUP("transport|SO2|Asthma symptoms cough", US_national_yearly!$D:$AM, 10, FALSE), 1)</f>
        <v>2.89569458733737E-3</v>
      </c>
      <c r="K6" s="7">
        <f>$B6 * IFERROR(VLOOKUP("transport|SO2|Asthma symptoms cough", US_national_yearly!$D:$AM, 19, FALSE) / VLOOKUP("transport|SO2|Asthma symptoms cough", US_national_yearly!$D:$AM, 10, FALSE), 1)</f>
        <v>2.89569458733737E-3</v>
      </c>
      <c r="L6" s="7">
        <f>$B6 * IFERROR(VLOOKUP("transport|SO2|Asthma symptoms cough", US_national_yearly!$D:$AM, 20, FALSE) / VLOOKUP("transport|SO2|Asthma symptoms cough", US_national_yearly!$D:$AM, 10, FALSE), 1)</f>
        <v>2.89569458733737E-3</v>
      </c>
      <c r="M6" s="7">
        <f>$B6 * IFERROR(VLOOKUP("transport|SO2|Asthma symptoms cough", US_national_yearly!$D:$AM, 21, FALSE) / VLOOKUP("transport|SO2|Asthma symptoms cough", US_national_yearly!$D:$AM, 10, FALSE), 1)</f>
        <v>2.89569458733737E-3</v>
      </c>
      <c r="N6" s="7">
        <f>$B6 * IFERROR(VLOOKUP("transport|SO2|Asthma symptoms cough", US_national_yearly!$D:$AM, 22, FALSE) / VLOOKUP("transport|SO2|Asthma symptoms cough", US_national_yearly!$D:$AM, 10, FALSE), 1)</f>
        <v>2.89569458733737E-3</v>
      </c>
      <c r="O6" s="7">
        <f>$B6 * IFERROR(VLOOKUP("transport|SO2|Asthma symptoms cough", US_national_yearly!$D:$AM, 23, FALSE) / VLOOKUP("transport|SO2|Asthma symptoms cough", US_national_yearly!$D:$AM, 10, FALSE), 1)</f>
        <v>2.89569458733737E-3</v>
      </c>
      <c r="P6" s="7">
        <f>$B6 * IFERROR(VLOOKUP("transport|SO2|Asthma symptoms cough", US_national_yearly!$D:$AM, 24, FALSE) / VLOOKUP("transport|SO2|Asthma symptoms cough", US_national_yearly!$D:$AM, 10, FALSE), 1)</f>
        <v>2.89569458733737E-3</v>
      </c>
      <c r="Q6" s="7">
        <f>$B6 * IFERROR(VLOOKUP("transport|SO2|Asthma symptoms cough", US_national_yearly!$D:$AM, 25, FALSE) / VLOOKUP("transport|SO2|Asthma symptoms cough", US_national_yearly!$D:$AM, 10, FALSE), 1)</f>
        <v>2.89569458733737E-3</v>
      </c>
      <c r="R6" s="7">
        <f>$B6 * IFERROR(VLOOKUP("transport|SO2|Asthma symptoms cough", US_national_yearly!$D:$AM, 26, FALSE) / VLOOKUP("transport|SO2|Asthma symptoms cough", US_national_yearly!$D:$AM, 10, FALSE), 1)</f>
        <v>2.89569458733737E-3</v>
      </c>
      <c r="S6" s="7">
        <f>$B6 * IFERROR(VLOOKUP("transport|SO2|Asthma symptoms cough", US_national_yearly!$D:$AM, 27, FALSE) / VLOOKUP("transport|SO2|Asthma symptoms cough", US_national_yearly!$D:$AM, 10, FALSE), 1)</f>
        <v>2.89569458733737E-3</v>
      </c>
      <c r="T6" s="7">
        <f>$B6 * IFERROR(VLOOKUP("transport|SO2|Asthma symptoms cough", US_national_yearly!$D:$AM, 28, FALSE) / VLOOKUP("transport|SO2|Asthma symptoms cough", US_national_yearly!$D:$AM, 10, FALSE), 1)</f>
        <v>2.89569458733737E-3</v>
      </c>
      <c r="U6" s="7">
        <f>$B6 * IFERROR(VLOOKUP("transport|SO2|Asthma symptoms cough", US_national_yearly!$D:$AM, 29, FALSE) / VLOOKUP("transport|SO2|Asthma symptoms cough", US_national_yearly!$D:$AM, 10, FALSE), 1)</f>
        <v>2.89569458733737E-3</v>
      </c>
      <c r="V6" s="7">
        <f>$B6 * IFERROR(VLOOKUP("transport|SO2|Asthma symptoms cough", US_national_yearly!$D:$AM, 30, FALSE) / VLOOKUP("transport|SO2|Asthma symptoms cough", US_national_yearly!$D:$AM, 10, FALSE), 1)</f>
        <v>2.89569458733737E-3</v>
      </c>
      <c r="W6" s="7">
        <f>$B6 * IFERROR(VLOOKUP("transport|SO2|Asthma symptoms cough", US_national_yearly!$D:$AM, 31, FALSE) / VLOOKUP("transport|SO2|Asthma symptoms cough", US_national_yearly!$D:$AM, 10, FALSE), 1)</f>
        <v>2.89569458733737E-3</v>
      </c>
      <c r="X6" s="7">
        <f>$B6 * IFERROR(VLOOKUP("transport|SO2|Asthma symptoms cough", US_national_yearly!$D:$AM, 32, FALSE) / VLOOKUP("transport|SO2|Asthma symptoms cough", US_national_yearly!$D:$AM, 10, FALSE), 1)</f>
        <v>2.89569458733737E-3</v>
      </c>
      <c r="Y6" s="7">
        <f>$B6 * IFERROR(VLOOKUP("transport|SO2|Asthma symptoms cough", US_national_yearly!$D:$AM, 33, FALSE) / VLOOKUP("transport|SO2|Asthma symptoms cough", US_national_yearly!$D:$AM, 10, FALSE), 1)</f>
        <v>2.89569458733737E-3</v>
      </c>
      <c r="Z6" s="7">
        <f>$B6 * IFERROR(VLOOKUP("transport|SO2|Asthma symptoms cough", US_national_yearly!$D:$AM, 34, FALSE) / VLOOKUP("transport|SO2|Asthma symptoms cough", US_national_yearly!$D:$AM, 10, FALSE), 1)</f>
        <v>2.89569458733737E-3</v>
      </c>
      <c r="AA6" s="7">
        <f>$B6 * IFERROR(VLOOKUP("transport|SO2|Asthma symptoms cough", US_national_yearly!$D:$AM, 35, FALSE) / VLOOKUP("transport|SO2|Asthma symptoms cough", US_national_yearly!$D:$AM, 10, FALSE), 1)</f>
        <v>2.89569458733737E-3</v>
      </c>
      <c r="AB6" s="7">
        <f>$B6 * IFERROR(VLOOKUP("transport|SO2|Asthma symptoms cough", US_national_yearly!$D:$AM, 36, FALSE) / VLOOKUP("transport|SO2|Asthma symptoms cough", US_national_yearly!$D:$AM, 10, FALSE), 1)</f>
        <v>2.89569458733737E-3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3.899477421447185E-3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3.899477421447185E-3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3.899477421447185E-3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3.899477421447185E-3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3.899477421447185E-3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3.899477421447185E-3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3.899477421447185E-3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3.899477421447185E-3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3.899477421447185E-3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3.899477421447185E-3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3.899477421447185E-3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3.899477421447185E-3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3.899477421447185E-3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3.899477421447185E-3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3.899477421447185E-3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3.899477421447185E-3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3.899477421447185E-3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3.899477421447185E-3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3.899477421447185E-3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3.899477421447185E-3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3.899477421447185E-3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3.899477421447185E-3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3.899477421447185E-3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3.899477421447185E-3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3.899477421447185E-3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3.899477421447185E-3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3.899477421447185E-3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5.9577242846770937E-3</v>
      </c>
      <c r="C8" s="7">
        <f>$B8 * IFERROR(VLOOKUP("transport|SO2|Asthma symptoms wheeze", US_national_yearly!$D:$AM, 11, FALSE) / VLOOKUP("transport|SO2|Asthma symptoms wheeze", US_national_yearly!$D:$AM, 10, FALSE), 1)</f>
        <v>5.9577242846770937E-3</v>
      </c>
      <c r="D8" s="7">
        <f>$B8 * IFERROR(VLOOKUP("transport|SO2|Asthma symptoms wheeze", US_national_yearly!$D:$AM, 12, FALSE) / VLOOKUP("transport|SO2|Asthma symptoms wheeze", US_national_yearly!$D:$AM, 10, FALSE), 1)</f>
        <v>5.9577242846770937E-3</v>
      </c>
      <c r="E8" s="7">
        <f>$B8 * IFERROR(VLOOKUP("transport|SO2|Asthma symptoms wheeze", US_national_yearly!$D:$AM, 13, FALSE) / VLOOKUP("transport|SO2|Asthma symptoms wheeze", US_national_yearly!$D:$AM, 10, FALSE), 1)</f>
        <v>5.9577242846770937E-3</v>
      </c>
      <c r="F8" s="7">
        <f>$B8 * IFERROR(VLOOKUP("transport|SO2|Asthma symptoms wheeze", US_national_yearly!$D:$AM, 14, FALSE) / VLOOKUP("transport|SO2|Asthma symptoms wheeze", US_national_yearly!$D:$AM, 10, FALSE), 1)</f>
        <v>5.9577242846770937E-3</v>
      </c>
      <c r="G8" s="7">
        <f>$B8 * IFERROR(VLOOKUP("transport|SO2|Asthma symptoms wheeze", US_national_yearly!$D:$AM, 15, FALSE) / VLOOKUP("transport|SO2|Asthma symptoms wheeze", US_national_yearly!$D:$AM, 10, FALSE), 1)</f>
        <v>5.9577242846770937E-3</v>
      </c>
      <c r="H8" s="7">
        <f>$B8 * IFERROR(VLOOKUP("transport|SO2|Asthma symptoms wheeze", US_national_yearly!$D:$AM, 16, FALSE) / VLOOKUP("transport|SO2|Asthma symptoms wheeze", US_national_yearly!$D:$AM, 10, FALSE), 1)</f>
        <v>5.9577242846770937E-3</v>
      </c>
      <c r="I8" s="7">
        <f>$B8 * IFERROR(VLOOKUP("transport|SO2|Asthma symptoms wheeze", US_national_yearly!$D:$AM, 17, FALSE) / VLOOKUP("transport|SO2|Asthma symptoms wheeze", US_national_yearly!$D:$AM, 10, FALSE), 1)</f>
        <v>5.9577242846770937E-3</v>
      </c>
      <c r="J8" s="7">
        <f>$B8 * IFERROR(VLOOKUP("transport|SO2|Asthma symptoms wheeze", US_national_yearly!$D:$AM, 18, FALSE) / VLOOKUP("transport|SO2|Asthma symptoms wheeze", US_national_yearly!$D:$AM, 10, FALSE), 1)</f>
        <v>5.9577242846770937E-3</v>
      </c>
      <c r="K8" s="7">
        <f>$B8 * IFERROR(VLOOKUP("transport|SO2|Asthma symptoms wheeze", US_national_yearly!$D:$AM, 19, FALSE) / VLOOKUP("transport|SO2|Asthma symptoms wheeze", US_national_yearly!$D:$AM, 10, FALSE), 1)</f>
        <v>5.9577242846770937E-3</v>
      </c>
      <c r="L8" s="7">
        <f>$B8 * IFERROR(VLOOKUP("transport|SO2|Asthma symptoms wheeze", US_national_yearly!$D:$AM, 20, FALSE) / VLOOKUP("transport|SO2|Asthma symptoms wheeze", US_national_yearly!$D:$AM, 10, FALSE), 1)</f>
        <v>5.9577242846770937E-3</v>
      </c>
      <c r="M8" s="7">
        <f>$B8 * IFERROR(VLOOKUP("transport|SO2|Asthma symptoms wheeze", US_national_yearly!$D:$AM, 21, FALSE) / VLOOKUP("transport|SO2|Asthma symptoms wheeze", US_national_yearly!$D:$AM, 10, FALSE), 1)</f>
        <v>5.9577242846770937E-3</v>
      </c>
      <c r="N8" s="7">
        <f>$B8 * IFERROR(VLOOKUP("transport|SO2|Asthma symptoms wheeze", US_national_yearly!$D:$AM, 22, FALSE) / VLOOKUP("transport|SO2|Asthma symptoms wheeze", US_national_yearly!$D:$AM, 10, FALSE), 1)</f>
        <v>5.9577242846770937E-3</v>
      </c>
      <c r="O8" s="7">
        <f>$B8 * IFERROR(VLOOKUP("transport|SO2|Asthma symptoms wheeze", US_national_yearly!$D:$AM, 23, FALSE) / VLOOKUP("transport|SO2|Asthma symptoms wheeze", US_national_yearly!$D:$AM, 10, FALSE), 1)</f>
        <v>5.9577242846770937E-3</v>
      </c>
      <c r="P8" s="7">
        <f>$B8 * IFERROR(VLOOKUP("transport|SO2|Asthma symptoms wheeze", US_national_yearly!$D:$AM, 24, FALSE) / VLOOKUP("transport|SO2|Asthma symptoms wheeze", US_national_yearly!$D:$AM, 10, FALSE), 1)</f>
        <v>5.9577242846770937E-3</v>
      </c>
      <c r="Q8" s="7">
        <f>$B8 * IFERROR(VLOOKUP("transport|SO2|Asthma symptoms wheeze", US_national_yearly!$D:$AM, 25, FALSE) / VLOOKUP("transport|SO2|Asthma symptoms wheeze", US_national_yearly!$D:$AM, 10, FALSE), 1)</f>
        <v>5.9577242846770937E-3</v>
      </c>
      <c r="R8" s="7">
        <f>$B8 * IFERROR(VLOOKUP("transport|SO2|Asthma symptoms wheeze", US_national_yearly!$D:$AM, 26, FALSE) / VLOOKUP("transport|SO2|Asthma symptoms wheeze", US_national_yearly!$D:$AM, 10, FALSE), 1)</f>
        <v>5.9577242846770937E-3</v>
      </c>
      <c r="S8" s="7">
        <f>$B8 * IFERROR(VLOOKUP("transport|SO2|Asthma symptoms wheeze", US_national_yearly!$D:$AM, 27, FALSE) / VLOOKUP("transport|SO2|Asthma symptoms wheeze", US_national_yearly!$D:$AM, 10, FALSE), 1)</f>
        <v>5.9577242846770937E-3</v>
      </c>
      <c r="T8" s="7">
        <f>$B8 * IFERROR(VLOOKUP("transport|SO2|Asthma symptoms wheeze", US_national_yearly!$D:$AM, 28, FALSE) / VLOOKUP("transport|SO2|Asthma symptoms wheeze", US_national_yearly!$D:$AM, 10, FALSE), 1)</f>
        <v>5.9577242846770937E-3</v>
      </c>
      <c r="U8" s="7">
        <f>$B8 * IFERROR(VLOOKUP("transport|SO2|Asthma symptoms wheeze", US_national_yearly!$D:$AM, 29, FALSE) / VLOOKUP("transport|SO2|Asthma symptoms wheeze", US_national_yearly!$D:$AM, 10, FALSE), 1)</f>
        <v>5.9577242846770937E-3</v>
      </c>
      <c r="V8" s="7">
        <f>$B8 * IFERROR(VLOOKUP("transport|SO2|Asthma symptoms wheeze", US_national_yearly!$D:$AM, 30, FALSE) / VLOOKUP("transport|SO2|Asthma symptoms wheeze", US_national_yearly!$D:$AM, 10, FALSE), 1)</f>
        <v>5.9577242846770937E-3</v>
      </c>
      <c r="W8" s="7">
        <f>$B8 * IFERROR(VLOOKUP("transport|SO2|Asthma symptoms wheeze", US_national_yearly!$D:$AM, 31, FALSE) / VLOOKUP("transport|SO2|Asthma symptoms wheeze", US_national_yearly!$D:$AM, 10, FALSE), 1)</f>
        <v>5.9577242846770937E-3</v>
      </c>
      <c r="X8" s="7">
        <f>$B8 * IFERROR(VLOOKUP("transport|SO2|Asthma symptoms wheeze", US_national_yearly!$D:$AM, 32, FALSE) / VLOOKUP("transport|SO2|Asthma symptoms wheeze", US_national_yearly!$D:$AM, 10, FALSE), 1)</f>
        <v>5.9577242846770937E-3</v>
      </c>
      <c r="Y8" s="7">
        <f>$B8 * IFERROR(VLOOKUP("transport|SO2|Asthma symptoms wheeze", US_national_yearly!$D:$AM, 33, FALSE) / VLOOKUP("transport|SO2|Asthma symptoms wheeze", US_national_yearly!$D:$AM, 10, FALSE), 1)</f>
        <v>5.9577242846770937E-3</v>
      </c>
      <c r="Z8" s="7">
        <f>$B8 * IFERROR(VLOOKUP("transport|SO2|Asthma symptoms wheeze", US_national_yearly!$D:$AM, 34, FALSE) / VLOOKUP("transport|SO2|Asthma symptoms wheeze", US_national_yearly!$D:$AM, 10, FALSE), 1)</f>
        <v>5.9577242846770937E-3</v>
      </c>
      <c r="AA8" s="7">
        <f>$B8 * IFERROR(VLOOKUP("transport|SO2|Asthma symptoms wheeze", US_national_yearly!$D:$AM, 35, FALSE) / VLOOKUP("transport|SO2|Asthma symptoms wheeze", US_national_yearly!$D:$AM, 10, FALSE), 1)</f>
        <v>5.9577242846770937E-3</v>
      </c>
      <c r="AB8" s="7">
        <f>$B8 * IFERROR(VLOOKUP("transport|SO2|Asthma symptoms wheeze", US_national_yearly!$D:$AM, 36, FALSE) / VLOOKUP("transport|SO2|Asthma symptoms wheeze", US_national_yearly!$D:$AM, 10, FALSE), 1)</f>
        <v>5.9577242846770937E-3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1.5143699291973199E-4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1.5233017582961871E-4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1.5322335873950543E-4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1.5411654164939215E-4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1.5500972455927887E-4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1.5598344458510528E-4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1.5695716461093171E-4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1.5791736849152474E-4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1.5887757237211783E-4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1.5983777625271087E-4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1.6079798013330396E-4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1.6175818401389697E-4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1.6245910320658265E-4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1.6316002239926829E-4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1.6386094159195392E-4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1.6456186078463961E-4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1.6526277997732524E-4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1.6593140340550385E-4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1.666000268336824E-4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1.6726865026186097E-4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1.6793727369003955E-4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1.6860589711821812E-4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1.6924031097663829E-4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1.6987472483505844E-4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1.7050913869347861E-4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1.7114355255189875E-4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1.7177796641031895E-4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5.442221057738914E-4</v>
      </c>
      <c r="C13" s="7">
        <f>$B13 * IFERROR(VLOOKUP("transport|SO2|Non-fatal heart attacks", US_national_yearly!$D:$AM, 11, FALSE) / VLOOKUP("transport|SO2|Non-fatal heart attacks", US_national_yearly!$D:$AM, 10, FALSE), 1)</f>
        <v>5.6019849007633946E-4</v>
      </c>
      <c r="D13" s="7">
        <f>$B13 * IFERROR(VLOOKUP("transport|SO2|Non-fatal heart attacks", US_national_yearly!$D:$AM, 12, FALSE) / VLOOKUP("transport|SO2|Non-fatal heart attacks", US_national_yearly!$D:$AM, 10, FALSE), 1)</f>
        <v>5.7617487437878752E-4</v>
      </c>
      <c r="E13" s="7">
        <f>$B13 * IFERROR(VLOOKUP("transport|SO2|Non-fatal heart attacks", US_national_yearly!$D:$AM, 13, FALSE) / VLOOKUP("transport|SO2|Non-fatal heart attacks", US_national_yearly!$D:$AM, 10, FALSE), 1)</f>
        <v>5.9215125868123547E-4</v>
      </c>
      <c r="F13" s="7">
        <f>$B13 * IFERROR(VLOOKUP("transport|SO2|Non-fatal heart attacks", US_national_yearly!$D:$AM, 14, FALSE) / VLOOKUP("transport|SO2|Non-fatal heart attacks", US_national_yearly!$D:$AM, 10, FALSE), 1)</f>
        <v>6.0812764298368341E-4</v>
      </c>
      <c r="G13" s="7">
        <f>$B13 * IFERROR(VLOOKUP("transport|SO2|Non-fatal heart attacks", US_national_yearly!$D:$AM, 15, FALSE) / VLOOKUP("transport|SO2|Non-fatal heart attacks", US_national_yearly!$D:$AM, 10, FALSE), 1)</f>
        <v>6.2319485528106503E-4</v>
      </c>
      <c r="H13" s="7">
        <f>$B13 * IFERROR(VLOOKUP("transport|SO2|Non-fatal heart attacks", US_national_yearly!$D:$AM, 16, FALSE) / VLOOKUP("transport|SO2|Non-fatal heart attacks", US_national_yearly!$D:$AM, 10, FALSE), 1)</f>
        <v>6.3826206757844665E-4</v>
      </c>
      <c r="I13" s="7">
        <f>$B13 * IFERROR(VLOOKUP("transport|SO2|Non-fatal heart attacks", US_national_yearly!$D:$AM, 17, FALSE) / VLOOKUP("transport|SO2|Non-fatal heart attacks", US_national_yearly!$D:$AM, 10, FALSE), 1)</f>
        <v>6.5038645012523405E-4</v>
      </c>
      <c r="J13" s="7">
        <f>$B13 * IFERROR(VLOOKUP("transport|SO2|Non-fatal heart attacks", US_national_yearly!$D:$AM, 18, FALSE) / VLOOKUP("transport|SO2|Non-fatal heart attacks", US_national_yearly!$D:$AM, 10, FALSE), 1)</f>
        <v>6.6251083267202166E-4</v>
      </c>
      <c r="K13" s="7">
        <f>$B13 * IFERROR(VLOOKUP("transport|SO2|Non-fatal heart attacks", US_national_yearly!$D:$AM, 19, FALSE) / VLOOKUP("transport|SO2|Non-fatal heart attacks", US_national_yearly!$D:$AM, 10, FALSE), 1)</f>
        <v>6.7463521521880917E-4</v>
      </c>
      <c r="L13" s="7">
        <f>$B13 * IFERROR(VLOOKUP("transport|SO2|Non-fatal heart attacks", US_national_yearly!$D:$AM, 20, FALSE) / VLOOKUP("transport|SO2|Non-fatal heart attacks", US_national_yearly!$D:$AM, 10, FALSE), 1)</f>
        <v>6.867595977655969E-4</v>
      </c>
      <c r="M13" s="7">
        <f>$B13 * IFERROR(VLOOKUP("transport|SO2|Non-fatal heart attacks", US_national_yearly!$D:$AM, 21, FALSE) / VLOOKUP("transport|SO2|Non-fatal heart attacks", US_national_yearly!$D:$AM, 10, FALSE), 1)</f>
        <v>6.9888398031238452E-4</v>
      </c>
      <c r="N13" s="7">
        <f>$B13 * IFERROR(VLOOKUP("transport|SO2|Non-fatal heart attacks", US_national_yearly!$D:$AM, 22, FALSE) / VLOOKUP("transport|SO2|Non-fatal heart attacks", US_national_yearly!$D:$AM, 10, FALSE), 1)</f>
        <v>7.0675648838198915E-4</v>
      </c>
      <c r="O13" s="7">
        <f>$B13 * IFERROR(VLOOKUP("transport|SO2|Non-fatal heart attacks", US_national_yearly!$D:$AM, 23, FALSE) / VLOOKUP("transport|SO2|Non-fatal heart attacks", US_national_yearly!$D:$AM, 10, FALSE), 1)</f>
        <v>7.1462899645159412E-4</v>
      </c>
      <c r="P13" s="7">
        <f>$B13 * IFERROR(VLOOKUP("transport|SO2|Non-fatal heart attacks", US_national_yearly!$D:$AM, 24, FALSE) / VLOOKUP("transport|SO2|Non-fatal heart attacks", US_national_yearly!$D:$AM, 10, FALSE), 1)</f>
        <v>7.2250150452119908E-4</v>
      </c>
      <c r="Q13" s="7">
        <f>$B13 * IFERROR(VLOOKUP("transport|SO2|Non-fatal heart attacks", US_national_yearly!$D:$AM, 25, FALSE) / VLOOKUP("transport|SO2|Non-fatal heart attacks", US_national_yearly!$D:$AM, 10, FALSE), 1)</f>
        <v>7.3037401259080383E-4</v>
      </c>
      <c r="R13" s="7">
        <f>$B13 * IFERROR(VLOOKUP("transport|SO2|Non-fatal heart attacks", US_national_yearly!$D:$AM, 26, FALSE) / VLOOKUP("transport|SO2|Non-fatal heart attacks", US_national_yearly!$D:$AM, 10, FALSE), 1)</f>
        <v>7.3824652066040869E-4</v>
      </c>
      <c r="S13" s="7">
        <f>$B13 * IFERROR(VLOOKUP("transport|SO2|Non-fatal heart attacks", US_national_yearly!$D:$AM, 27, FALSE) / VLOOKUP("transport|SO2|Non-fatal heart attacks", US_national_yearly!$D:$AM, 10, FALSE), 1)</f>
        <v>7.4235671284235221E-4</v>
      </c>
      <c r="T13" s="7">
        <f>$B13 * IFERROR(VLOOKUP("transport|SO2|Non-fatal heart attacks", US_national_yearly!$D:$AM, 28, FALSE) / VLOOKUP("transport|SO2|Non-fatal heart attacks", US_national_yearly!$D:$AM, 10, FALSE), 1)</f>
        <v>7.4646690502429584E-4</v>
      </c>
      <c r="U13" s="7">
        <f>$B13 * IFERROR(VLOOKUP("transport|SO2|Non-fatal heart attacks", US_national_yearly!$D:$AM, 29, FALSE) / VLOOKUP("transport|SO2|Non-fatal heart attacks", US_national_yearly!$D:$AM, 10, FALSE), 1)</f>
        <v>7.5057709720623925E-4</v>
      </c>
      <c r="V13" s="7">
        <f>$B13 * IFERROR(VLOOKUP("transport|SO2|Non-fatal heart attacks", US_national_yearly!$D:$AM, 30, FALSE) / VLOOKUP("transport|SO2|Non-fatal heart attacks", US_national_yearly!$D:$AM, 10, FALSE), 1)</f>
        <v>7.5468728938818267E-4</v>
      </c>
      <c r="W13" s="7">
        <f>$B13 * IFERROR(VLOOKUP("transport|SO2|Non-fatal heart attacks", US_national_yearly!$D:$AM, 31, FALSE) / VLOOKUP("transport|SO2|Non-fatal heart attacks", US_national_yearly!$D:$AM, 10, FALSE), 1)</f>
        <v>7.5879748157012641E-4</v>
      </c>
      <c r="X13" s="7">
        <f>$B13 * IFERROR(VLOOKUP("transport|SO2|Non-fatal heart attacks", US_national_yearly!$D:$AM, 32, FALSE) / VLOOKUP("transport|SO2|Non-fatal heart attacks", US_national_yearly!$D:$AM, 10, FALSE), 1)</f>
        <v>7.6190031713315451E-4</v>
      </c>
      <c r="Y13" s="7">
        <f>$B13 * IFERROR(VLOOKUP("transport|SO2|Non-fatal heart attacks", US_national_yearly!$D:$AM, 33, FALSE) / VLOOKUP("transport|SO2|Non-fatal heart attacks", US_national_yearly!$D:$AM, 10, FALSE), 1)</f>
        <v>7.6500315269618262E-4</v>
      </c>
      <c r="Z13" s="7">
        <f>$B13 * IFERROR(VLOOKUP("transport|SO2|Non-fatal heart attacks", US_national_yearly!$D:$AM, 34, FALSE) / VLOOKUP("transport|SO2|Non-fatal heart attacks", US_national_yearly!$D:$AM, 10, FALSE), 1)</f>
        <v>7.6810598825921073E-4</v>
      </c>
      <c r="AA13" s="7">
        <f>$B13 * IFERROR(VLOOKUP("transport|SO2|Non-fatal heart attacks", US_national_yearly!$D:$AM, 35, FALSE) / VLOOKUP("transport|SO2|Non-fatal heart attacks", US_national_yearly!$D:$AM, 10, FALSE), 1)</f>
        <v>7.7120882382223884E-4</v>
      </c>
      <c r="AB13" s="7">
        <f>$B13 * IFERROR(VLOOKUP("transport|SO2|Non-fatal heart attacks", US_national_yearly!$D:$AM, 36, FALSE) / VLOOKUP("transport|SO2|Non-fatal heart attacks", US_national_yearly!$D:$AM, 10, FALSE), 1)</f>
        <v>7.7431165938526695E-4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0.37530487853296862</v>
      </c>
      <c r="C14" s="7">
        <f>$B14 * IFERROR(VLOOKUP("transport|SO2|Minor restricted activity days", US_national_yearly!$D:$AM, 11, FALSE) / VLOOKUP("transport|SO2|Minor restricted activity days", US_national_yearly!$D:$AM, 10, FALSE), 1)</f>
        <v>0.37625089708304615</v>
      </c>
      <c r="D14" s="7">
        <f>$B14 * IFERROR(VLOOKUP("transport|SO2|Minor restricted activity days", US_national_yearly!$D:$AM, 12, FALSE) / VLOOKUP("transport|SO2|Minor restricted activity days", US_national_yearly!$D:$AM, 10, FALSE), 1)</f>
        <v>0.37719691563312358</v>
      </c>
      <c r="E14" s="7">
        <f>$B14 * IFERROR(VLOOKUP("transport|SO2|Minor restricted activity days", US_national_yearly!$D:$AM, 13, FALSE) / VLOOKUP("transport|SO2|Minor restricted activity days", US_national_yearly!$D:$AM, 10, FALSE), 1)</f>
        <v>0.37814293418320111</v>
      </c>
      <c r="F14" s="7">
        <f>$B14 * IFERROR(VLOOKUP("transport|SO2|Minor restricted activity days", US_national_yearly!$D:$AM, 14, FALSE) / VLOOKUP("transport|SO2|Minor restricted activity days", US_national_yearly!$D:$AM, 10, FALSE), 1)</f>
        <v>0.37908895273327858</v>
      </c>
      <c r="G14" s="7">
        <f>$B14 * IFERROR(VLOOKUP("transport|SO2|Minor restricted activity days", US_national_yearly!$D:$AM, 15, FALSE) / VLOOKUP("transport|SO2|Minor restricted activity days", US_national_yearly!$D:$AM, 10, FALSE), 1)</f>
        <v>0.38048139910161133</v>
      </c>
      <c r="H14" s="7">
        <f>$B14 * IFERROR(VLOOKUP("transport|SO2|Minor restricted activity days", US_national_yearly!$D:$AM, 16, FALSE) / VLOOKUP("transport|SO2|Minor restricted activity days", US_national_yearly!$D:$AM, 10, FALSE), 1)</f>
        <v>0.38187384546994407</v>
      </c>
      <c r="I14" s="7">
        <f>$B14 * IFERROR(VLOOKUP("transport|SO2|Minor restricted activity days", US_national_yearly!$D:$AM, 17, FALSE) / VLOOKUP("transport|SO2|Minor restricted activity days", US_national_yearly!$D:$AM, 10, FALSE), 1)</f>
        <v>0.38424853295992728</v>
      </c>
      <c r="J14" s="7">
        <f>$B14 * IFERROR(VLOOKUP("transport|SO2|Minor restricted activity days", US_national_yearly!$D:$AM, 18, FALSE) / VLOOKUP("transport|SO2|Minor restricted activity days", US_national_yearly!$D:$AM, 10, FALSE), 1)</f>
        <v>0.38662322044991049</v>
      </c>
      <c r="K14" s="7">
        <f>$B14 * IFERROR(VLOOKUP("transport|SO2|Minor restricted activity days", US_national_yearly!$D:$AM, 19, FALSE) / VLOOKUP("transport|SO2|Minor restricted activity days", US_national_yearly!$D:$AM, 10, FALSE), 1)</f>
        <v>0.38899790793989375</v>
      </c>
      <c r="L14" s="7">
        <f>$B14 * IFERROR(VLOOKUP("transport|SO2|Minor restricted activity days", US_national_yearly!$D:$AM, 20, FALSE) / VLOOKUP("transport|SO2|Minor restricted activity days", US_national_yearly!$D:$AM, 10, FALSE), 1)</f>
        <v>0.39137259542987696</v>
      </c>
      <c r="M14" s="7">
        <f>$B14 * IFERROR(VLOOKUP("transport|SO2|Minor restricted activity days", US_national_yearly!$D:$AM, 21, FALSE) / VLOOKUP("transport|SO2|Minor restricted activity days", US_national_yearly!$D:$AM, 10, FALSE), 1)</f>
        <v>0.39374728291986016</v>
      </c>
      <c r="N14" s="7">
        <f>$B14 * IFERROR(VLOOKUP("transport|SO2|Minor restricted activity days", US_national_yearly!$D:$AM, 22, FALSE) / VLOOKUP("transport|SO2|Minor restricted activity days", US_national_yearly!$D:$AM, 10, FALSE), 1)</f>
        <v>0.39699547436622851</v>
      </c>
      <c r="O14" s="7">
        <f>$B14 * IFERROR(VLOOKUP("transport|SO2|Minor restricted activity days", US_national_yearly!$D:$AM, 23, FALSE) / VLOOKUP("transport|SO2|Minor restricted activity days", US_national_yearly!$D:$AM, 10, FALSE), 1)</f>
        <v>0.4002436658125969</v>
      </c>
      <c r="P14" s="7">
        <f>$B14 * IFERROR(VLOOKUP("transport|SO2|Minor restricted activity days", US_national_yearly!$D:$AM, 24, FALSE) / VLOOKUP("transport|SO2|Minor restricted activity days", US_national_yearly!$D:$AM, 10, FALSE), 1)</f>
        <v>0.40349185725896525</v>
      </c>
      <c r="Q14" s="7">
        <f>$B14 * IFERROR(VLOOKUP("transport|SO2|Minor restricted activity days", US_national_yearly!$D:$AM, 25, FALSE) / VLOOKUP("transport|SO2|Minor restricted activity days", US_national_yearly!$D:$AM, 10, FALSE), 1)</f>
        <v>0.40674004870533365</v>
      </c>
      <c r="R14" s="7">
        <f>$B14 * IFERROR(VLOOKUP("transport|SO2|Minor restricted activity days", US_national_yearly!$D:$AM, 26, FALSE) / VLOOKUP("transport|SO2|Minor restricted activity days", US_national_yearly!$D:$AM, 10, FALSE), 1)</f>
        <v>0.40998824015170199</v>
      </c>
      <c r="S14" s="7">
        <f>$B14 * IFERROR(VLOOKUP("transport|SO2|Minor restricted activity days", US_national_yearly!$D:$AM, 27, FALSE) / VLOOKUP("transport|SO2|Minor restricted activity days", US_national_yearly!$D:$AM, 10, FALSE), 1)</f>
        <v>0.41330008924452016</v>
      </c>
      <c r="T14" s="7">
        <f>$B14 * IFERROR(VLOOKUP("transport|SO2|Minor restricted activity days", US_national_yearly!$D:$AM, 28, FALSE) / VLOOKUP("transport|SO2|Minor restricted activity days", US_national_yearly!$D:$AM, 10, FALSE), 1)</f>
        <v>0.41661193833733834</v>
      </c>
      <c r="U14" s="7">
        <f>$B14 * IFERROR(VLOOKUP("transport|SO2|Minor restricted activity days", US_national_yearly!$D:$AM, 29, FALSE) / VLOOKUP("transport|SO2|Minor restricted activity days", US_national_yearly!$D:$AM, 10, FALSE), 1)</f>
        <v>0.41992378743015651</v>
      </c>
      <c r="V14" s="7">
        <f>$B14 * IFERROR(VLOOKUP("transport|SO2|Minor restricted activity days", US_national_yearly!$D:$AM, 30, FALSE) / VLOOKUP("transport|SO2|Minor restricted activity days", US_national_yearly!$D:$AM, 10, FALSE), 1)</f>
        <v>0.42323563652297469</v>
      </c>
      <c r="W14" s="7">
        <f>$B14 * IFERROR(VLOOKUP("transport|SO2|Minor restricted activity days", US_national_yearly!$D:$AM, 31, FALSE) / VLOOKUP("transport|SO2|Minor restricted activity days", US_national_yearly!$D:$AM, 10, FALSE), 1)</f>
        <v>0.42654748561579292</v>
      </c>
      <c r="X14" s="7">
        <f>$B14 * IFERROR(VLOOKUP("transport|SO2|Minor restricted activity days", US_national_yearly!$D:$AM, 32, FALSE) / VLOOKUP("transport|SO2|Minor restricted activity days", US_national_yearly!$D:$AM, 10, FALSE), 1)</f>
        <v>0.42945999297559218</v>
      </c>
      <c r="Y14" s="7">
        <f>$B14 * IFERROR(VLOOKUP("transport|SO2|Minor restricted activity days", US_national_yearly!$D:$AM, 33, FALSE) / VLOOKUP("transport|SO2|Minor restricted activity days", US_national_yearly!$D:$AM, 10, FALSE), 1)</f>
        <v>0.43237250033539143</v>
      </c>
      <c r="Z14" s="7">
        <f>$B14 * IFERROR(VLOOKUP("transport|SO2|Minor restricted activity days", US_national_yearly!$D:$AM, 34, FALSE) / VLOOKUP("transport|SO2|Minor restricted activity days", US_national_yearly!$D:$AM, 10, FALSE), 1)</f>
        <v>0.43528500769519074</v>
      </c>
      <c r="AA14" s="7">
        <f>$B14 * IFERROR(VLOOKUP("transport|SO2|Minor restricted activity days", US_national_yearly!$D:$AM, 35, FALSE) / VLOOKUP("transport|SO2|Minor restricted activity days", US_national_yearly!$D:$AM, 10, FALSE), 1)</f>
        <v>0.43819751505498999</v>
      </c>
      <c r="AB14" s="7">
        <f>$B14 * IFERROR(VLOOKUP("transport|SO2|Minor restricted activity days", US_national_yearly!$D:$AM, 36, FALSE) / VLOOKUP("transport|SO2|Minor restricted activity days", US_national_yearly!$D:$AM, 10, FALSE), 1)</f>
        <v>0.4411100224147893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6.2853898024306756E-2</v>
      </c>
      <c r="C15" s="7">
        <f>$B15 * IFERROR(VLOOKUP("transport|SO2|Work loss days", US_national_yearly!$D:$AM, 11, FALSE) / VLOOKUP("transport|SO2|Work loss days", US_national_yearly!$D:$AM, 10, FALSE), 1)</f>
        <v>6.3057534664162057E-2</v>
      </c>
      <c r="D15" s="7">
        <f>$B15 * IFERROR(VLOOKUP("transport|SO2|Work loss days", US_national_yearly!$D:$AM, 12, FALSE) / VLOOKUP("transport|SO2|Work loss days", US_national_yearly!$D:$AM, 10, FALSE), 1)</f>
        <v>6.3261171304017358E-2</v>
      </c>
      <c r="E15" s="7">
        <f>$B15 * IFERROR(VLOOKUP("transport|SO2|Work loss days", US_national_yearly!$D:$AM, 13, FALSE) / VLOOKUP("transport|SO2|Work loss days", US_national_yearly!$D:$AM, 10, FALSE), 1)</f>
        <v>6.3464807943872659E-2</v>
      </c>
      <c r="F15" s="7">
        <f>$B15 * IFERROR(VLOOKUP("transport|SO2|Work loss days", US_national_yearly!$D:$AM, 14, FALSE) / VLOOKUP("transport|SO2|Work loss days", US_national_yearly!$D:$AM, 10, FALSE), 1)</f>
        <v>6.3668444583727959E-2</v>
      </c>
      <c r="G15" s="7">
        <f>$B15 * IFERROR(VLOOKUP("transport|SO2|Work loss days", US_national_yearly!$D:$AM, 15, FALSE) / VLOOKUP("transport|SO2|Work loss days", US_national_yearly!$D:$AM, 10, FALSE), 1)</f>
        <v>6.3934520770234357E-2</v>
      </c>
      <c r="H15" s="7">
        <f>$B15 * IFERROR(VLOOKUP("transport|SO2|Work loss days", US_national_yearly!$D:$AM, 16, FALSE) / VLOOKUP("transport|SO2|Work loss days", US_national_yearly!$D:$AM, 10, FALSE), 1)</f>
        <v>6.4200596956740741E-2</v>
      </c>
      <c r="I15" s="7">
        <f>$B15 * IFERROR(VLOOKUP("transport|SO2|Work loss days", US_national_yearly!$D:$AM, 17, FALSE) / VLOOKUP("transport|SO2|Work loss days", US_national_yearly!$D:$AM, 10, FALSE), 1)</f>
        <v>6.4589830699448417E-2</v>
      </c>
      <c r="J15" s="7">
        <f>$B15 * IFERROR(VLOOKUP("transport|SO2|Work loss days", US_national_yearly!$D:$AM, 18, FALSE) / VLOOKUP("transport|SO2|Work loss days", US_national_yearly!$D:$AM, 10, FALSE), 1)</f>
        <v>6.4979064442156093E-2</v>
      </c>
      <c r="K15" s="7">
        <f>$B15 * IFERROR(VLOOKUP("transport|SO2|Work loss days", US_national_yearly!$D:$AM, 19, FALSE) / VLOOKUP("transport|SO2|Work loss days", US_national_yearly!$D:$AM, 10, FALSE), 1)</f>
        <v>6.5368298184863768E-2</v>
      </c>
      <c r="L15" s="7">
        <f>$B15 * IFERROR(VLOOKUP("transport|SO2|Work loss days", US_national_yearly!$D:$AM, 20, FALSE) / VLOOKUP("transport|SO2|Work loss days", US_national_yearly!$D:$AM, 10, FALSE), 1)</f>
        <v>6.5757531927571444E-2</v>
      </c>
      <c r="M15" s="7">
        <f>$B15 * IFERROR(VLOOKUP("transport|SO2|Work loss days", US_national_yearly!$D:$AM, 21, FALSE) / VLOOKUP("transport|SO2|Work loss days", US_national_yearly!$D:$AM, 10, FALSE), 1)</f>
        <v>6.614676567027912E-2</v>
      </c>
      <c r="N15" s="7">
        <f>$B15 * IFERROR(VLOOKUP("transport|SO2|Work loss days", US_national_yearly!$D:$AM, 22, FALSE) / VLOOKUP("transport|SO2|Work loss days", US_national_yearly!$D:$AM, 10, FALSE), 1)</f>
        <v>6.6634801708081504E-2</v>
      </c>
      <c r="O15" s="7">
        <f>$B15 * IFERROR(VLOOKUP("transport|SO2|Work loss days", US_national_yearly!$D:$AM, 23, FALSE) / VLOOKUP("transport|SO2|Work loss days", US_national_yearly!$D:$AM, 10, FALSE), 1)</f>
        <v>6.7122837745883901E-2</v>
      </c>
      <c r="P15" s="7">
        <f>$B15 * IFERROR(VLOOKUP("transport|SO2|Work loss days", US_national_yearly!$D:$AM, 24, FALSE) / VLOOKUP("transport|SO2|Work loss days", US_national_yearly!$D:$AM, 10, FALSE), 1)</f>
        <v>6.7610873783686271E-2</v>
      </c>
      <c r="Q15" s="7">
        <f>$B15 * IFERROR(VLOOKUP("transport|SO2|Work loss days", US_national_yearly!$D:$AM, 25, FALSE) / VLOOKUP("transport|SO2|Work loss days", US_national_yearly!$D:$AM, 10, FALSE), 1)</f>
        <v>6.8098909821488654E-2</v>
      </c>
      <c r="R15" s="7">
        <f>$B15 * IFERROR(VLOOKUP("transport|SO2|Work loss days", US_national_yearly!$D:$AM, 26, FALSE) / VLOOKUP("transport|SO2|Work loss days", US_national_yearly!$D:$AM, 10, FALSE), 1)</f>
        <v>6.8586945859291037E-2</v>
      </c>
      <c r="S15" s="7">
        <f>$B15 * IFERROR(VLOOKUP("transport|SO2|Work loss days", US_national_yearly!$D:$AM, 27, FALSE) / VLOOKUP("transport|SO2|Work loss days", US_national_yearly!$D:$AM, 10, FALSE), 1)</f>
        <v>6.913232452250094E-2</v>
      </c>
      <c r="T15" s="7">
        <f>$B15 * IFERROR(VLOOKUP("transport|SO2|Work loss days", US_national_yearly!$D:$AM, 28, FALSE) / VLOOKUP("transport|SO2|Work loss days", US_national_yearly!$D:$AM, 10, FALSE), 1)</f>
        <v>6.9677703185710843E-2</v>
      </c>
      <c r="U15" s="7">
        <f>$B15 * IFERROR(VLOOKUP("transport|SO2|Work loss days", US_national_yearly!$D:$AM, 29, FALSE) / VLOOKUP("transport|SO2|Work loss days", US_national_yearly!$D:$AM, 10, FALSE), 1)</f>
        <v>7.0223081848920746E-2</v>
      </c>
      <c r="V15" s="7">
        <f>$B15 * IFERROR(VLOOKUP("transport|SO2|Work loss days", US_national_yearly!$D:$AM, 30, FALSE) / VLOOKUP("transport|SO2|Work loss days", US_national_yearly!$D:$AM, 10, FALSE), 1)</f>
        <v>7.0768460512130649E-2</v>
      </c>
      <c r="W15" s="7">
        <f>$B15 * IFERROR(VLOOKUP("transport|SO2|Work loss days", US_national_yearly!$D:$AM, 31, FALSE) / VLOOKUP("transport|SO2|Work loss days", US_national_yearly!$D:$AM, 10, FALSE), 1)</f>
        <v>7.1313839175340552E-2</v>
      </c>
      <c r="X15" s="7">
        <f>$B15 * IFERROR(VLOOKUP("transport|SO2|Work loss days", US_national_yearly!$D:$AM, 32, FALSE) / VLOOKUP("transport|SO2|Work loss days", US_national_yearly!$D:$AM, 10, FALSE), 1)</f>
        <v>7.1803514041754016E-2</v>
      </c>
      <c r="Y15" s="7">
        <f>$B15 * IFERROR(VLOOKUP("transport|SO2|Work loss days", US_national_yearly!$D:$AM, 33, FALSE) / VLOOKUP("transport|SO2|Work loss days", US_national_yearly!$D:$AM, 10, FALSE), 1)</f>
        <v>7.229318890816748E-2</v>
      </c>
      <c r="Z15" s="7">
        <f>$B15 * IFERROR(VLOOKUP("transport|SO2|Work loss days", US_national_yearly!$D:$AM, 34, FALSE) / VLOOKUP("transport|SO2|Work loss days", US_national_yearly!$D:$AM, 10, FALSE), 1)</f>
        <v>7.2782863774580944E-2</v>
      </c>
      <c r="AA15" s="7">
        <f>$B15 * IFERROR(VLOOKUP("transport|SO2|Work loss days", US_national_yearly!$D:$AM, 35, FALSE) / VLOOKUP("transport|SO2|Work loss days", US_national_yearly!$D:$AM, 10, FALSE), 1)</f>
        <v>7.3272538640994408E-2</v>
      </c>
      <c r="AB15" s="7">
        <f>$B15 * IFERROR(VLOOKUP("transport|SO2|Work loss days", US_national_yearly!$D:$AM, 36, FALSE) / VLOOKUP("transport|SO2|Work loss days", US_national_yearly!$D:$AM, 10, FALSE), 1)</f>
        <v>7.3762213507407873E-2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1.3044242964467729E-4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1.3438750823621231E-4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1.3833258682774733E-4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1.4227766541928237E-4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1.4622274401081742E-4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1.5000175418316685E-4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1.5378076435551631E-4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1.5701863860582242E-4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1.6025651285612856E-4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1.6349438710643467E-4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1.6673226135674078E-4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1.6997013560704689E-4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1.7214524954861686E-4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1.7432036349018681E-4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1.7649547743175676E-4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1.7867059137332671E-4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1.8084570531489669E-4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1.8198966037990521E-4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1.8313361544491371E-4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1.8427757050992223E-4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1.8542152557493073E-4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1.8656548063993925E-4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1.8733345549134471E-4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1.8810143034275016E-4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1.8886940519415564E-4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1.8963738004556112E-4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1.9040535489696654E-4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1.2339588134728456E-3</v>
      </c>
      <c r="C2" s="7">
        <f>$B2 * IFERROR(VLOOKUP("electricity|PM25|Premature mortality", US_national_yearly!$D:$AM, 11, FALSE) / VLOOKUP("electricity|PM25|Premature mortality", US_national_yearly!$D:$AM, 10, FALSE), 1)</f>
        <v>1.2492429206951451E-3</v>
      </c>
      <c r="D2" s="7">
        <f>$B2 * IFERROR(VLOOKUP("electricity|PM25|Premature mortality", US_national_yearly!$D:$AM, 12, FALSE) / VLOOKUP("electricity|PM25|Premature mortality", US_national_yearly!$D:$AM, 10, FALSE), 1)</f>
        <v>1.2645270279174449E-3</v>
      </c>
      <c r="E2" s="7">
        <f>$B2 * IFERROR(VLOOKUP("electricity|PM25|Premature mortality", US_national_yearly!$D:$AM, 13, FALSE) / VLOOKUP("electricity|PM25|Premature mortality", US_national_yearly!$D:$AM, 10, FALSE), 1)</f>
        <v>1.2798111351397445E-3</v>
      </c>
      <c r="F2" s="7">
        <f>$B2 * IFERROR(VLOOKUP("electricity|PM25|Premature mortality", US_national_yearly!$D:$AM, 14, FALSE) / VLOOKUP("electricity|PM25|Premature mortality", US_national_yearly!$D:$AM, 10, FALSE), 1)</f>
        <v>1.2950952423620445E-3</v>
      </c>
      <c r="G2" s="7">
        <f>$B2 * IFERROR(VLOOKUP("electricity|PM25|Premature mortality", US_national_yearly!$D:$AM, 15, FALSE) / VLOOKUP("electricity|PM25|Premature mortality", US_national_yearly!$D:$AM, 10, FALSE), 1)</f>
        <v>1.3251140417810646E-3</v>
      </c>
      <c r="H2" s="7">
        <f>$B2 * IFERROR(VLOOKUP("electricity|PM25|Premature mortality", US_national_yearly!$D:$AM, 16, FALSE) / VLOOKUP("electricity|PM25|Premature mortality", US_national_yearly!$D:$AM, 10, FALSE), 1)</f>
        <v>1.3551328412000851E-3</v>
      </c>
      <c r="I2" s="7">
        <f>$B2 * IFERROR(VLOOKUP("electricity|PM25|Premature mortality", US_national_yearly!$D:$AM, 17, FALSE) / VLOOKUP("electricity|PM25|Premature mortality", US_national_yearly!$D:$AM, 10, FALSE), 1)</f>
        <v>1.3753027275205971E-3</v>
      </c>
      <c r="J2" s="7">
        <f>$B2 * IFERROR(VLOOKUP("electricity|PM25|Premature mortality", US_national_yearly!$D:$AM, 18, FALSE) / VLOOKUP("electricity|PM25|Premature mortality", US_national_yearly!$D:$AM, 10, FALSE), 1)</f>
        <v>1.3954726138411093E-3</v>
      </c>
      <c r="K2" s="7">
        <f>$B2 * IFERROR(VLOOKUP("electricity|PM25|Premature mortality", US_national_yearly!$D:$AM, 19, FALSE) / VLOOKUP("electricity|PM25|Premature mortality", US_national_yearly!$D:$AM, 10, FALSE), 1)</f>
        <v>1.415642500161621E-3</v>
      </c>
      <c r="L2" s="7">
        <f>$B2 * IFERROR(VLOOKUP("electricity|PM25|Premature mortality", US_national_yearly!$D:$AM, 20, FALSE) / VLOOKUP("electricity|PM25|Premature mortality", US_national_yearly!$D:$AM, 10, FALSE), 1)</f>
        <v>1.4358123864821333E-3</v>
      </c>
      <c r="M2" s="7">
        <f>$B2 * IFERROR(VLOOKUP("electricity|PM25|Premature mortality", US_national_yearly!$D:$AM, 21, FALSE) / VLOOKUP("electricity|PM25|Premature mortality", US_national_yearly!$D:$AM, 10, FALSE), 1)</f>
        <v>1.4559822728026453E-3</v>
      </c>
      <c r="N2" s="7">
        <f>$B2 * IFERROR(VLOOKUP("electricity|PM25|Premature mortality", US_national_yearly!$D:$AM, 22, FALSE) / VLOOKUP("electricity|PM25|Premature mortality", US_national_yearly!$D:$AM, 10, FALSE), 1)</f>
        <v>1.4720599557640412E-3</v>
      </c>
      <c r="O2" s="7">
        <f>$B2 * IFERROR(VLOOKUP("electricity|PM25|Premature mortality", US_national_yearly!$D:$AM, 23, FALSE) / VLOOKUP("electricity|PM25|Premature mortality", US_national_yearly!$D:$AM, 10, FALSE), 1)</f>
        <v>1.4881376387254367E-3</v>
      </c>
      <c r="P2" s="7">
        <f>$B2 * IFERROR(VLOOKUP("electricity|PM25|Premature mortality", US_national_yearly!$D:$AM, 24, FALSE) / VLOOKUP("electricity|PM25|Premature mortality", US_national_yearly!$D:$AM, 10, FALSE), 1)</f>
        <v>1.5042153216868327E-3</v>
      </c>
      <c r="Q2" s="7">
        <f>$B2 * IFERROR(VLOOKUP("electricity|PM25|Premature mortality", US_national_yearly!$D:$AM, 25, FALSE) / VLOOKUP("electricity|PM25|Premature mortality", US_national_yearly!$D:$AM, 10, FALSE), 1)</f>
        <v>1.5202930046482282E-3</v>
      </c>
      <c r="R2" s="7">
        <f>$B2 * IFERROR(VLOOKUP("electricity|PM25|Premature mortality", US_national_yearly!$D:$AM, 26, FALSE) / VLOOKUP("electricity|PM25|Premature mortality", US_national_yearly!$D:$AM, 10, FALSE), 1)</f>
        <v>1.536370687609624E-3</v>
      </c>
      <c r="S2" s="7">
        <f>$B2 * IFERROR(VLOOKUP("electricity|PM25|Premature mortality", US_national_yearly!$D:$AM, 27, FALSE) / VLOOKUP("electricity|PM25|Premature mortality", US_national_yearly!$D:$AM, 10, FALSE), 1)</f>
        <v>1.5455704239724663E-3</v>
      </c>
      <c r="T2" s="7">
        <f>$B2 * IFERROR(VLOOKUP("electricity|PM25|Premature mortality", US_national_yearly!$D:$AM, 28, FALSE) / VLOOKUP("electricity|PM25|Premature mortality", US_national_yearly!$D:$AM, 10, FALSE), 1)</f>
        <v>1.5547701603353082E-3</v>
      </c>
      <c r="U2" s="7">
        <f>$B2 * IFERROR(VLOOKUP("electricity|PM25|Premature mortality", US_national_yearly!$D:$AM, 29, FALSE) / VLOOKUP("electricity|PM25|Premature mortality", US_national_yearly!$D:$AM, 10, FALSE), 1)</f>
        <v>1.5639698966981508E-3</v>
      </c>
      <c r="V2" s="7">
        <f>$B2 * IFERROR(VLOOKUP("electricity|PM25|Premature mortality", US_national_yearly!$D:$AM, 30, FALSE) / VLOOKUP("electricity|PM25|Premature mortality", US_national_yearly!$D:$AM, 10, FALSE), 1)</f>
        <v>1.5731696330609926E-3</v>
      </c>
      <c r="W2" s="7">
        <f>$B2 * IFERROR(VLOOKUP("electricity|PM25|Premature mortality", US_national_yearly!$D:$AM, 31, FALSE) / VLOOKUP("electricity|PM25|Premature mortality", US_national_yearly!$D:$AM, 10, FALSE), 1)</f>
        <v>1.582369369423835E-3</v>
      </c>
      <c r="X2" s="7">
        <f>$B2 * IFERROR(VLOOKUP("electricity|PM25|Premature mortality", US_national_yearly!$D:$AM, 32, FALSE) / VLOOKUP("electricity|PM25|Premature mortality", US_national_yearly!$D:$AM, 10, FALSE), 1)</f>
        <v>1.5849249967036839E-3</v>
      </c>
      <c r="Y2" s="7">
        <f>$B2 * IFERROR(VLOOKUP("electricity|PM25|Premature mortality", US_national_yearly!$D:$AM, 33, FALSE) / VLOOKUP("electricity|PM25|Premature mortality", US_national_yearly!$D:$AM, 10, FALSE), 1)</f>
        <v>1.5874806239835329E-3</v>
      </c>
      <c r="Z2" s="7">
        <f>$B2 * IFERROR(VLOOKUP("electricity|PM25|Premature mortality", US_national_yearly!$D:$AM, 34, FALSE) / VLOOKUP("electricity|PM25|Premature mortality", US_national_yearly!$D:$AM, 10, FALSE), 1)</f>
        <v>1.5900362512633818E-3</v>
      </c>
      <c r="AA2" s="7">
        <f>$B2 * IFERROR(VLOOKUP("electricity|PM25|Premature mortality", US_national_yearly!$D:$AM, 35, FALSE) / VLOOKUP("electricity|PM25|Premature mortality", US_national_yearly!$D:$AM, 10, FALSE), 1)</f>
        <v>1.592591878543231E-3</v>
      </c>
      <c r="AB2" s="7">
        <f>$B2 * IFERROR(VLOOKUP("electricity|PM25|Premature mortality", US_national_yearly!$D:$AM, 36, FALSE) / VLOOKUP("electricity|PM25|Premature mortality", US_national_yearly!$D:$AM, 10, FALSE), 1)</f>
        <v>1.5951475058230801E-3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2.1608981349171996E-6</v>
      </c>
      <c r="C3" s="7">
        <f>$B3 * IFERROR(VLOOKUP("electricity|PM25|Infant mortality", US_national_yearly!$D:$AM, 11, FALSE) / VLOOKUP("electricity|PM25|Infant mortality", US_national_yearly!$D:$AM, 10, FALSE), 1)</f>
        <v>2.1420702349107332E-6</v>
      </c>
      <c r="D3" s="7">
        <f>$B3 * IFERROR(VLOOKUP("electricity|PM25|Infant mortality", US_national_yearly!$D:$AM, 12, FALSE) / VLOOKUP("electricity|PM25|Infant mortality", US_national_yearly!$D:$AM, 10, FALSE), 1)</f>
        <v>2.1232423349042673E-6</v>
      </c>
      <c r="E3" s="7">
        <f>$B3 * IFERROR(VLOOKUP("electricity|PM25|Infant mortality", US_national_yearly!$D:$AM, 13, FALSE) / VLOOKUP("electricity|PM25|Infant mortality", US_national_yearly!$D:$AM, 10, FALSE), 1)</f>
        <v>2.1044144348978009E-6</v>
      </c>
      <c r="F3" s="7">
        <f>$B3 * IFERROR(VLOOKUP("electricity|PM25|Infant mortality", US_national_yearly!$D:$AM, 14, FALSE) / VLOOKUP("electricity|PM25|Infant mortality", US_national_yearly!$D:$AM, 10, FALSE), 1)</f>
        <v>2.0855865348913345E-6</v>
      </c>
      <c r="G3" s="7">
        <f>$B3 * IFERROR(VLOOKUP("electricity|PM25|Infant mortality", US_national_yearly!$D:$AM, 15, FALSE) / VLOOKUP("electricity|PM25|Infant mortality", US_national_yearly!$D:$AM, 10, FALSE), 1)</f>
        <v>1.3830959855118651E-6</v>
      </c>
      <c r="H3" s="7">
        <f>$B3 * IFERROR(VLOOKUP("electricity|PM25|Infant mortality", US_national_yearly!$D:$AM, 16, FALSE) / VLOOKUP("electricity|PM25|Infant mortality", US_national_yearly!$D:$AM, 10, FALSE), 1)</f>
        <v>6.8060543613239593E-7</v>
      </c>
      <c r="I3" s="7">
        <f>$B3 * IFERROR(VLOOKUP("electricity|PM25|Infant mortality", US_national_yearly!$D:$AM, 17, FALSE) / VLOOKUP("electricity|PM25|Infant mortality", US_national_yearly!$D:$AM, 10, FALSE), 1)</f>
        <v>6.7580004988332717E-7</v>
      </c>
      <c r="J3" s="7">
        <f>$B3 * IFERROR(VLOOKUP("electricity|PM25|Infant mortality", US_national_yearly!$D:$AM, 18, FALSE) / VLOOKUP("electricity|PM25|Infant mortality", US_national_yearly!$D:$AM, 10, FALSE), 1)</f>
        <v>6.7099466363425862E-7</v>
      </c>
      <c r="K3" s="7">
        <f>$B3 * IFERROR(VLOOKUP("electricity|PM25|Infant mortality", US_national_yearly!$D:$AM, 19, FALSE) / VLOOKUP("electricity|PM25|Infant mortality", US_national_yearly!$D:$AM, 10, FALSE), 1)</f>
        <v>6.6618927738518975E-7</v>
      </c>
      <c r="L3" s="7">
        <f>$B3 * IFERROR(VLOOKUP("electricity|PM25|Infant mortality", US_national_yearly!$D:$AM, 20, FALSE) / VLOOKUP("electricity|PM25|Infant mortality", US_national_yearly!$D:$AM, 10, FALSE), 1)</f>
        <v>6.613838911361211E-7</v>
      </c>
      <c r="M3" s="7">
        <f>$B3 * IFERROR(VLOOKUP("electricity|PM25|Infant mortality", US_national_yearly!$D:$AM, 21, FALSE) / VLOOKUP("electricity|PM25|Infant mortality", US_national_yearly!$D:$AM, 10, FALSE), 1)</f>
        <v>6.5657850488705244E-7</v>
      </c>
      <c r="N3" s="7">
        <f>$B3 * IFERROR(VLOOKUP("electricity|PM25|Infant mortality", US_national_yearly!$D:$AM, 22, FALSE) / VLOOKUP("electricity|PM25|Infant mortality", US_national_yearly!$D:$AM, 10, FALSE), 1)</f>
        <v>6.5348800352885017E-7</v>
      </c>
      <c r="O3" s="7">
        <f>$B3 * IFERROR(VLOOKUP("electricity|PM25|Infant mortality", US_national_yearly!$D:$AM, 23, FALSE) / VLOOKUP("electricity|PM25|Infant mortality", US_national_yearly!$D:$AM, 10, FALSE), 1)</f>
        <v>6.5039750217064791E-7</v>
      </c>
      <c r="P3" s="7">
        <f>$B3 * IFERROR(VLOOKUP("electricity|PM25|Infant mortality", US_national_yearly!$D:$AM, 24, FALSE) / VLOOKUP("electricity|PM25|Infant mortality", US_national_yearly!$D:$AM, 10, FALSE), 1)</f>
        <v>6.4730700081244564E-7</v>
      </c>
      <c r="Q3" s="7">
        <f>$B3 * IFERROR(VLOOKUP("electricity|PM25|Infant mortality", US_national_yearly!$D:$AM, 25, FALSE) / VLOOKUP("electricity|PM25|Infant mortality", US_national_yearly!$D:$AM, 10, FALSE), 1)</f>
        <v>6.4421649945424337E-7</v>
      </c>
      <c r="R3" s="7">
        <f>$B3 * IFERROR(VLOOKUP("electricity|PM25|Infant mortality", US_national_yearly!$D:$AM, 26, FALSE) / VLOOKUP("electricity|PM25|Infant mortality", US_national_yearly!$D:$AM, 10, FALSE), 1)</f>
        <v>6.41125998096041E-7</v>
      </c>
      <c r="S3" s="7">
        <f>$B3 * IFERROR(VLOOKUP("electricity|PM25|Infant mortality", US_national_yearly!$D:$AM, 27, FALSE) / VLOOKUP("electricity|PM25|Infant mortality", US_national_yearly!$D:$AM, 10, FALSE), 1)</f>
        <v>6.3742350840697315E-7</v>
      </c>
      <c r="T3" s="7">
        <f>$B3 * IFERROR(VLOOKUP("electricity|PM25|Infant mortality", US_national_yearly!$D:$AM, 28, FALSE) / VLOOKUP("electricity|PM25|Infant mortality", US_national_yearly!$D:$AM, 10, FALSE), 1)</f>
        <v>6.3372101871790529E-7</v>
      </c>
      <c r="U3" s="7">
        <f>$B3 * IFERROR(VLOOKUP("electricity|PM25|Infant mortality", US_national_yearly!$D:$AM, 29, FALSE) / VLOOKUP("electricity|PM25|Infant mortality", US_national_yearly!$D:$AM, 10, FALSE), 1)</f>
        <v>6.3001852902883754E-7</v>
      </c>
      <c r="V3" s="7">
        <f>$B3 * IFERROR(VLOOKUP("electricity|PM25|Infant mortality", US_national_yearly!$D:$AM, 30, FALSE) / VLOOKUP("electricity|PM25|Infant mortality", US_national_yearly!$D:$AM, 10, FALSE), 1)</f>
        <v>6.2631603933976968E-7</v>
      </c>
      <c r="W3" s="7">
        <f>$B3 * IFERROR(VLOOKUP("electricity|PM25|Infant mortality", US_national_yearly!$D:$AM, 31, FALSE) / VLOOKUP("electricity|PM25|Infant mortality", US_national_yearly!$D:$AM, 10, FALSE), 1)</f>
        <v>6.2261354965070183E-7</v>
      </c>
      <c r="X3" s="7">
        <f>$B3 * IFERROR(VLOOKUP("electricity|PM25|Infant mortality", US_national_yearly!$D:$AM, 32, FALSE) / VLOOKUP("electricity|PM25|Infant mortality", US_national_yearly!$D:$AM, 10, FALSE), 1)</f>
        <v>6.1878748883401791E-7</v>
      </c>
      <c r="Y3" s="7">
        <f>$B3 * IFERROR(VLOOKUP("electricity|PM25|Infant mortality", US_national_yearly!$D:$AM, 33, FALSE) / VLOOKUP("electricity|PM25|Infant mortality", US_national_yearly!$D:$AM, 10, FALSE), 1)</f>
        <v>6.1496142801733388E-7</v>
      </c>
      <c r="Z3" s="7">
        <f>$B3 * IFERROR(VLOOKUP("electricity|PM25|Infant mortality", US_national_yearly!$D:$AM, 34, FALSE) / VLOOKUP("electricity|PM25|Infant mortality", US_national_yearly!$D:$AM, 10, FALSE), 1)</f>
        <v>6.1113536720064996E-7</v>
      </c>
      <c r="AA3" s="7">
        <f>$B3 * IFERROR(VLOOKUP("electricity|PM25|Infant mortality", US_national_yearly!$D:$AM, 35, FALSE) / VLOOKUP("electricity|PM25|Infant mortality", US_national_yearly!$D:$AM, 10, FALSE), 1)</f>
        <v>6.0730930638396594E-7</v>
      </c>
      <c r="AB3" s="7">
        <f>$B3 * IFERROR(VLOOKUP("electricity|PM25|Infant mortality", US_national_yearly!$D:$AM, 36, FALSE) / VLOOKUP("electricity|PM25|Infant mortality", US_national_yearly!$D:$AM, 10, FALSE), 1)</f>
        <v>6.0348324556728202E-7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2.2975542504855445E-3</v>
      </c>
      <c r="C6" s="7">
        <f>$B6 * IFERROR(VLOOKUP("electricity|PM25|Asthma symptoms cough", US_national_yearly!$D:$AM, 11, FALSE) / VLOOKUP("electricity|PM25|Asthma symptoms cough", US_national_yearly!$D:$AM, 10, FALSE), 1)</f>
        <v>2.2975542504855445E-3</v>
      </c>
      <c r="D6" s="7">
        <f>$B6 * IFERROR(VLOOKUP("electricity|PM25|Asthma symptoms cough", US_national_yearly!$D:$AM, 12, FALSE) / VLOOKUP("electricity|PM25|Asthma symptoms cough", US_national_yearly!$D:$AM, 10, FALSE), 1)</f>
        <v>2.2975542504855445E-3</v>
      </c>
      <c r="E6" s="7">
        <f>$B6 * IFERROR(VLOOKUP("electricity|PM25|Asthma symptoms cough", US_national_yearly!$D:$AM, 13, FALSE) / VLOOKUP("electricity|PM25|Asthma symptoms cough", US_national_yearly!$D:$AM, 10, FALSE), 1)</f>
        <v>2.2975542504855445E-3</v>
      </c>
      <c r="F6" s="7">
        <f>$B6 * IFERROR(VLOOKUP("electricity|PM25|Asthma symptoms cough", US_national_yearly!$D:$AM, 14, FALSE) / VLOOKUP("electricity|PM25|Asthma symptoms cough", US_national_yearly!$D:$AM, 10, FALSE), 1)</f>
        <v>2.2975542504855445E-3</v>
      </c>
      <c r="G6" s="7">
        <f>$B6 * IFERROR(VLOOKUP("electricity|PM25|Asthma symptoms cough", US_national_yearly!$D:$AM, 15, FALSE) / VLOOKUP("electricity|PM25|Asthma symptoms cough", US_national_yearly!$D:$AM, 10, FALSE), 1)</f>
        <v>2.2975542504855445E-3</v>
      </c>
      <c r="H6" s="7">
        <f>$B6 * IFERROR(VLOOKUP("electricity|PM25|Asthma symptoms cough", US_national_yearly!$D:$AM, 16, FALSE) / VLOOKUP("electricity|PM25|Asthma symptoms cough", US_national_yearly!$D:$AM, 10, FALSE), 1)</f>
        <v>2.2975542504855445E-3</v>
      </c>
      <c r="I6" s="7">
        <f>$B6 * IFERROR(VLOOKUP("electricity|PM25|Asthma symptoms cough", US_national_yearly!$D:$AM, 17, FALSE) / VLOOKUP("electricity|PM25|Asthma symptoms cough", US_national_yearly!$D:$AM, 10, FALSE), 1)</f>
        <v>2.2975542504855445E-3</v>
      </c>
      <c r="J6" s="7">
        <f>$B6 * IFERROR(VLOOKUP("electricity|PM25|Asthma symptoms cough", US_national_yearly!$D:$AM, 18, FALSE) / VLOOKUP("electricity|PM25|Asthma symptoms cough", US_national_yearly!$D:$AM, 10, FALSE), 1)</f>
        <v>2.2975542504855445E-3</v>
      </c>
      <c r="K6" s="7">
        <f>$B6 * IFERROR(VLOOKUP("electricity|PM25|Asthma symptoms cough", US_national_yearly!$D:$AM, 19, FALSE) / VLOOKUP("electricity|PM25|Asthma symptoms cough", US_national_yearly!$D:$AM, 10, FALSE), 1)</f>
        <v>2.2975542504855445E-3</v>
      </c>
      <c r="L6" s="7">
        <f>$B6 * IFERROR(VLOOKUP("electricity|PM25|Asthma symptoms cough", US_national_yearly!$D:$AM, 20, FALSE) / VLOOKUP("electricity|PM25|Asthma symptoms cough", US_national_yearly!$D:$AM, 10, FALSE), 1)</f>
        <v>2.2975542504855445E-3</v>
      </c>
      <c r="M6" s="7">
        <f>$B6 * IFERROR(VLOOKUP("electricity|PM25|Asthma symptoms cough", US_national_yearly!$D:$AM, 21, FALSE) / VLOOKUP("electricity|PM25|Asthma symptoms cough", US_national_yearly!$D:$AM, 10, FALSE), 1)</f>
        <v>2.2975542504855445E-3</v>
      </c>
      <c r="N6" s="7">
        <f>$B6 * IFERROR(VLOOKUP("electricity|PM25|Asthma symptoms cough", US_national_yearly!$D:$AM, 22, FALSE) / VLOOKUP("electricity|PM25|Asthma symptoms cough", US_national_yearly!$D:$AM, 10, FALSE), 1)</f>
        <v>2.2975542504855445E-3</v>
      </c>
      <c r="O6" s="7">
        <f>$B6 * IFERROR(VLOOKUP("electricity|PM25|Asthma symptoms cough", US_national_yearly!$D:$AM, 23, FALSE) / VLOOKUP("electricity|PM25|Asthma symptoms cough", US_national_yearly!$D:$AM, 10, FALSE), 1)</f>
        <v>2.2975542504855445E-3</v>
      </c>
      <c r="P6" s="7">
        <f>$B6 * IFERROR(VLOOKUP("electricity|PM25|Asthma symptoms cough", US_national_yearly!$D:$AM, 24, FALSE) / VLOOKUP("electricity|PM25|Asthma symptoms cough", US_national_yearly!$D:$AM, 10, FALSE), 1)</f>
        <v>2.2975542504855445E-3</v>
      </c>
      <c r="Q6" s="7">
        <f>$B6 * IFERROR(VLOOKUP("electricity|PM25|Asthma symptoms cough", US_national_yearly!$D:$AM, 25, FALSE) / VLOOKUP("electricity|PM25|Asthma symptoms cough", US_national_yearly!$D:$AM, 10, FALSE), 1)</f>
        <v>2.2975542504855445E-3</v>
      </c>
      <c r="R6" s="7">
        <f>$B6 * IFERROR(VLOOKUP("electricity|PM25|Asthma symptoms cough", US_national_yearly!$D:$AM, 26, FALSE) / VLOOKUP("electricity|PM25|Asthma symptoms cough", US_national_yearly!$D:$AM, 10, FALSE), 1)</f>
        <v>2.2975542504855445E-3</v>
      </c>
      <c r="S6" s="7">
        <f>$B6 * IFERROR(VLOOKUP("electricity|PM25|Asthma symptoms cough", US_national_yearly!$D:$AM, 27, FALSE) / VLOOKUP("electricity|PM25|Asthma symptoms cough", US_national_yearly!$D:$AM, 10, FALSE), 1)</f>
        <v>2.2975542504855445E-3</v>
      </c>
      <c r="T6" s="7">
        <f>$B6 * IFERROR(VLOOKUP("electricity|PM25|Asthma symptoms cough", US_national_yearly!$D:$AM, 28, FALSE) / VLOOKUP("electricity|PM25|Asthma symptoms cough", US_national_yearly!$D:$AM, 10, FALSE), 1)</f>
        <v>2.2975542504855445E-3</v>
      </c>
      <c r="U6" s="7">
        <f>$B6 * IFERROR(VLOOKUP("electricity|PM25|Asthma symptoms cough", US_national_yearly!$D:$AM, 29, FALSE) / VLOOKUP("electricity|PM25|Asthma symptoms cough", US_national_yearly!$D:$AM, 10, FALSE), 1)</f>
        <v>2.2975542504855445E-3</v>
      </c>
      <c r="V6" s="7">
        <f>$B6 * IFERROR(VLOOKUP("electricity|PM25|Asthma symptoms cough", US_national_yearly!$D:$AM, 30, FALSE) / VLOOKUP("electricity|PM25|Asthma symptoms cough", US_national_yearly!$D:$AM, 10, FALSE), 1)</f>
        <v>2.2975542504855445E-3</v>
      </c>
      <c r="W6" s="7">
        <f>$B6 * IFERROR(VLOOKUP("electricity|PM25|Asthma symptoms cough", US_national_yearly!$D:$AM, 31, FALSE) / VLOOKUP("electricity|PM25|Asthma symptoms cough", US_national_yearly!$D:$AM, 10, FALSE), 1)</f>
        <v>2.2975542504855445E-3</v>
      </c>
      <c r="X6" s="7">
        <f>$B6 * IFERROR(VLOOKUP("electricity|PM25|Asthma symptoms cough", US_national_yearly!$D:$AM, 32, FALSE) / VLOOKUP("electricity|PM25|Asthma symptoms cough", US_national_yearly!$D:$AM, 10, FALSE), 1)</f>
        <v>2.2975542504855445E-3</v>
      </c>
      <c r="Y6" s="7">
        <f>$B6 * IFERROR(VLOOKUP("electricity|PM25|Asthma symptoms cough", US_national_yearly!$D:$AM, 33, FALSE) / VLOOKUP("electricity|PM25|Asthma symptoms cough", US_national_yearly!$D:$AM, 10, FALSE), 1)</f>
        <v>2.2975542504855445E-3</v>
      </c>
      <c r="Z6" s="7">
        <f>$B6 * IFERROR(VLOOKUP("electricity|PM25|Asthma symptoms cough", US_national_yearly!$D:$AM, 34, FALSE) / VLOOKUP("electricity|PM25|Asthma symptoms cough", US_national_yearly!$D:$AM, 10, FALSE), 1)</f>
        <v>2.2975542504855445E-3</v>
      </c>
      <c r="AA6" s="7">
        <f>$B6 * IFERROR(VLOOKUP("electricity|PM25|Asthma symptoms cough", US_national_yearly!$D:$AM, 35, FALSE) / VLOOKUP("electricity|PM25|Asthma symptoms cough", US_national_yearly!$D:$AM, 10, FALSE), 1)</f>
        <v>2.2975542504855445E-3</v>
      </c>
      <c r="AB6" s="7">
        <f>$B6 * IFERROR(VLOOKUP("electricity|PM25|Asthma symptoms cough", US_national_yearly!$D:$AM, 36, FALSE) / VLOOKUP("electricity|PM25|Asthma symptoms cough", US_national_yearly!$D:$AM, 10, FALSE), 1)</f>
        <v>2.2975542504855445E-3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3.093967714982456E-3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3.093967714982456E-3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3.093967714982456E-3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3.093967714982456E-3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3.093967714982456E-3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3.093967714982456E-3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3.093967714982456E-3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3.093967714982456E-3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3.093967714982456E-3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3.093967714982456E-3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3.093967714982456E-3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3.093967714982456E-3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3.093967714982456E-3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3.093967714982456E-3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3.093967714982456E-3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3.093967714982456E-3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3.093967714982456E-3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3.093967714982456E-3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3.093967714982456E-3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3.093967714982456E-3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3.093967714982456E-3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3.093967714982456E-3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3.093967714982456E-3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3.093967714982456E-3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3.093967714982456E-3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3.093967714982456E-3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3.093967714982456E-3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4.727138449394222E-3</v>
      </c>
      <c r="C8" s="7">
        <f>$B8 * IFERROR(VLOOKUP("electricity|PM25|Asthma symptoms wheeze", US_national_yearly!$D:$AM, 11, FALSE) / VLOOKUP("electricity|PM25|Asthma symptoms wheeze", US_national_yearly!$D:$AM, 10, FALSE), 1)</f>
        <v>4.727138449394222E-3</v>
      </c>
      <c r="D8" s="7">
        <f>$B8 * IFERROR(VLOOKUP("electricity|PM25|Asthma symptoms wheeze", US_national_yearly!$D:$AM, 12, FALSE) / VLOOKUP("electricity|PM25|Asthma symptoms wheeze", US_national_yearly!$D:$AM, 10, FALSE), 1)</f>
        <v>4.727138449394222E-3</v>
      </c>
      <c r="E8" s="7">
        <f>$B8 * IFERROR(VLOOKUP("electricity|PM25|Asthma symptoms wheeze", US_national_yearly!$D:$AM, 13, FALSE) / VLOOKUP("electricity|PM25|Asthma symptoms wheeze", US_national_yearly!$D:$AM, 10, FALSE), 1)</f>
        <v>4.727138449394222E-3</v>
      </c>
      <c r="F8" s="7">
        <f>$B8 * IFERROR(VLOOKUP("electricity|PM25|Asthma symptoms wheeze", US_national_yearly!$D:$AM, 14, FALSE) / VLOOKUP("electricity|PM25|Asthma symptoms wheeze", US_national_yearly!$D:$AM, 10, FALSE), 1)</f>
        <v>4.727138449394222E-3</v>
      </c>
      <c r="G8" s="7">
        <f>$B8 * IFERROR(VLOOKUP("electricity|PM25|Asthma symptoms wheeze", US_national_yearly!$D:$AM, 15, FALSE) / VLOOKUP("electricity|PM25|Asthma symptoms wheeze", US_national_yearly!$D:$AM, 10, FALSE), 1)</f>
        <v>4.727138449394222E-3</v>
      </c>
      <c r="H8" s="7">
        <f>$B8 * IFERROR(VLOOKUP("electricity|PM25|Asthma symptoms wheeze", US_national_yearly!$D:$AM, 16, FALSE) / VLOOKUP("electricity|PM25|Asthma symptoms wheeze", US_national_yearly!$D:$AM, 10, FALSE), 1)</f>
        <v>4.727138449394222E-3</v>
      </c>
      <c r="I8" s="7">
        <f>$B8 * IFERROR(VLOOKUP("electricity|PM25|Asthma symptoms wheeze", US_national_yearly!$D:$AM, 17, FALSE) / VLOOKUP("electricity|PM25|Asthma symptoms wheeze", US_national_yearly!$D:$AM, 10, FALSE), 1)</f>
        <v>4.727138449394222E-3</v>
      </c>
      <c r="J8" s="7">
        <f>$B8 * IFERROR(VLOOKUP("electricity|PM25|Asthma symptoms wheeze", US_national_yearly!$D:$AM, 18, FALSE) / VLOOKUP("electricity|PM25|Asthma symptoms wheeze", US_national_yearly!$D:$AM, 10, FALSE), 1)</f>
        <v>4.727138449394222E-3</v>
      </c>
      <c r="K8" s="7">
        <f>$B8 * IFERROR(VLOOKUP("electricity|PM25|Asthma symptoms wheeze", US_national_yearly!$D:$AM, 19, FALSE) / VLOOKUP("electricity|PM25|Asthma symptoms wheeze", US_national_yearly!$D:$AM, 10, FALSE), 1)</f>
        <v>4.727138449394222E-3</v>
      </c>
      <c r="L8" s="7">
        <f>$B8 * IFERROR(VLOOKUP("electricity|PM25|Asthma symptoms wheeze", US_national_yearly!$D:$AM, 20, FALSE) / VLOOKUP("electricity|PM25|Asthma symptoms wheeze", US_national_yearly!$D:$AM, 10, FALSE), 1)</f>
        <v>4.727138449394222E-3</v>
      </c>
      <c r="M8" s="7">
        <f>$B8 * IFERROR(VLOOKUP("electricity|PM25|Asthma symptoms wheeze", US_national_yearly!$D:$AM, 21, FALSE) / VLOOKUP("electricity|PM25|Asthma symptoms wheeze", US_national_yearly!$D:$AM, 10, FALSE), 1)</f>
        <v>4.727138449394222E-3</v>
      </c>
      <c r="N8" s="7">
        <f>$B8 * IFERROR(VLOOKUP("electricity|PM25|Asthma symptoms wheeze", US_national_yearly!$D:$AM, 22, FALSE) / VLOOKUP("electricity|PM25|Asthma symptoms wheeze", US_national_yearly!$D:$AM, 10, FALSE), 1)</f>
        <v>4.727138449394222E-3</v>
      </c>
      <c r="O8" s="7">
        <f>$B8 * IFERROR(VLOOKUP("electricity|PM25|Asthma symptoms wheeze", US_national_yearly!$D:$AM, 23, FALSE) / VLOOKUP("electricity|PM25|Asthma symptoms wheeze", US_national_yearly!$D:$AM, 10, FALSE), 1)</f>
        <v>4.727138449394222E-3</v>
      </c>
      <c r="P8" s="7">
        <f>$B8 * IFERROR(VLOOKUP("electricity|PM25|Asthma symptoms wheeze", US_national_yearly!$D:$AM, 24, FALSE) / VLOOKUP("electricity|PM25|Asthma symptoms wheeze", US_national_yearly!$D:$AM, 10, FALSE), 1)</f>
        <v>4.727138449394222E-3</v>
      </c>
      <c r="Q8" s="7">
        <f>$B8 * IFERROR(VLOOKUP("electricity|PM25|Asthma symptoms wheeze", US_national_yearly!$D:$AM, 25, FALSE) / VLOOKUP("electricity|PM25|Asthma symptoms wheeze", US_national_yearly!$D:$AM, 10, FALSE), 1)</f>
        <v>4.727138449394222E-3</v>
      </c>
      <c r="R8" s="7">
        <f>$B8 * IFERROR(VLOOKUP("electricity|PM25|Asthma symptoms wheeze", US_national_yearly!$D:$AM, 26, FALSE) / VLOOKUP("electricity|PM25|Asthma symptoms wheeze", US_national_yearly!$D:$AM, 10, FALSE), 1)</f>
        <v>4.727138449394222E-3</v>
      </c>
      <c r="S8" s="7">
        <f>$B8 * IFERROR(VLOOKUP("electricity|PM25|Asthma symptoms wheeze", US_national_yearly!$D:$AM, 27, FALSE) / VLOOKUP("electricity|PM25|Asthma symptoms wheeze", US_national_yearly!$D:$AM, 10, FALSE), 1)</f>
        <v>4.727138449394222E-3</v>
      </c>
      <c r="T8" s="7">
        <f>$B8 * IFERROR(VLOOKUP("electricity|PM25|Asthma symptoms wheeze", US_national_yearly!$D:$AM, 28, FALSE) / VLOOKUP("electricity|PM25|Asthma symptoms wheeze", US_national_yearly!$D:$AM, 10, FALSE), 1)</f>
        <v>4.727138449394222E-3</v>
      </c>
      <c r="U8" s="7">
        <f>$B8 * IFERROR(VLOOKUP("electricity|PM25|Asthma symptoms wheeze", US_national_yearly!$D:$AM, 29, FALSE) / VLOOKUP("electricity|PM25|Asthma symptoms wheeze", US_national_yearly!$D:$AM, 10, FALSE), 1)</f>
        <v>4.727138449394222E-3</v>
      </c>
      <c r="V8" s="7">
        <f>$B8 * IFERROR(VLOOKUP("electricity|PM25|Asthma symptoms wheeze", US_national_yearly!$D:$AM, 30, FALSE) / VLOOKUP("electricity|PM25|Asthma symptoms wheeze", US_national_yearly!$D:$AM, 10, FALSE), 1)</f>
        <v>4.727138449394222E-3</v>
      </c>
      <c r="W8" s="7">
        <f>$B8 * IFERROR(VLOOKUP("electricity|PM25|Asthma symptoms wheeze", US_national_yearly!$D:$AM, 31, FALSE) / VLOOKUP("electricity|PM25|Asthma symptoms wheeze", US_national_yearly!$D:$AM, 10, FALSE), 1)</f>
        <v>4.727138449394222E-3</v>
      </c>
      <c r="X8" s="7">
        <f>$B8 * IFERROR(VLOOKUP("electricity|PM25|Asthma symptoms wheeze", US_national_yearly!$D:$AM, 32, FALSE) / VLOOKUP("electricity|PM25|Asthma symptoms wheeze", US_national_yearly!$D:$AM, 10, FALSE), 1)</f>
        <v>4.727138449394222E-3</v>
      </c>
      <c r="Y8" s="7">
        <f>$B8 * IFERROR(VLOOKUP("electricity|PM25|Asthma symptoms wheeze", US_national_yearly!$D:$AM, 33, FALSE) / VLOOKUP("electricity|PM25|Asthma symptoms wheeze", US_national_yearly!$D:$AM, 10, FALSE), 1)</f>
        <v>4.727138449394222E-3</v>
      </c>
      <c r="Z8" s="7">
        <f>$B8 * IFERROR(VLOOKUP("electricity|PM25|Asthma symptoms wheeze", US_national_yearly!$D:$AM, 34, FALSE) / VLOOKUP("electricity|PM25|Asthma symptoms wheeze", US_national_yearly!$D:$AM, 10, FALSE), 1)</f>
        <v>4.727138449394222E-3</v>
      </c>
      <c r="AA8" s="7">
        <f>$B8 * IFERROR(VLOOKUP("electricity|PM25|Asthma symptoms wheeze", US_national_yearly!$D:$AM, 35, FALSE) / VLOOKUP("electricity|PM25|Asthma symptoms wheeze", US_national_yearly!$D:$AM, 10, FALSE), 1)</f>
        <v>4.727138449394222E-3</v>
      </c>
      <c r="AB8" s="7">
        <f>$B8 * IFERROR(VLOOKUP("electricity|PM25|Asthma symptoms wheeze", US_national_yearly!$D:$AM, 36, FALSE) / VLOOKUP("electricity|PM25|Asthma symptoms wheeze", US_national_yearly!$D:$AM, 10, FALSE), 1)</f>
        <v>4.727138449394222E-3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9.6320521424624289E-5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9.6849887284164741E-5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9.737925314370518E-5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9.7908619003245659E-5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9.8437984862786098E-5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9.9005452052019398E-5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9.9572919241252699E-5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1.0007989320299703E-4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1.0058686716474133E-4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1.0109384112648563E-4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1.0160081508822992E-4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1.0210778904997425E-4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1.024497609894764E-4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1.0279173292897858E-4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1.0313370486848075E-4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1.0347567680798292E-4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1.0381764874748509E-4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1.0413631876969453E-4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1.0445498879190393E-4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1.0477365881411335E-4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1.0509232883632277E-4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1.0541099885853216E-4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1.0572610282441203E-4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1.0604120679029188E-4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1.0635631075617171E-4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1.0667141472205155E-4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1.0698651868793141E-4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4.1247798320493784E-4</v>
      </c>
      <c r="C13" s="7">
        <f>$B13 * IFERROR(VLOOKUP("electricity|PM25|Non-fatal heart attacks", US_national_yearly!$D:$AM, 11, FALSE) / VLOOKUP("electricity|PM25|Non-fatal heart attacks", US_national_yearly!$D:$AM, 10, FALSE), 1)</f>
        <v>4.2442533449414601E-4</v>
      </c>
      <c r="D13" s="7">
        <f>$B13 * IFERROR(VLOOKUP("electricity|PM25|Non-fatal heart attacks", US_national_yearly!$D:$AM, 12, FALSE) / VLOOKUP("electricity|PM25|Non-fatal heart attacks", US_national_yearly!$D:$AM, 10, FALSE), 1)</f>
        <v>4.3637268578335418E-4</v>
      </c>
      <c r="E13" s="7">
        <f>$B13 * IFERROR(VLOOKUP("electricity|PM25|Non-fatal heart attacks", US_national_yearly!$D:$AM, 13, FALSE) / VLOOKUP("electricity|PM25|Non-fatal heart attacks", US_national_yearly!$D:$AM, 10, FALSE), 1)</f>
        <v>4.4832003707256224E-4</v>
      </c>
      <c r="F13" s="7">
        <f>$B13 * IFERROR(VLOOKUP("electricity|PM25|Non-fatal heart attacks", US_national_yearly!$D:$AM, 14, FALSE) / VLOOKUP("electricity|PM25|Non-fatal heart attacks", US_national_yearly!$D:$AM, 10, FALSE), 1)</f>
        <v>4.6026738836177041E-4</v>
      </c>
      <c r="G13" s="7">
        <f>$B13 * IFERROR(VLOOKUP("electricity|PM25|Non-fatal heart attacks", US_national_yearly!$D:$AM, 15, FALSE) / VLOOKUP("electricity|PM25|Non-fatal heart attacks", US_national_yearly!$D:$AM, 10, FALSE), 1)</f>
        <v>4.7160741989302397E-4</v>
      </c>
      <c r="H13" s="7">
        <f>$B13 * IFERROR(VLOOKUP("electricity|PM25|Non-fatal heart attacks", US_national_yearly!$D:$AM, 16, FALSE) / VLOOKUP("electricity|PM25|Non-fatal heart attacks", US_national_yearly!$D:$AM, 10, FALSE), 1)</f>
        <v>4.8294745142427736E-4</v>
      </c>
      <c r="I13" s="7">
        <f>$B13 * IFERROR(VLOOKUP("electricity|PM25|Non-fatal heart attacks", US_national_yearly!$D:$AM, 17, FALSE) / VLOOKUP("electricity|PM25|Non-fatal heart attacks", US_national_yearly!$D:$AM, 10, FALSE), 1)</f>
        <v>4.9219957839965567E-4</v>
      </c>
      <c r="J13" s="7">
        <f>$B13 * IFERROR(VLOOKUP("electricity|PM25|Non-fatal heart attacks", US_national_yearly!$D:$AM, 18, FALSE) / VLOOKUP("electricity|PM25|Non-fatal heart attacks", US_national_yearly!$D:$AM, 10, FALSE), 1)</f>
        <v>5.0145170537503397E-4</v>
      </c>
      <c r="K13" s="7">
        <f>$B13 * IFERROR(VLOOKUP("electricity|PM25|Non-fatal heart attacks", US_national_yearly!$D:$AM, 19, FALSE) / VLOOKUP("electricity|PM25|Non-fatal heart attacks", US_national_yearly!$D:$AM, 10, FALSE), 1)</f>
        <v>5.1070383235041227E-4</v>
      </c>
      <c r="L13" s="7">
        <f>$B13 * IFERROR(VLOOKUP("electricity|PM25|Non-fatal heart attacks", US_national_yearly!$D:$AM, 20, FALSE) / VLOOKUP("electricity|PM25|Non-fatal heart attacks", US_national_yearly!$D:$AM, 10, FALSE), 1)</f>
        <v>5.1995595932579047E-4</v>
      </c>
      <c r="M13" s="7">
        <f>$B13 * IFERROR(VLOOKUP("electricity|PM25|Non-fatal heart attacks", US_national_yearly!$D:$AM, 21, FALSE) / VLOOKUP("electricity|PM25|Non-fatal heart attacks", US_national_yearly!$D:$AM, 10, FALSE), 1)</f>
        <v>5.2920808630116888E-4</v>
      </c>
      <c r="N13" s="7">
        <f>$B13 * IFERROR(VLOOKUP("electricity|PM25|Non-fatal heart attacks", US_national_yearly!$D:$AM, 22, FALSE) / VLOOKUP("electricity|PM25|Non-fatal heart attacks", US_national_yearly!$D:$AM, 10, FALSE), 1)</f>
        <v>5.3521152232489932E-4</v>
      </c>
      <c r="O13" s="7">
        <f>$B13 * IFERROR(VLOOKUP("electricity|PM25|Non-fatal heart attacks", US_national_yearly!$D:$AM, 23, FALSE) / VLOOKUP("electricity|PM25|Non-fatal heart attacks", US_national_yearly!$D:$AM, 10, FALSE), 1)</f>
        <v>5.4121495834862966E-4</v>
      </c>
      <c r="P13" s="7">
        <f>$B13 * IFERROR(VLOOKUP("electricity|PM25|Non-fatal heart attacks", US_national_yearly!$D:$AM, 24, FALSE) / VLOOKUP("electricity|PM25|Non-fatal heart attacks", US_national_yearly!$D:$AM, 10, FALSE), 1)</f>
        <v>5.4721839437236E-4</v>
      </c>
      <c r="Q13" s="7">
        <f>$B13 * IFERROR(VLOOKUP("electricity|PM25|Non-fatal heart attacks", US_national_yearly!$D:$AM, 25, FALSE) / VLOOKUP("electricity|PM25|Non-fatal heart attacks", US_national_yearly!$D:$AM, 10, FALSE), 1)</f>
        <v>5.5322183039609044E-4</v>
      </c>
      <c r="R13" s="7">
        <f>$B13 * IFERROR(VLOOKUP("electricity|PM25|Non-fatal heart attacks", US_national_yearly!$D:$AM, 26, FALSE) / VLOOKUP("electricity|PM25|Non-fatal heart attacks", US_national_yearly!$D:$AM, 10, FALSE), 1)</f>
        <v>5.5922526641982088E-4</v>
      </c>
      <c r="S13" s="7">
        <f>$B13 * IFERROR(VLOOKUP("electricity|PM25|Non-fatal heart attacks", US_national_yearly!$D:$AM, 27, FALSE) / VLOOKUP("electricity|PM25|Non-fatal heart attacks", US_national_yearly!$D:$AM, 10, FALSE), 1)</f>
        <v>5.6253031218036153E-4</v>
      </c>
      <c r="T13" s="7">
        <f>$B13 * IFERROR(VLOOKUP("electricity|PM25|Non-fatal heart attacks", US_national_yearly!$D:$AM, 28, FALSE) / VLOOKUP("electricity|PM25|Non-fatal heart attacks", US_national_yearly!$D:$AM, 10, FALSE), 1)</f>
        <v>5.6583535794090239E-4</v>
      </c>
      <c r="U13" s="7">
        <f>$B13 * IFERROR(VLOOKUP("electricity|PM25|Non-fatal heart attacks", US_national_yearly!$D:$AM, 29, FALSE) / VLOOKUP("electricity|PM25|Non-fatal heart attacks", US_national_yearly!$D:$AM, 10, FALSE), 1)</f>
        <v>5.6914040370144303E-4</v>
      </c>
      <c r="V13" s="7">
        <f>$B13 * IFERROR(VLOOKUP("electricity|PM25|Non-fatal heart attacks", US_national_yearly!$D:$AM, 30, FALSE) / VLOOKUP("electricity|PM25|Non-fatal heart attacks", US_national_yearly!$D:$AM, 10, FALSE), 1)</f>
        <v>5.7244544946198378E-4</v>
      </c>
      <c r="W13" s="7">
        <f>$B13 * IFERROR(VLOOKUP("electricity|PM25|Non-fatal heart attacks", US_national_yearly!$D:$AM, 31, FALSE) / VLOOKUP("electricity|PM25|Non-fatal heart attacks", US_national_yearly!$D:$AM, 10, FALSE), 1)</f>
        <v>5.7575049522252454E-4</v>
      </c>
      <c r="X13" s="7">
        <f>$B13 * IFERROR(VLOOKUP("electricity|PM25|Non-fatal heart attacks", US_national_yearly!$D:$AM, 32, FALSE) / VLOOKUP("electricity|PM25|Non-fatal heart attacks", US_national_yearly!$D:$AM, 10, FALSE), 1)</f>
        <v>5.7833608469304765E-4</v>
      </c>
      <c r="Y13" s="7">
        <f>$B13 * IFERROR(VLOOKUP("electricity|PM25|Non-fatal heart attacks", US_national_yearly!$D:$AM, 33, FALSE) / VLOOKUP("electricity|PM25|Non-fatal heart attacks", US_national_yearly!$D:$AM, 10, FALSE), 1)</f>
        <v>5.8092167416357087E-4</v>
      </c>
      <c r="Z13" s="7">
        <f>$B13 * IFERROR(VLOOKUP("electricity|PM25|Non-fatal heart attacks", US_national_yearly!$D:$AM, 34, FALSE) / VLOOKUP("electricity|PM25|Non-fatal heart attacks", US_national_yearly!$D:$AM, 10, FALSE), 1)</f>
        <v>5.8350726363409408E-4</v>
      </c>
      <c r="AA13" s="7">
        <f>$B13 * IFERROR(VLOOKUP("electricity|PM25|Non-fatal heart attacks", US_national_yearly!$D:$AM, 35, FALSE) / VLOOKUP("electricity|PM25|Non-fatal heart attacks", US_national_yearly!$D:$AM, 10, FALSE), 1)</f>
        <v>5.8609285310461741E-4</v>
      </c>
      <c r="AB13" s="7">
        <f>$B13 * IFERROR(VLOOKUP("electricity|PM25|Non-fatal heart attacks", US_national_yearly!$D:$AM, 36, FALSE) / VLOOKUP("electricity|PM25|Non-fatal heart attacks", US_national_yearly!$D:$AM, 10, FALSE), 1)</f>
        <v>5.8867844257514052E-4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0.32573632447512935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0.32645943722024912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0.327182549965369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0.32790566271048882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0.3286287754556087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0.32970179097951163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0.33077480650341456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0.33266945973333645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0.33456411296325833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0.33645876619318021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0.33835341942310215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0.34024807265302398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0.34287650310834922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0.34550493356367451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0.3481333640189998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0.35076179447432509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0.35339022492965028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0.35604132693042501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0.35869242893119963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0.3613435309319743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0.36399463293274903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0.36664573493352365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0.3689182827127529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0.3711908304919822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0.37346337827121151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0.37573592605044071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0.37800847382967007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5.4863996225833302E-2</v>
      </c>
      <c r="C15" s="7">
        <f>$B15 * IFERROR(VLOOKUP("electricity|PM25|Work loss days", US_national_yearly!$D:$AM, 11, FALSE) / VLOOKUP("electricity|PM25|Work loss days", US_national_yearly!$D:$AM, 10, FALSE), 1)</f>
        <v>5.5020992722440161E-2</v>
      </c>
      <c r="D15" s="7">
        <f>$B15 * IFERROR(VLOOKUP("electricity|PM25|Work loss days", US_national_yearly!$D:$AM, 12, FALSE) / VLOOKUP("electricity|PM25|Work loss days", US_national_yearly!$D:$AM, 10, FALSE), 1)</f>
        <v>5.5177989219047034E-2</v>
      </c>
      <c r="E15" s="7">
        <f>$B15 * IFERROR(VLOOKUP("electricity|PM25|Work loss days", US_national_yearly!$D:$AM, 13, FALSE) / VLOOKUP("electricity|PM25|Work loss days", US_national_yearly!$D:$AM, 10, FALSE), 1)</f>
        <v>5.5334985715653887E-2</v>
      </c>
      <c r="F15" s="7">
        <f>$B15 * IFERROR(VLOOKUP("electricity|PM25|Work loss days", US_national_yearly!$D:$AM, 14, FALSE) / VLOOKUP("electricity|PM25|Work loss days", US_national_yearly!$D:$AM, 10, FALSE), 1)</f>
        <v>5.5491982212260746E-2</v>
      </c>
      <c r="G15" s="7">
        <f>$B15 * IFERROR(VLOOKUP("electricity|PM25|Work loss days", US_national_yearly!$D:$AM, 15, FALSE) / VLOOKUP("electricity|PM25|Work loss days", US_national_yearly!$D:$AM, 10, FALSE), 1)</f>
        <v>5.5695363114223961E-2</v>
      </c>
      <c r="H15" s="7">
        <f>$B15 * IFERROR(VLOOKUP("electricity|PM25|Work loss days", US_national_yearly!$D:$AM, 16, FALSE) / VLOOKUP("electricity|PM25|Work loss days", US_national_yearly!$D:$AM, 10, FALSE), 1)</f>
        <v>5.5898744016187184E-2</v>
      </c>
      <c r="I15" s="7">
        <f>$B15 * IFERROR(VLOOKUP("electricity|PM25|Work loss days", US_national_yearly!$D:$AM, 17, FALSE) / VLOOKUP("electricity|PM25|Work loss days", US_national_yearly!$D:$AM, 10, FALSE), 1)</f>
        <v>5.6204492473144442E-2</v>
      </c>
      <c r="J15" s="7">
        <f>$B15 * IFERROR(VLOOKUP("electricity|PM25|Work loss days", US_national_yearly!$D:$AM, 18, FALSE) / VLOOKUP("electricity|PM25|Work loss days", US_national_yearly!$D:$AM, 10, FALSE), 1)</f>
        <v>5.6510240930101686E-2</v>
      </c>
      <c r="K15" s="7">
        <f>$B15 * IFERROR(VLOOKUP("electricity|PM25|Work loss days", US_national_yearly!$D:$AM, 19, FALSE) / VLOOKUP("electricity|PM25|Work loss days", US_national_yearly!$D:$AM, 10, FALSE), 1)</f>
        <v>5.6815989387058938E-2</v>
      </c>
      <c r="L15" s="7">
        <f>$B15 * IFERROR(VLOOKUP("electricity|PM25|Work loss days", US_national_yearly!$D:$AM, 20, FALSE) / VLOOKUP("electricity|PM25|Work loss days", US_national_yearly!$D:$AM, 10, FALSE), 1)</f>
        <v>5.7121737844016196E-2</v>
      </c>
      <c r="M15" s="7">
        <f>$B15 * IFERROR(VLOOKUP("electricity|PM25|Work loss days", US_national_yearly!$D:$AM, 21, FALSE) / VLOOKUP("electricity|PM25|Work loss days", US_national_yearly!$D:$AM, 10, FALSE), 1)</f>
        <v>5.7427486300973454E-2</v>
      </c>
      <c r="N15" s="7">
        <f>$B15 * IFERROR(VLOOKUP("electricity|PM25|Work loss days", US_national_yearly!$D:$AM, 22, FALSE) / VLOOKUP("electricity|PM25|Work loss days", US_national_yearly!$D:$AM, 10, FALSE), 1)</f>
        <v>5.7822228784720119E-2</v>
      </c>
      <c r="O15" s="7">
        <f>$B15 * IFERROR(VLOOKUP("electricity|PM25|Work loss days", US_national_yearly!$D:$AM, 23, FALSE) / VLOOKUP("electricity|PM25|Work loss days", US_national_yearly!$D:$AM, 10, FALSE), 1)</f>
        <v>5.8216971268466776E-2</v>
      </c>
      <c r="P15" s="7">
        <f>$B15 * IFERROR(VLOOKUP("electricity|PM25|Work loss days", US_national_yearly!$D:$AM, 24, FALSE) / VLOOKUP("electricity|PM25|Work loss days", US_national_yearly!$D:$AM, 10, FALSE), 1)</f>
        <v>5.8611713752213426E-2</v>
      </c>
      <c r="Q15" s="7">
        <f>$B15 * IFERROR(VLOOKUP("electricity|PM25|Work loss days", US_national_yearly!$D:$AM, 25, FALSE) / VLOOKUP("electricity|PM25|Work loss days", US_national_yearly!$D:$AM, 10, FALSE), 1)</f>
        <v>5.9006456235960077E-2</v>
      </c>
      <c r="R15" s="7">
        <f>$B15 * IFERROR(VLOOKUP("electricity|PM25|Work loss days", US_national_yearly!$D:$AM, 26, FALSE) / VLOOKUP("electricity|PM25|Work loss days", US_national_yearly!$D:$AM, 10, FALSE), 1)</f>
        <v>5.9401198719706741E-2</v>
      </c>
      <c r="S15" s="7">
        <f>$B15 * IFERROR(VLOOKUP("electricity|PM25|Work loss days", US_national_yearly!$D:$AM, 27, FALSE) / VLOOKUP("electricity|PM25|Work loss days", US_national_yearly!$D:$AM, 10, FALSE), 1)</f>
        <v>5.9839223487155979E-2</v>
      </c>
      <c r="T15" s="7">
        <f>$B15 * IFERROR(VLOOKUP("electricity|PM25|Work loss days", US_national_yearly!$D:$AM, 28, FALSE) / VLOOKUP("electricity|PM25|Work loss days", US_national_yearly!$D:$AM, 10, FALSE), 1)</f>
        <v>6.0277248254605224E-2</v>
      </c>
      <c r="U15" s="7">
        <f>$B15 * IFERROR(VLOOKUP("electricity|PM25|Work loss days", US_national_yearly!$D:$AM, 29, FALSE) / VLOOKUP("electricity|PM25|Work loss days", US_national_yearly!$D:$AM, 10, FALSE), 1)</f>
        <v>6.0715273022054476E-2</v>
      </c>
      <c r="V15" s="7">
        <f>$B15 * IFERROR(VLOOKUP("electricity|PM25|Work loss days", US_national_yearly!$D:$AM, 30, FALSE) / VLOOKUP("electricity|PM25|Work loss days", US_national_yearly!$D:$AM, 10, FALSE), 1)</f>
        <v>6.1153297789503729E-2</v>
      </c>
      <c r="W15" s="7">
        <f>$B15 * IFERROR(VLOOKUP("electricity|PM25|Work loss days", US_national_yearly!$D:$AM, 31, FALSE) / VLOOKUP("electricity|PM25|Work loss days", US_national_yearly!$D:$AM, 10, FALSE), 1)</f>
        <v>6.1591322556952967E-2</v>
      </c>
      <c r="X15" s="7">
        <f>$B15 * IFERROR(VLOOKUP("electricity|PM25|Work loss days", US_national_yearly!$D:$AM, 32, FALSE) / VLOOKUP("electricity|PM25|Work loss days", US_national_yearly!$D:$AM, 10, FALSE), 1)</f>
        <v>6.1977732275346899E-2</v>
      </c>
      <c r="Y15" s="7">
        <f>$B15 * IFERROR(VLOOKUP("electricity|PM25|Work loss days", US_national_yearly!$D:$AM, 33, FALSE) / VLOOKUP("electricity|PM25|Work loss days", US_national_yearly!$D:$AM, 10, FALSE), 1)</f>
        <v>6.236414199374081E-2</v>
      </c>
      <c r="Z15" s="7">
        <f>$B15 * IFERROR(VLOOKUP("electricity|PM25|Work loss days", US_national_yearly!$D:$AM, 34, FALSE) / VLOOKUP("electricity|PM25|Work loss days", US_national_yearly!$D:$AM, 10, FALSE), 1)</f>
        <v>6.2750551712134742E-2</v>
      </c>
      <c r="AA15" s="7">
        <f>$B15 * IFERROR(VLOOKUP("electricity|PM25|Work loss days", US_national_yearly!$D:$AM, 35, FALSE) / VLOOKUP("electricity|PM25|Work loss days", US_national_yearly!$D:$AM, 10, FALSE), 1)</f>
        <v>6.3136961430528674E-2</v>
      </c>
      <c r="AB15" s="7">
        <f>$B15 * IFERROR(VLOOKUP("electricity|PM25|Work loss days", US_national_yearly!$D:$AM, 36, FALSE) / VLOOKUP("electricity|PM25|Work loss days", US_national_yearly!$D:$AM, 10, FALSE), 1)</f>
        <v>6.3523371148922592E-2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9.3740906163044944E-5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9.6522659038567176E-5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9.9304411914089396E-5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1.0208616478961163E-4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1.0486791766513385E-4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1.075509139979854E-4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1.1023391033083694E-4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1.1255813498798467E-4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1.1488235964513242E-4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1.1720658430228013E-4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1.1953080895942788E-4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1.2185503361657559E-4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1.234174307039509E-4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1.2497982779132615E-4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1.2654222487870143E-4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1.2810462196607674E-4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1.2966701905345202E-4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1.3052930809148908E-4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1.3139159712952613E-4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1.3225388616756319E-4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1.3311617520560026E-4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1.339784642436373E-4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1.3458004377419139E-4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1.3518162330474547E-4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1.3578320283529955E-4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1.3638478236585366E-4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1.3698636189640774E-4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1.3998911176574201E-4</v>
      </c>
      <c r="C2" s="7">
        <f>$B2 * IFERROR(VLOOKUP("electricity|NOx|Premature mortality", US_national_yearly!$D:$AM, 11, FALSE) / VLOOKUP("electricity|NOx|Premature mortality", US_national_yearly!$D:$AM, 10, FALSE), 1)</f>
        <v>1.4210723573890795E-4</v>
      </c>
      <c r="D2" s="7">
        <f>$B2 * IFERROR(VLOOKUP("electricity|NOx|Premature mortality", US_national_yearly!$D:$AM, 12, FALSE) / VLOOKUP("electricity|NOx|Premature mortality", US_national_yearly!$D:$AM, 10, FALSE), 1)</f>
        <v>1.4422535971207395E-4</v>
      </c>
      <c r="E2" s="7">
        <f>$B2 * IFERROR(VLOOKUP("electricity|NOx|Premature mortality", US_national_yearly!$D:$AM, 13, FALSE) / VLOOKUP("electricity|NOx|Premature mortality", US_national_yearly!$D:$AM, 10, FALSE), 1)</f>
        <v>1.463434836852399E-4</v>
      </c>
      <c r="F2" s="7">
        <f>$B2 * IFERROR(VLOOKUP("electricity|NOx|Premature mortality", US_national_yearly!$D:$AM, 14, FALSE) / VLOOKUP("electricity|NOx|Premature mortality", US_national_yearly!$D:$AM, 10, FALSE), 1)</f>
        <v>1.4846160765840587E-4</v>
      </c>
      <c r="G2" s="7">
        <f>$B2 * IFERROR(VLOOKUP("electricity|NOx|Premature mortality", US_national_yearly!$D:$AM, 15, FALSE) / VLOOKUP("electricity|NOx|Premature mortality", US_national_yearly!$D:$AM, 10, FALSE), 1)</f>
        <v>1.5224535716140065E-4</v>
      </c>
      <c r="H2" s="7">
        <f>$B2 * IFERROR(VLOOKUP("electricity|NOx|Premature mortality", US_national_yearly!$D:$AM, 16, FALSE) / VLOOKUP("electricity|NOx|Premature mortality", US_national_yearly!$D:$AM, 10, FALSE), 1)</f>
        <v>1.5602910666439541E-4</v>
      </c>
      <c r="I2" s="7">
        <f>$B2 * IFERROR(VLOOKUP("electricity|NOx|Premature mortality", US_national_yearly!$D:$AM, 17, FALSE) / VLOOKUP("electricity|NOx|Premature mortality", US_national_yearly!$D:$AM, 10, FALSE), 1)</f>
        <v>1.5854356362589867E-4</v>
      </c>
      <c r="J2" s="7">
        <f>$B2 * IFERROR(VLOOKUP("electricity|NOx|Premature mortality", US_national_yearly!$D:$AM, 18, FALSE) / VLOOKUP("electricity|NOx|Premature mortality", US_national_yearly!$D:$AM, 10, FALSE), 1)</f>
        <v>1.6105802058740198E-4</v>
      </c>
      <c r="K2" s="7">
        <f>$B2 * IFERROR(VLOOKUP("electricity|NOx|Premature mortality", US_national_yearly!$D:$AM, 19, FALSE) / VLOOKUP("electricity|NOx|Premature mortality", US_national_yearly!$D:$AM, 10, FALSE), 1)</f>
        <v>1.6357247754890527E-4</v>
      </c>
      <c r="L2" s="7">
        <f>$B2 * IFERROR(VLOOKUP("electricity|NOx|Premature mortality", US_national_yearly!$D:$AM, 20, FALSE) / VLOOKUP("electricity|NOx|Premature mortality", US_national_yearly!$D:$AM, 10, FALSE), 1)</f>
        <v>1.6608693451040853E-4</v>
      </c>
      <c r="M2" s="7">
        <f>$B2 * IFERROR(VLOOKUP("electricity|NOx|Premature mortality", US_national_yearly!$D:$AM, 21, FALSE) / VLOOKUP("electricity|NOx|Premature mortality", US_national_yearly!$D:$AM, 10, FALSE), 1)</f>
        <v>1.6860139147191182E-4</v>
      </c>
      <c r="N2" s="7">
        <f>$B2 * IFERROR(VLOOKUP("electricity|NOx|Premature mortality", US_national_yearly!$D:$AM, 22, FALSE) / VLOOKUP("electricity|NOx|Premature mortality", US_national_yearly!$D:$AM, 10, FALSE), 1)</f>
        <v>1.7054158570122184E-4</v>
      </c>
      <c r="O2" s="7">
        <f>$B2 * IFERROR(VLOOKUP("electricity|NOx|Premature mortality", US_national_yearly!$D:$AM, 23, FALSE) / VLOOKUP("electricity|NOx|Premature mortality", US_national_yearly!$D:$AM, 10, FALSE), 1)</f>
        <v>1.7248177993053193E-4</v>
      </c>
      <c r="P2" s="7">
        <f>$B2 * IFERROR(VLOOKUP("electricity|NOx|Premature mortality", US_national_yearly!$D:$AM, 24, FALSE) / VLOOKUP("electricity|NOx|Premature mortality", US_national_yearly!$D:$AM, 10, FALSE), 1)</f>
        <v>1.7442197415984197E-4</v>
      </c>
      <c r="Q2" s="7">
        <f>$B2 * IFERROR(VLOOKUP("electricity|NOx|Premature mortality", US_national_yearly!$D:$AM, 25, FALSE) / VLOOKUP("electricity|NOx|Premature mortality", US_national_yearly!$D:$AM, 10, FALSE), 1)</f>
        <v>1.7636216838915202E-4</v>
      </c>
      <c r="R2" s="7">
        <f>$B2 * IFERROR(VLOOKUP("electricity|NOx|Premature mortality", US_national_yearly!$D:$AM, 26, FALSE) / VLOOKUP("electricity|NOx|Premature mortality", US_national_yearly!$D:$AM, 10, FALSE), 1)</f>
        <v>1.7830236261846206E-4</v>
      </c>
      <c r="S2" s="7">
        <f>$B2 * IFERROR(VLOOKUP("electricity|NOx|Premature mortality", US_national_yearly!$D:$AM, 27, FALSE) / VLOOKUP("electricity|NOx|Premature mortality", US_national_yearly!$D:$AM, 10, FALSE), 1)</f>
        <v>1.7930494221404746E-4</v>
      </c>
      <c r="T2" s="7">
        <f>$B2 * IFERROR(VLOOKUP("electricity|NOx|Premature mortality", US_national_yearly!$D:$AM, 28, FALSE) / VLOOKUP("electricity|NOx|Premature mortality", US_national_yearly!$D:$AM, 10, FALSE), 1)</f>
        <v>1.8030752180963285E-4</v>
      </c>
      <c r="U2" s="7">
        <f>$B2 * IFERROR(VLOOKUP("electricity|NOx|Premature mortality", US_national_yearly!$D:$AM, 29, FALSE) / VLOOKUP("electricity|NOx|Premature mortality", US_national_yearly!$D:$AM, 10, FALSE), 1)</f>
        <v>1.8131010140521833E-4</v>
      </c>
      <c r="V2" s="7">
        <f>$B2 * IFERROR(VLOOKUP("electricity|NOx|Premature mortality", US_national_yearly!$D:$AM, 30, FALSE) / VLOOKUP("electricity|NOx|Premature mortality", US_national_yearly!$D:$AM, 10, FALSE), 1)</f>
        <v>1.8231268100080372E-4</v>
      </c>
      <c r="W2" s="7">
        <f>$B2 * IFERROR(VLOOKUP("electricity|NOx|Premature mortality", US_national_yearly!$D:$AM, 31, FALSE) / VLOOKUP("electricity|NOx|Premature mortality", US_national_yearly!$D:$AM, 10, FALSE), 1)</f>
        <v>1.8331526059638912E-4</v>
      </c>
      <c r="X2" s="7">
        <f>$B2 * IFERROR(VLOOKUP("electricity|NOx|Premature mortality", US_national_yearly!$D:$AM, 32, FALSE) / VLOOKUP("electricity|NOx|Premature mortality", US_national_yearly!$D:$AM, 10, FALSE), 1)</f>
        <v>1.835420752473067E-4</v>
      </c>
      <c r="Y2" s="7">
        <f>$B2 * IFERROR(VLOOKUP("electricity|NOx|Premature mortality", US_national_yearly!$D:$AM, 33, FALSE) / VLOOKUP("electricity|NOx|Premature mortality", US_national_yearly!$D:$AM, 10, FALSE), 1)</f>
        <v>1.8376888989822429E-4</v>
      </c>
      <c r="Z2" s="7">
        <f>$B2 * IFERROR(VLOOKUP("electricity|NOx|Premature mortality", US_national_yearly!$D:$AM, 34, FALSE) / VLOOKUP("electricity|NOx|Premature mortality", US_national_yearly!$D:$AM, 10, FALSE), 1)</f>
        <v>1.8399570454914188E-4</v>
      </c>
      <c r="AA2" s="7">
        <f>$B2 * IFERROR(VLOOKUP("electricity|NOx|Premature mortality", US_national_yearly!$D:$AM, 35, FALSE) / VLOOKUP("electricity|NOx|Premature mortality", US_national_yearly!$D:$AM, 10, FALSE), 1)</f>
        <v>1.8422251920005944E-4</v>
      </c>
      <c r="AB2" s="7">
        <f>$B2 * IFERROR(VLOOKUP("electricity|NOx|Premature mortality", US_national_yearly!$D:$AM, 36, FALSE) / VLOOKUP("electricity|NOx|Premature mortality", US_national_yearly!$D:$AM, 10, FALSE), 1)</f>
        <v>1.8444933385097702E-4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2.4341418429526707E-7</v>
      </c>
      <c r="C3" s="7">
        <f>$B3 * IFERROR(VLOOKUP("electricity|NOx|Infant mortality", US_national_yearly!$D:$AM, 11, FALSE) / VLOOKUP("electricity|NOx|Infant mortality", US_national_yearly!$D:$AM, 10, FALSE), 1)</f>
        <v>2.4113690552612445E-7</v>
      </c>
      <c r="D3" s="7">
        <f>$B3 * IFERROR(VLOOKUP("electricity|NOx|Infant mortality", US_national_yearly!$D:$AM, 12, FALSE) / VLOOKUP("electricity|NOx|Infant mortality", US_national_yearly!$D:$AM, 10, FALSE), 1)</f>
        <v>2.3885962675698183E-7</v>
      </c>
      <c r="E3" s="7">
        <f>$B3 * IFERROR(VLOOKUP("electricity|NOx|Infant mortality", US_national_yearly!$D:$AM, 13, FALSE) / VLOOKUP("electricity|NOx|Infant mortality", US_national_yearly!$D:$AM, 10, FALSE), 1)</f>
        <v>2.3658234798783924E-7</v>
      </c>
      <c r="F3" s="7">
        <f>$B3 * IFERROR(VLOOKUP("electricity|NOx|Infant mortality", US_national_yearly!$D:$AM, 14, FALSE) / VLOOKUP("electricity|NOx|Infant mortality", US_national_yearly!$D:$AM, 10, FALSE), 1)</f>
        <v>2.3430506921869657E-7</v>
      </c>
      <c r="G3" s="7">
        <f>$B3 * IFERROR(VLOOKUP("electricity|NOx|Infant mortality", US_national_yearly!$D:$AM, 15, FALSE) / VLOOKUP("electricity|NOx|Infant mortality", US_national_yearly!$D:$AM, 10, FALSE), 1)</f>
        <v>1.552387166774419E-7</v>
      </c>
      <c r="H3" s="7">
        <f>$B3 * IFERROR(VLOOKUP("electricity|NOx|Infant mortality", US_national_yearly!$D:$AM, 16, FALSE) / VLOOKUP("electricity|NOx|Infant mortality", US_national_yearly!$D:$AM, 10, FALSE), 1)</f>
        <v>7.6172364136187214E-8</v>
      </c>
      <c r="I3" s="7">
        <f>$B3 * IFERROR(VLOOKUP("electricity|NOx|Infant mortality", US_national_yearly!$D:$AM, 17, FALSE) / VLOOKUP("electricity|NOx|Infant mortality", US_national_yearly!$D:$AM, 10, FALSE), 1)</f>
        <v>7.5618397079176703E-8</v>
      </c>
      <c r="J3" s="7">
        <f>$B3 * IFERROR(VLOOKUP("electricity|NOx|Infant mortality", US_national_yearly!$D:$AM, 18, FALSE) / VLOOKUP("electricity|NOx|Infant mortality", US_national_yearly!$D:$AM, 10, FALSE), 1)</f>
        <v>7.5064430022166178E-8</v>
      </c>
      <c r="K3" s="7">
        <f>$B3 * IFERROR(VLOOKUP("electricity|NOx|Infant mortality", US_national_yearly!$D:$AM, 19, FALSE) / VLOOKUP("electricity|NOx|Infant mortality", US_national_yearly!$D:$AM, 10, FALSE), 1)</f>
        <v>7.4510462965155654E-8</v>
      </c>
      <c r="L3" s="7">
        <f>$B3 * IFERROR(VLOOKUP("electricity|NOx|Infant mortality", US_national_yearly!$D:$AM, 20, FALSE) / VLOOKUP("electricity|NOx|Infant mortality", US_national_yearly!$D:$AM, 10, FALSE), 1)</f>
        <v>7.3956495908145143E-8</v>
      </c>
      <c r="M3" s="7">
        <f>$B3 * IFERROR(VLOOKUP("electricity|NOx|Infant mortality", US_national_yearly!$D:$AM, 21, FALSE) / VLOOKUP("electricity|NOx|Infant mortality", US_national_yearly!$D:$AM, 10, FALSE), 1)</f>
        <v>7.3402528851134606E-8</v>
      </c>
      <c r="N3" s="7">
        <f>$B3 * IFERROR(VLOOKUP("electricity|NOx|Infant mortality", US_national_yearly!$D:$AM, 22, FALSE) / VLOOKUP("electricity|NOx|Infant mortality", US_national_yearly!$D:$AM, 10, FALSE), 1)</f>
        <v>7.3030535992979789E-8</v>
      </c>
      <c r="O3" s="7">
        <f>$B3 * IFERROR(VLOOKUP("electricity|NOx|Infant mortality", US_national_yearly!$D:$AM, 23, FALSE) / VLOOKUP("electricity|NOx|Infant mortality", US_national_yearly!$D:$AM, 10, FALSE), 1)</f>
        <v>7.265854313482496E-8</v>
      </c>
      <c r="P3" s="7">
        <f>$B3 * IFERROR(VLOOKUP("electricity|NOx|Infant mortality", US_national_yearly!$D:$AM, 24, FALSE) / VLOOKUP("electricity|NOx|Infant mortality", US_national_yearly!$D:$AM, 10, FALSE), 1)</f>
        <v>7.228655027667013E-8</v>
      </c>
      <c r="Q3" s="7">
        <f>$B3 * IFERROR(VLOOKUP("electricity|NOx|Infant mortality", US_national_yearly!$D:$AM, 25, FALSE) / VLOOKUP("electricity|NOx|Infant mortality", US_national_yearly!$D:$AM, 10, FALSE), 1)</f>
        <v>7.1914557418515287E-8</v>
      </c>
      <c r="R3" s="7">
        <f>$B3 * IFERROR(VLOOKUP("electricity|NOx|Infant mortality", US_national_yearly!$D:$AM, 26, FALSE) / VLOOKUP("electricity|NOx|Infant mortality", US_national_yearly!$D:$AM, 10, FALSE), 1)</f>
        <v>7.154256456036047E-8</v>
      </c>
      <c r="S3" s="7">
        <f>$B3 * IFERROR(VLOOKUP("electricity|NOx|Infant mortality", US_national_yearly!$D:$AM, 27, FALSE) / VLOOKUP("electricity|NOx|Infant mortality", US_national_yearly!$D:$AM, 10, FALSE), 1)</f>
        <v>7.1100944257230795E-8</v>
      </c>
      <c r="T3" s="7">
        <f>$B3 * IFERROR(VLOOKUP("electricity|NOx|Infant mortality", US_national_yearly!$D:$AM, 28, FALSE) / VLOOKUP("electricity|NOx|Infant mortality", US_national_yearly!$D:$AM, 10, FALSE), 1)</f>
        <v>7.0659323954101133E-8</v>
      </c>
      <c r="U3" s="7">
        <f>$B3 * IFERROR(VLOOKUP("electricity|NOx|Infant mortality", US_national_yearly!$D:$AM, 29, FALSE) / VLOOKUP("electricity|NOx|Infant mortality", US_national_yearly!$D:$AM, 10, FALSE), 1)</f>
        <v>7.021770365097147E-8</v>
      </c>
      <c r="V3" s="7">
        <f>$B3 * IFERROR(VLOOKUP("electricity|NOx|Infant mortality", US_national_yearly!$D:$AM, 30, FALSE) / VLOOKUP("electricity|NOx|Infant mortality", US_national_yearly!$D:$AM, 10, FALSE), 1)</f>
        <v>6.9776083347841808E-8</v>
      </c>
      <c r="W3" s="7">
        <f>$B3 * IFERROR(VLOOKUP("electricity|NOx|Infant mortality", US_national_yearly!$D:$AM, 31, FALSE) / VLOOKUP("electricity|NOx|Infant mortality", US_national_yearly!$D:$AM, 10, FALSE), 1)</f>
        <v>6.9334463044712132E-8</v>
      </c>
      <c r="X3" s="7">
        <f>$B3 * IFERROR(VLOOKUP("electricity|NOx|Infant mortality", US_national_yearly!$D:$AM, 32, FALSE) / VLOOKUP("electricity|NOx|Infant mortality", US_national_yearly!$D:$AM, 10, FALSE), 1)</f>
        <v>6.88797379363717E-8</v>
      </c>
      <c r="Y3" s="7">
        <f>$B3 * IFERROR(VLOOKUP("electricity|NOx|Infant mortality", US_national_yearly!$D:$AM, 33, FALSE) / VLOOKUP("electricity|NOx|Infant mortality", US_national_yearly!$D:$AM, 10, FALSE), 1)</f>
        <v>6.8425012828031268E-8</v>
      </c>
      <c r="Z3" s="7">
        <f>$B3 * IFERROR(VLOOKUP("electricity|NOx|Infant mortality", US_national_yearly!$D:$AM, 34, FALSE) / VLOOKUP("electricity|NOx|Infant mortality", US_national_yearly!$D:$AM, 10, FALSE), 1)</f>
        <v>6.7970287719690849E-8</v>
      </c>
      <c r="AA3" s="7">
        <f>$B3 * IFERROR(VLOOKUP("electricity|NOx|Infant mortality", US_national_yearly!$D:$AM, 35, FALSE) / VLOOKUP("electricity|NOx|Infant mortality", US_national_yearly!$D:$AM, 10, FALSE), 1)</f>
        <v>6.7515562611350417E-8</v>
      </c>
      <c r="AB3" s="7">
        <f>$B3 * IFERROR(VLOOKUP("electricity|NOx|Infant mortality", US_national_yearly!$D:$AM, 36, FALSE) / VLOOKUP("electricity|NOx|Infant mortality", US_national_yearly!$D:$AM, 10, FALSE), 1)</f>
        <v>6.7060837503009972E-8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2.5412149992618384E-4</v>
      </c>
      <c r="C6" s="7">
        <f>$B6 * IFERROR(VLOOKUP("electricity|NOx|Asthma symptoms cough", US_national_yearly!$D:$AM, 11, FALSE) / VLOOKUP("electricity|NOx|Asthma symptoms cough", US_national_yearly!$D:$AM, 10, FALSE), 1)</f>
        <v>2.5761026562627843E-4</v>
      </c>
      <c r="D6" s="7">
        <f>$B6 * IFERROR(VLOOKUP("electricity|NOx|Asthma symptoms cough", US_national_yearly!$D:$AM, 12, FALSE) / VLOOKUP("electricity|NOx|Asthma symptoms cough", US_national_yearly!$D:$AM, 10, FALSE), 1)</f>
        <v>2.6109903132637302E-4</v>
      </c>
      <c r="E6" s="7">
        <f>$B6 * IFERROR(VLOOKUP("electricity|NOx|Asthma symptoms cough", US_national_yearly!$D:$AM, 13, FALSE) / VLOOKUP("electricity|NOx|Asthma symptoms cough", US_national_yearly!$D:$AM, 10, FALSE), 1)</f>
        <v>2.645877970264676E-4</v>
      </c>
      <c r="F6" s="7">
        <f>$B6 * IFERROR(VLOOKUP("electricity|NOx|Asthma symptoms cough", US_national_yearly!$D:$AM, 14, FALSE) / VLOOKUP("electricity|NOx|Asthma symptoms cough", US_national_yearly!$D:$AM, 10, FALSE), 1)</f>
        <v>2.6807656272656214E-4</v>
      </c>
      <c r="G6" s="7">
        <f>$B6 * IFERROR(VLOOKUP("electricity|NOx|Asthma symptoms cough", US_national_yearly!$D:$AM, 15, FALSE) / VLOOKUP("electricity|NOx|Asthma symptoms cough", US_national_yearly!$D:$AM, 10, FALSE), 1)</f>
        <v>2.7091311422291326E-4</v>
      </c>
      <c r="H6" s="7">
        <f>$B6 * IFERROR(VLOOKUP("electricity|NOx|Asthma symptoms cough", US_national_yearly!$D:$AM, 16, FALSE) / VLOOKUP("electricity|NOx|Asthma symptoms cough", US_national_yearly!$D:$AM, 10, FALSE), 1)</f>
        <v>2.7374966571926438E-4</v>
      </c>
      <c r="I6" s="7">
        <f>$B6 * IFERROR(VLOOKUP("electricity|NOx|Asthma symptoms cough", US_national_yearly!$D:$AM, 17, FALSE) / VLOOKUP("electricity|NOx|Asthma symptoms cough", US_national_yearly!$D:$AM, 10, FALSE), 1)</f>
        <v>2.7480411981994522E-4</v>
      </c>
      <c r="J6" s="7">
        <f>$B6 * IFERROR(VLOOKUP("electricity|NOx|Asthma symptoms cough", US_national_yearly!$D:$AM, 18, FALSE) / VLOOKUP("electricity|NOx|Asthma symptoms cough", US_national_yearly!$D:$AM, 10, FALSE), 1)</f>
        <v>2.7585857392062606E-4</v>
      </c>
      <c r="K6" s="7">
        <f>$B6 * IFERROR(VLOOKUP("electricity|NOx|Asthma symptoms cough", US_national_yearly!$D:$AM, 19, FALSE) / VLOOKUP("electricity|NOx|Asthma symptoms cough", US_national_yearly!$D:$AM, 10, FALSE), 1)</f>
        <v>2.7691302802130701E-4</v>
      </c>
      <c r="L6" s="7">
        <f>$B6 * IFERROR(VLOOKUP("electricity|NOx|Asthma symptoms cough", US_national_yearly!$D:$AM, 20, FALSE) / VLOOKUP("electricity|NOx|Asthma symptoms cough", US_national_yearly!$D:$AM, 10, FALSE), 1)</f>
        <v>2.7796748212198784E-4</v>
      </c>
      <c r="M6" s="7">
        <f>$B6 * IFERROR(VLOOKUP("electricity|NOx|Asthma symptoms cough", US_national_yearly!$D:$AM, 21, FALSE) / VLOOKUP("electricity|NOx|Asthma symptoms cough", US_national_yearly!$D:$AM, 10, FALSE), 1)</f>
        <v>2.7902193622266874E-4</v>
      </c>
      <c r="N6" s="7">
        <f>$B6 * IFERROR(VLOOKUP("electricity|NOx|Asthma symptoms cough", US_national_yearly!$D:$AM, 22, FALSE) / VLOOKUP("electricity|NOx|Asthma symptoms cough", US_national_yearly!$D:$AM, 10, FALSE), 1)</f>
        <v>2.8019026258311973E-4</v>
      </c>
      <c r="O6" s="7">
        <f>$B6 * IFERROR(VLOOKUP("electricity|NOx|Asthma symptoms cough", US_national_yearly!$D:$AM, 23, FALSE) / VLOOKUP("electricity|NOx|Asthma symptoms cough", US_national_yearly!$D:$AM, 10, FALSE), 1)</f>
        <v>2.8135858894357072E-4</v>
      </c>
      <c r="P6" s="7">
        <f>$B6 * IFERROR(VLOOKUP("electricity|NOx|Asthma symptoms cough", US_national_yearly!$D:$AM, 24, FALSE) / VLOOKUP("electricity|NOx|Asthma symptoms cough", US_national_yearly!$D:$AM, 10, FALSE), 1)</f>
        <v>2.8252691530402172E-4</v>
      </c>
      <c r="Q6" s="7">
        <f>$B6 * IFERROR(VLOOKUP("electricity|NOx|Asthma symptoms cough", US_national_yearly!$D:$AM, 25, FALSE) / VLOOKUP("electricity|NOx|Asthma symptoms cough", US_national_yearly!$D:$AM, 10, FALSE), 1)</f>
        <v>2.8369524166447271E-4</v>
      </c>
      <c r="R6" s="7">
        <f>$B6 * IFERROR(VLOOKUP("electricity|NOx|Asthma symptoms cough", US_national_yearly!$D:$AM, 26, FALSE) / VLOOKUP("electricity|NOx|Asthma symptoms cough", US_national_yearly!$D:$AM, 10, FALSE), 1)</f>
        <v>2.848635680249237E-4</v>
      </c>
      <c r="S6" s="7">
        <f>$B6 * IFERROR(VLOOKUP("electricity|NOx|Asthma symptoms cough", US_national_yearly!$D:$AM, 27, FALSE) / VLOOKUP("electricity|NOx|Asthma symptoms cough", US_national_yearly!$D:$AM, 10, FALSE), 1)</f>
        <v>2.8632116274830683E-4</v>
      </c>
      <c r="T6" s="7">
        <f>$B6 * IFERROR(VLOOKUP("electricity|NOx|Asthma symptoms cough", US_national_yearly!$D:$AM, 28, FALSE) / VLOOKUP("electricity|NOx|Asthma symptoms cough", US_national_yearly!$D:$AM, 10, FALSE), 1)</f>
        <v>2.8777875747168995E-4</v>
      </c>
      <c r="U6" s="7">
        <f>$B6 * IFERROR(VLOOKUP("electricity|NOx|Asthma symptoms cough", US_national_yearly!$D:$AM, 29, FALSE) / VLOOKUP("electricity|NOx|Asthma symptoms cough", US_national_yearly!$D:$AM, 10, FALSE), 1)</f>
        <v>2.8923635219507319E-4</v>
      </c>
      <c r="V6" s="7">
        <f>$B6 * IFERROR(VLOOKUP("electricity|NOx|Asthma symptoms cough", US_national_yearly!$D:$AM, 30, FALSE) / VLOOKUP("electricity|NOx|Asthma symptoms cough", US_national_yearly!$D:$AM, 10, FALSE), 1)</f>
        <v>2.9069394691845631E-4</v>
      </c>
      <c r="W6" s="7">
        <f>$B6 * IFERROR(VLOOKUP("electricity|NOx|Asthma symptoms cough", US_national_yearly!$D:$AM, 31, FALSE) / VLOOKUP("electricity|NOx|Asthma symptoms cough", US_national_yearly!$D:$AM, 10, FALSE), 1)</f>
        <v>2.9215154164183944E-4</v>
      </c>
      <c r="X6" s="7">
        <f>$B6 * IFERROR(VLOOKUP("electricity|NOx|Asthma symptoms cough", US_national_yearly!$D:$AM, 32, FALSE) / VLOOKUP("electricity|NOx|Asthma symptoms cough", US_national_yearly!$D:$AM, 10, FALSE), 1)</f>
        <v>2.9349443339019178E-4</v>
      </c>
      <c r="Y6" s="7">
        <f>$B6 * IFERROR(VLOOKUP("electricity|NOx|Asthma symptoms cough", US_national_yearly!$D:$AM, 33, FALSE) / VLOOKUP("electricity|NOx|Asthma symptoms cough", US_national_yearly!$D:$AM, 10, FALSE), 1)</f>
        <v>2.9483732513854418E-4</v>
      </c>
      <c r="Z6" s="7">
        <f>$B6 * IFERROR(VLOOKUP("electricity|NOx|Asthma symptoms cough", US_national_yearly!$D:$AM, 34, FALSE) / VLOOKUP("electricity|NOx|Asthma symptoms cough", US_national_yearly!$D:$AM, 10, FALSE), 1)</f>
        <v>2.9618021688689657E-4</v>
      </c>
      <c r="AA6" s="7">
        <f>$B6 * IFERROR(VLOOKUP("electricity|NOx|Asthma symptoms cough", US_national_yearly!$D:$AM, 35, FALSE) / VLOOKUP("electricity|NOx|Asthma symptoms cough", US_national_yearly!$D:$AM, 10, FALSE), 1)</f>
        <v>2.9752310863524891E-4</v>
      </c>
      <c r="AB6" s="7">
        <f>$B6 * IFERROR(VLOOKUP("electricity|NOx|Asthma symptoms cough", US_national_yearly!$D:$AM, 36, FALSE) / VLOOKUP("electricity|NOx|Asthma symptoms cough", US_national_yearly!$D:$AM, 10, FALSE), 1)</f>
        <v>2.9886600038360131E-4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3.4220878044323167E-4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3.4690687270855068E-4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3.5160496497386973E-4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3.5630305723918874E-4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3.6100114950450774E-4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3.6482094761472564E-4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3.6864074572494338E-4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3.7006070998807725E-4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3.7148067425121095E-4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3.7290063851434471E-4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3.7432060277747841E-4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3.7574056704061222E-4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3.7731387561947336E-4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3.788871841983346E-4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3.8046049277719578E-4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3.8203380135605703E-4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3.8360710993491816E-4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3.8556995727477176E-4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3.8753280461462526E-4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3.8949565195447886E-4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3.9145849929433235E-4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3.9342134663418595E-4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3.9522973098965258E-4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3.9703811534511931E-4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3.9884649970058599E-4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4.0065488405605266E-4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4.024632684115194E-4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5.2284662548166038E-4</v>
      </c>
      <c r="C8" s="7">
        <f>$B8 * IFERROR(VLOOKUP("electricity|NOx|Asthma symptoms wheeze", US_national_yearly!$D:$AM, 11, FALSE) / VLOOKUP("electricity|NOx|Asthma symptoms wheeze", US_national_yearly!$D:$AM, 10, FALSE), 1)</f>
        <v>5.3002464612708796E-4</v>
      </c>
      <c r="D8" s="7">
        <f>$B8 * IFERROR(VLOOKUP("electricity|NOx|Asthma symptoms wheeze", US_national_yearly!$D:$AM, 12, FALSE) / VLOOKUP("electricity|NOx|Asthma symptoms wheeze", US_national_yearly!$D:$AM, 10, FALSE), 1)</f>
        <v>5.3720266677251564E-4</v>
      </c>
      <c r="E8" s="7">
        <f>$B8 * IFERROR(VLOOKUP("electricity|NOx|Asthma symptoms wheeze", US_national_yearly!$D:$AM, 13, FALSE) / VLOOKUP("electricity|NOx|Asthma symptoms wheeze", US_national_yearly!$D:$AM, 10, FALSE), 1)</f>
        <v>5.4438068741794322E-4</v>
      </c>
      <c r="F8" s="7">
        <f>$B8 * IFERROR(VLOOKUP("electricity|NOx|Asthma symptoms wheeze", US_national_yearly!$D:$AM, 14, FALSE) / VLOOKUP("electricity|NOx|Asthma symptoms wheeze", US_national_yearly!$D:$AM, 10, FALSE), 1)</f>
        <v>5.5155870806337102E-4</v>
      </c>
      <c r="G8" s="7">
        <f>$B8 * IFERROR(VLOOKUP("electricity|NOx|Asthma symptoms wheeze", US_national_yearly!$D:$AM, 15, FALSE) / VLOOKUP("electricity|NOx|Asthma symptoms wheeze", US_national_yearly!$D:$AM, 10, FALSE), 1)</f>
        <v>5.5739481944154534E-4</v>
      </c>
      <c r="H8" s="7">
        <f>$B8 * IFERROR(VLOOKUP("electricity|NOx|Asthma symptoms wheeze", US_national_yearly!$D:$AM, 16, FALSE) / VLOOKUP("electricity|NOx|Asthma symptoms wheeze", US_national_yearly!$D:$AM, 10, FALSE), 1)</f>
        <v>5.6323093081971987E-4</v>
      </c>
      <c r="I8" s="7">
        <f>$B8 * IFERROR(VLOOKUP("electricity|NOx|Asthma symptoms wheeze", US_national_yearly!$D:$AM, 17, FALSE) / VLOOKUP("electricity|NOx|Asthma symptoms wheeze", US_national_yearly!$D:$AM, 10, FALSE), 1)</f>
        <v>5.6540043543623045E-4</v>
      </c>
      <c r="J8" s="7">
        <f>$B8 * IFERROR(VLOOKUP("electricity|NOx|Asthma symptoms wheeze", US_national_yearly!$D:$AM, 18, FALSE) / VLOOKUP("electricity|NOx|Asthma symptoms wheeze", US_national_yearly!$D:$AM, 10, FALSE), 1)</f>
        <v>5.6756994005274092E-4</v>
      </c>
      <c r="K8" s="7">
        <f>$B8 * IFERROR(VLOOKUP("electricity|NOx|Asthma symptoms wheeze", US_national_yearly!$D:$AM, 19, FALSE) / VLOOKUP("electricity|NOx|Asthma symptoms wheeze", US_national_yearly!$D:$AM, 10, FALSE), 1)</f>
        <v>5.6973944466925171E-4</v>
      </c>
      <c r="L8" s="7">
        <f>$B8 * IFERROR(VLOOKUP("electricity|NOx|Asthma symptoms wheeze", US_national_yearly!$D:$AM, 20, FALSE) / VLOOKUP("electricity|NOx|Asthma symptoms wheeze", US_national_yearly!$D:$AM, 10, FALSE), 1)</f>
        <v>5.7190894928576229E-4</v>
      </c>
      <c r="M8" s="7">
        <f>$B8 * IFERROR(VLOOKUP("electricity|NOx|Asthma symptoms wheeze", US_national_yearly!$D:$AM, 21, FALSE) / VLOOKUP("electricity|NOx|Asthma symptoms wheeze", US_national_yearly!$D:$AM, 10, FALSE), 1)</f>
        <v>5.7407845390227287E-4</v>
      </c>
      <c r="N8" s="7">
        <f>$B8 * IFERROR(VLOOKUP("electricity|NOx|Asthma symptoms wheeze", US_national_yearly!$D:$AM, 22, FALSE) / VLOOKUP("electricity|NOx|Asthma symptoms wheeze", US_national_yearly!$D:$AM, 10, FALSE), 1)</f>
        <v>5.7648224694669163E-4</v>
      </c>
      <c r="O8" s="7">
        <f>$B8 * IFERROR(VLOOKUP("electricity|NOx|Asthma symptoms wheeze", US_national_yearly!$D:$AM, 23, FALSE) / VLOOKUP("electricity|NOx|Asthma symptoms wheeze", US_national_yearly!$D:$AM, 10, FALSE), 1)</f>
        <v>5.7888603999111049E-4</v>
      </c>
      <c r="P8" s="7">
        <f>$B8 * IFERROR(VLOOKUP("electricity|NOx|Asthma symptoms wheeze", US_national_yearly!$D:$AM, 24, FALSE) / VLOOKUP("electricity|NOx|Asthma symptoms wheeze", US_national_yearly!$D:$AM, 10, FALSE), 1)</f>
        <v>5.8128983303552936E-4</v>
      </c>
      <c r="Q8" s="7">
        <f>$B8 * IFERROR(VLOOKUP("electricity|NOx|Asthma symptoms wheeze", US_national_yearly!$D:$AM, 25, FALSE) / VLOOKUP("electricity|NOx|Asthma symptoms wheeze", US_national_yearly!$D:$AM, 10, FALSE), 1)</f>
        <v>5.8369362607994812E-4</v>
      </c>
      <c r="R8" s="7">
        <f>$B8 * IFERROR(VLOOKUP("electricity|NOx|Asthma symptoms wheeze", US_national_yearly!$D:$AM, 26, FALSE) / VLOOKUP("electricity|NOx|Asthma symptoms wheeze", US_national_yearly!$D:$AM, 10, FALSE), 1)</f>
        <v>5.8609741912436688E-4</v>
      </c>
      <c r="S8" s="7">
        <f>$B8 * IFERROR(VLOOKUP("electricity|NOx|Asthma symptoms wheeze", US_national_yearly!$D:$AM, 27, FALSE) / VLOOKUP("electricity|NOx|Asthma symptoms wheeze", US_national_yearly!$D:$AM, 10, FALSE), 1)</f>
        <v>5.890963723084176E-4</v>
      </c>
      <c r="T8" s="7">
        <f>$B8 * IFERROR(VLOOKUP("electricity|NOx|Asthma symptoms wheeze", US_national_yearly!$D:$AM, 28, FALSE) / VLOOKUP("electricity|NOx|Asthma symptoms wheeze", US_national_yearly!$D:$AM, 10, FALSE), 1)</f>
        <v>5.9209532549246832E-4</v>
      </c>
      <c r="U8" s="7">
        <f>$B8 * IFERROR(VLOOKUP("electricity|NOx|Asthma symptoms wheeze", US_national_yearly!$D:$AM, 29, FALSE) / VLOOKUP("electricity|NOx|Asthma symptoms wheeze", US_national_yearly!$D:$AM, 10, FALSE), 1)</f>
        <v>5.9509427867651904E-4</v>
      </c>
      <c r="V8" s="7">
        <f>$B8 * IFERROR(VLOOKUP("electricity|NOx|Asthma symptoms wheeze", US_national_yearly!$D:$AM, 30, FALSE) / VLOOKUP("electricity|NOx|Asthma symptoms wheeze", US_national_yearly!$D:$AM, 10, FALSE), 1)</f>
        <v>5.9809323186056976E-4</v>
      </c>
      <c r="W8" s="7">
        <f>$B8 * IFERROR(VLOOKUP("electricity|NOx|Asthma symptoms wheeze", US_national_yearly!$D:$AM, 31, FALSE) / VLOOKUP("electricity|NOx|Asthma symptoms wheeze", US_national_yearly!$D:$AM, 10, FALSE), 1)</f>
        <v>6.0109218504462059E-4</v>
      </c>
      <c r="X8" s="7">
        <f>$B8 * IFERROR(VLOOKUP("electricity|NOx|Asthma symptoms wheeze", US_national_yearly!$D:$AM, 32, FALSE) / VLOOKUP("electricity|NOx|Asthma symptoms wheeze", US_national_yearly!$D:$AM, 10, FALSE), 1)</f>
        <v>6.0385514063116485E-4</v>
      </c>
      <c r="Y8" s="7">
        <f>$B8 * IFERROR(VLOOKUP("electricity|NOx|Asthma symptoms wheeze", US_national_yearly!$D:$AM, 33, FALSE) / VLOOKUP("electricity|NOx|Asthma symptoms wheeze", US_national_yearly!$D:$AM, 10, FALSE), 1)</f>
        <v>6.0661809621770921E-4</v>
      </c>
      <c r="Z8" s="7">
        <f>$B8 * IFERROR(VLOOKUP("electricity|NOx|Asthma symptoms wheeze", US_national_yearly!$D:$AM, 34, FALSE) / VLOOKUP("electricity|NOx|Asthma symptoms wheeze", US_national_yearly!$D:$AM, 10, FALSE), 1)</f>
        <v>6.0938105180425347E-4</v>
      </c>
      <c r="AA8" s="7">
        <f>$B8 * IFERROR(VLOOKUP("electricity|NOx|Asthma symptoms wheeze", US_national_yearly!$D:$AM, 35, FALSE) / VLOOKUP("electricity|NOx|Asthma symptoms wheeze", US_national_yearly!$D:$AM, 10, FALSE), 1)</f>
        <v>6.1214400739079784E-4</v>
      </c>
      <c r="AB8" s="7">
        <f>$B8 * IFERROR(VLOOKUP("electricity|NOx|Asthma symptoms wheeze", US_national_yearly!$D:$AM, 36, FALSE) / VLOOKUP("electricity|NOx|Asthma symptoms wheeze", US_national_yearly!$D:$AM, 10, FALSE), 1)</f>
        <v>6.149069629773421E-4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1.1314491303482437E-5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1.1604274323648561E-5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1.1894057343814686E-5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1.2183840363980808E-5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1.2473623384146929E-5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1.2752584250197973E-5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1.3031545116249018E-5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1.3271428511394508E-5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1.3511311906539999E-5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1.3751195301685495E-5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1.3991078696830985E-5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1.423096209197648E-5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1.4395357194907463E-5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1.4559752297838449E-5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1.4724147400769435E-5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1.488854250370042E-5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1.5052937606631406E-5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1.5146565862478921E-5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1.5240194118326437E-5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1.5333822374173951E-5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1.5427450630021464E-5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1.552107888586898E-5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1.5589178985104443E-5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1.5657279084339903E-5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1.572537918357537E-5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1.5793479282810833E-5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1.5861579382046296E-5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4.4026739248757628E-5</v>
      </c>
      <c r="C13" s="7">
        <f>$B13 * IFERROR(VLOOKUP("electricity|NOx|Non-fatal heart attacks", US_national_yearly!$D:$AM, 11, FALSE) / VLOOKUP("electricity|NOx|Non-fatal heart attacks", US_national_yearly!$D:$AM, 10, FALSE), 1)</f>
        <v>4.5290185373755322E-5</v>
      </c>
      <c r="D13" s="7">
        <f>$B13 * IFERROR(VLOOKUP("electricity|NOx|Non-fatal heart attacks", US_national_yearly!$D:$AM, 12, FALSE) / VLOOKUP("electricity|NOx|Non-fatal heart attacks", US_national_yearly!$D:$AM, 10, FALSE), 1)</f>
        <v>4.6553631498753009E-5</v>
      </c>
      <c r="E13" s="7">
        <f>$B13 * IFERROR(VLOOKUP("electricity|NOx|Non-fatal heart attacks", US_national_yearly!$D:$AM, 13, FALSE) / VLOOKUP("electricity|NOx|Non-fatal heart attacks", US_national_yearly!$D:$AM, 10, FALSE), 1)</f>
        <v>4.7817077623750702E-5</v>
      </c>
      <c r="F13" s="7">
        <f>$B13 * IFERROR(VLOOKUP("electricity|NOx|Non-fatal heart attacks", US_national_yearly!$D:$AM, 14, FALSE) / VLOOKUP("electricity|NOx|Non-fatal heart attacks", US_national_yearly!$D:$AM, 10, FALSE), 1)</f>
        <v>4.9080523748748403E-5</v>
      </c>
      <c r="G13" s="7">
        <f>$B13 * IFERROR(VLOOKUP("electricity|NOx|Non-fatal heart attacks", US_national_yearly!$D:$AM, 15, FALSE) / VLOOKUP("electricity|NOx|Non-fatal heart attacks", US_national_yearly!$D:$AM, 10, FALSE), 1)</f>
        <v>5.0270738474833962E-5</v>
      </c>
      <c r="H13" s="7">
        <f>$B13 * IFERROR(VLOOKUP("electricity|NOx|Non-fatal heart attacks", US_national_yearly!$D:$AM, 16, FALSE) / VLOOKUP("electricity|NOx|Non-fatal heart attacks", US_national_yearly!$D:$AM, 10, FALSE), 1)</f>
        <v>5.1460953200919528E-5</v>
      </c>
      <c r="I13" s="7">
        <f>$B13 * IFERROR(VLOOKUP("electricity|NOx|Non-fatal heart attacks", US_national_yearly!$D:$AM, 17, FALSE) / VLOOKUP("electricity|NOx|Non-fatal heart attacks", US_national_yearly!$D:$AM, 10, FALSE), 1)</f>
        <v>5.2415384998031548E-5</v>
      </c>
      <c r="J13" s="7">
        <f>$B13 * IFERROR(VLOOKUP("electricity|NOx|Non-fatal heart attacks", US_national_yearly!$D:$AM, 18, FALSE) / VLOOKUP("electricity|NOx|Non-fatal heart attacks", US_national_yearly!$D:$AM, 10, FALSE), 1)</f>
        <v>5.3369816795143576E-5</v>
      </c>
      <c r="K13" s="7">
        <f>$B13 * IFERROR(VLOOKUP("electricity|NOx|Non-fatal heart attacks", US_national_yearly!$D:$AM, 19, FALSE) / VLOOKUP("electricity|NOx|Non-fatal heart attacks", US_national_yearly!$D:$AM, 10, FALSE), 1)</f>
        <v>5.4324248592255556E-5</v>
      </c>
      <c r="L13" s="7">
        <f>$B13 * IFERROR(VLOOKUP("electricity|NOx|Non-fatal heart attacks", US_national_yearly!$D:$AM, 20, FALSE) / VLOOKUP("electricity|NOx|Non-fatal heart attacks", US_national_yearly!$D:$AM, 10, FALSE), 1)</f>
        <v>5.5278680389367576E-5</v>
      </c>
      <c r="M13" s="7">
        <f>$B13 * IFERROR(VLOOKUP("electricity|NOx|Non-fatal heart attacks", US_national_yearly!$D:$AM, 21, FALSE) / VLOOKUP("electricity|NOx|Non-fatal heart attacks", US_national_yearly!$D:$AM, 10, FALSE), 1)</f>
        <v>5.6233112186479611E-5</v>
      </c>
      <c r="N13" s="7">
        <f>$B13 * IFERROR(VLOOKUP("electricity|NOx|Non-fatal heart attacks", US_national_yearly!$D:$AM, 22, FALSE) / VLOOKUP("electricity|NOx|Non-fatal heart attacks", US_national_yearly!$D:$AM, 10, FALSE), 1)</f>
        <v>5.6821730106416226E-5</v>
      </c>
      <c r="O13" s="7">
        <f>$B13 * IFERROR(VLOOKUP("electricity|NOx|Non-fatal heart attacks", US_national_yearly!$D:$AM, 23, FALSE) / VLOOKUP("electricity|NOx|Non-fatal heart attacks", US_national_yearly!$D:$AM, 10, FALSE), 1)</f>
        <v>5.7410348026352861E-5</v>
      </c>
      <c r="P13" s="7">
        <f>$B13 * IFERROR(VLOOKUP("electricity|NOx|Non-fatal heart attacks", US_national_yearly!$D:$AM, 24, FALSE) / VLOOKUP("electricity|NOx|Non-fatal heart attacks", US_national_yearly!$D:$AM, 10, FALSE), 1)</f>
        <v>5.7998965946289483E-5</v>
      </c>
      <c r="Q13" s="7">
        <f>$B13 * IFERROR(VLOOKUP("electricity|NOx|Non-fatal heart attacks", US_national_yearly!$D:$AM, 25, FALSE) / VLOOKUP("electricity|NOx|Non-fatal heart attacks", US_national_yearly!$D:$AM, 10, FALSE), 1)</f>
        <v>5.8587583866226105E-5</v>
      </c>
      <c r="R13" s="7">
        <f>$B13 * IFERROR(VLOOKUP("electricity|NOx|Non-fatal heart attacks", US_national_yearly!$D:$AM, 26, FALSE) / VLOOKUP("electricity|NOx|Non-fatal heart attacks", US_national_yearly!$D:$AM, 10, FALSE), 1)</f>
        <v>5.9176201786162727E-5</v>
      </c>
      <c r="S13" s="7">
        <f>$B13 * IFERROR(VLOOKUP("electricity|NOx|Non-fatal heart attacks", US_national_yearly!$D:$AM, 27, FALSE) / VLOOKUP("electricity|NOx|Non-fatal heart attacks", US_national_yearly!$D:$AM, 10, FALSE), 1)</f>
        <v>5.9463798540853101E-5</v>
      </c>
      <c r="T13" s="7">
        <f>$B13 * IFERROR(VLOOKUP("electricity|NOx|Non-fatal heart attacks", US_national_yearly!$D:$AM, 28, FALSE) / VLOOKUP("electricity|NOx|Non-fatal heart attacks", US_national_yearly!$D:$AM, 10, FALSE), 1)</f>
        <v>5.9751395295543468E-5</v>
      </c>
      <c r="U13" s="7">
        <f>$B13 * IFERROR(VLOOKUP("electricity|NOx|Non-fatal heart attacks", US_national_yearly!$D:$AM, 29, FALSE) / VLOOKUP("electricity|NOx|Non-fatal heart attacks", US_national_yearly!$D:$AM, 10, FALSE), 1)</f>
        <v>6.0038992050233848E-5</v>
      </c>
      <c r="V13" s="7">
        <f>$B13 * IFERROR(VLOOKUP("electricity|NOx|Non-fatal heart attacks", US_national_yearly!$D:$AM, 30, FALSE) / VLOOKUP("electricity|NOx|Non-fatal heart attacks", US_national_yearly!$D:$AM, 10, FALSE), 1)</f>
        <v>6.0326588804924215E-5</v>
      </c>
      <c r="W13" s="7">
        <f>$B13 * IFERROR(VLOOKUP("electricity|NOx|Non-fatal heart attacks", US_national_yearly!$D:$AM, 31, FALSE) / VLOOKUP("electricity|NOx|Non-fatal heart attacks", US_national_yearly!$D:$AM, 10, FALSE), 1)</f>
        <v>6.0614185559614596E-5</v>
      </c>
      <c r="X13" s="7">
        <f>$B13 * IFERROR(VLOOKUP("electricity|NOx|Non-fatal heart attacks", US_national_yearly!$D:$AM, 32, FALSE) / VLOOKUP("electricity|NOx|Non-fatal heart attacks", US_national_yearly!$D:$AM, 10, FALSE), 1)</f>
        <v>6.0814920451468236E-5</v>
      </c>
      <c r="Y13" s="7">
        <f>$B13 * IFERROR(VLOOKUP("electricity|NOx|Non-fatal heart attacks", US_national_yearly!$D:$AM, 33, FALSE) / VLOOKUP("electricity|NOx|Non-fatal heart attacks", US_national_yearly!$D:$AM, 10, FALSE), 1)</f>
        <v>6.1015655343321891E-5</v>
      </c>
      <c r="Z13" s="7">
        <f>$B13 * IFERROR(VLOOKUP("electricity|NOx|Non-fatal heart attacks", US_national_yearly!$D:$AM, 34, FALSE) / VLOOKUP("electricity|NOx|Non-fatal heart attacks", US_national_yearly!$D:$AM, 10, FALSE), 1)</f>
        <v>6.1216390235175531E-5</v>
      </c>
      <c r="AA13" s="7">
        <f>$B13 * IFERROR(VLOOKUP("electricity|NOx|Non-fatal heart attacks", US_national_yearly!$D:$AM, 35, FALSE) / VLOOKUP("electricity|NOx|Non-fatal heart attacks", US_national_yearly!$D:$AM, 10, FALSE), 1)</f>
        <v>6.1417125127029165E-5</v>
      </c>
      <c r="AB13" s="7">
        <f>$B13 * IFERROR(VLOOKUP("electricity|NOx|Non-fatal heart attacks", US_national_yearly!$D:$AM, 36, FALSE) / VLOOKUP("electricity|NOx|Non-fatal heart attacks", US_national_yearly!$D:$AM, 10, FALSE), 1)</f>
        <v>6.1617860018882827E-5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3.4889418146710129E-2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3.4942911242497023E-2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3.4996404338283917E-2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3.5049897434070811E-2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3.5103390529857711E-2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3.519670118248195E-2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3.5290011835106175E-2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3.5474626329409571E-2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3.5659240823712947E-2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3.5843855318016343E-2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3.6028469812319726E-2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3.6213084306623122E-2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3.6480052376760858E-2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3.6747020446898586E-2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3.7013988517036314E-2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3.7280956587174049E-2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3.7547924657311785E-2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3.7816911626069365E-2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3.8085898594826938E-2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3.8354885563584525E-2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3.8623872532342098E-2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3.8892859501099677E-2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3.9120342761810901E-2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3.9347826022522105E-2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3.9575309283233363E-2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3.980279254394458E-2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4.0030275804655797E-2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5.8607752763263988E-3</v>
      </c>
      <c r="C15" s="7">
        <f>$B15 * IFERROR(VLOOKUP("electricity|NOx|Work loss days", US_national_yearly!$D:$AM, 11, FALSE) / VLOOKUP("electricity|NOx|Work loss days", US_national_yearly!$D:$AM, 10, FALSE), 1)</f>
        <v>5.8738468998358129E-3</v>
      </c>
      <c r="D15" s="7">
        <f>$B15 * IFERROR(VLOOKUP("electricity|NOx|Work loss days", US_national_yearly!$D:$AM, 12, FALSE) / VLOOKUP("electricity|NOx|Work loss days", US_national_yearly!$D:$AM, 10, FALSE), 1)</f>
        <v>5.8869185233452271E-3</v>
      </c>
      <c r="E15" s="7">
        <f>$B15 * IFERROR(VLOOKUP("electricity|NOx|Work loss days", US_national_yearly!$D:$AM, 13, FALSE) / VLOOKUP("electricity|NOx|Work loss days", US_national_yearly!$D:$AM, 10, FALSE), 1)</f>
        <v>5.8999901468546412E-3</v>
      </c>
      <c r="F15" s="7">
        <f>$B15 * IFERROR(VLOOKUP("electricity|NOx|Work loss days", US_national_yearly!$D:$AM, 14, FALSE) / VLOOKUP("electricity|NOx|Work loss days", US_national_yearly!$D:$AM, 10, FALSE), 1)</f>
        <v>5.9130617703640554E-3</v>
      </c>
      <c r="G15" s="7">
        <f>$B15 * IFERROR(VLOOKUP("electricity|NOx|Work loss days", US_national_yearly!$D:$AM, 15, FALSE) / VLOOKUP("electricity|NOx|Work loss days", US_national_yearly!$D:$AM, 10, FALSE), 1)</f>
        <v>5.9314897629494292E-3</v>
      </c>
      <c r="H15" s="7">
        <f>$B15 * IFERROR(VLOOKUP("electricity|NOx|Work loss days", US_national_yearly!$D:$AM, 16, FALSE) / VLOOKUP("electricity|NOx|Work loss days", US_national_yearly!$D:$AM, 10, FALSE), 1)</f>
        <v>5.9499177555348013E-3</v>
      </c>
      <c r="I15" s="7">
        <f>$B15 * IFERROR(VLOOKUP("electricity|NOx|Work loss days", US_national_yearly!$D:$AM, 17, FALSE) / VLOOKUP("electricity|NOx|Work loss days", US_national_yearly!$D:$AM, 10, FALSE), 1)</f>
        <v>5.9798398685442225E-3</v>
      </c>
      <c r="J15" s="7">
        <f>$B15 * IFERROR(VLOOKUP("electricity|NOx|Work loss days", US_national_yearly!$D:$AM, 18, FALSE) / VLOOKUP("electricity|NOx|Work loss days", US_national_yearly!$D:$AM, 10, FALSE), 1)</f>
        <v>6.0097619815536428E-3</v>
      </c>
      <c r="K15" s="7">
        <f>$B15 * IFERROR(VLOOKUP("electricity|NOx|Work loss days", US_national_yearly!$D:$AM, 19, FALSE) / VLOOKUP("electricity|NOx|Work loss days", US_national_yearly!$D:$AM, 10, FALSE), 1)</f>
        <v>6.0396840945630623E-3</v>
      </c>
      <c r="L15" s="7">
        <f>$B15 * IFERROR(VLOOKUP("electricity|NOx|Work loss days", US_national_yearly!$D:$AM, 20, FALSE) / VLOOKUP("electricity|NOx|Work loss days", US_national_yearly!$D:$AM, 10, FALSE), 1)</f>
        <v>6.0696062075724817E-3</v>
      </c>
      <c r="M15" s="7">
        <f>$B15 * IFERROR(VLOOKUP("electricity|NOx|Work loss days", US_national_yearly!$D:$AM, 21, FALSE) / VLOOKUP("electricity|NOx|Work loss days", US_national_yearly!$D:$AM, 10, FALSE), 1)</f>
        <v>6.0995283205819012E-3</v>
      </c>
      <c r="N15" s="7">
        <f>$B15 * IFERROR(VLOOKUP("electricity|NOx|Work loss days", US_national_yearly!$D:$AM, 22, FALSE) / VLOOKUP("electricity|NOx|Work loss days", US_national_yearly!$D:$AM, 10, FALSE), 1)</f>
        <v>6.1390066307734003E-3</v>
      </c>
      <c r="O15" s="7">
        <f>$B15 * IFERROR(VLOOKUP("electricity|NOx|Work loss days", US_national_yearly!$D:$AM, 23, FALSE) / VLOOKUP("electricity|NOx|Work loss days", US_national_yearly!$D:$AM, 10, FALSE), 1)</f>
        <v>6.1784849409648986E-3</v>
      </c>
      <c r="P15" s="7">
        <f>$B15 * IFERROR(VLOOKUP("electricity|NOx|Work loss days", US_national_yearly!$D:$AM, 24, FALSE) / VLOOKUP("electricity|NOx|Work loss days", US_national_yearly!$D:$AM, 10, FALSE), 1)</f>
        <v>6.2179632511563969E-3</v>
      </c>
      <c r="Q15" s="7">
        <f>$B15 * IFERROR(VLOOKUP("electricity|NOx|Work loss days", US_national_yearly!$D:$AM, 25, FALSE) / VLOOKUP("electricity|NOx|Work loss days", US_national_yearly!$D:$AM, 10, FALSE), 1)</f>
        <v>6.257441561347896E-3</v>
      </c>
      <c r="R15" s="7">
        <f>$B15 * IFERROR(VLOOKUP("electricity|NOx|Work loss days", US_national_yearly!$D:$AM, 26, FALSE) / VLOOKUP("electricity|NOx|Work loss days", US_national_yearly!$D:$AM, 10, FALSE), 1)</f>
        <v>6.2969198715393925E-3</v>
      </c>
      <c r="S15" s="7">
        <f>$B15 * IFERROR(VLOOKUP("electricity|NOx|Work loss days", US_national_yearly!$D:$AM, 27, FALSE) / VLOOKUP("electricity|NOx|Work loss days", US_national_yearly!$D:$AM, 10, FALSE), 1)</f>
        <v>6.341160345282525E-3</v>
      </c>
      <c r="T15" s="7">
        <f>$B15 * IFERROR(VLOOKUP("electricity|NOx|Work loss days", US_national_yearly!$D:$AM, 28, FALSE) / VLOOKUP("electricity|NOx|Work loss days", US_national_yearly!$D:$AM, 10, FALSE), 1)</f>
        <v>6.3854008190256566E-3</v>
      </c>
      <c r="U15" s="7">
        <f>$B15 * IFERROR(VLOOKUP("electricity|NOx|Work loss days", US_national_yearly!$D:$AM, 29, FALSE) / VLOOKUP("electricity|NOx|Work loss days", US_national_yearly!$D:$AM, 10, FALSE), 1)</f>
        <v>6.4296412927687882E-3</v>
      </c>
      <c r="V15" s="7">
        <f>$B15 * IFERROR(VLOOKUP("electricity|NOx|Work loss days", US_national_yearly!$D:$AM, 30, FALSE) / VLOOKUP("electricity|NOx|Work loss days", US_national_yearly!$D:$AM, 10, FALSE), 1)</f>
        <v>6.4738817665119189E-3</v>
      </c>
      <c r="W15" s="7">
        <f>$B15 * IFERROR(VLOOKUP("electricity|NOx|Work loss days", US_national_yearly!$D:$AM, 31, FALSE) / VLOOKUP("electricity|NOx|Work loss days", US_national_yearly!$D:$AM, 10, FALSE), 1)</f>
        <v>6.5181222402550514E-3</v>
      </c>
      <c r="X15" s="7">
        <f>$B15 * IFERROR(VLOOKUP("electricity|NOx|Work loss days", US_national_yearly!$D:$AM, 32, FALSE) / VLOOKUP("electricity|NOx|Work loss days", US_national_yearly!$D:$AM, 10, FALSE), 1)</f>
        <v>6.5566868527626694E-3</v>
      </c>
      <c r="Y15" s="7">
        <f>$B15 * IFERROR(VLOOKUP("electricity|NOx|Work loss days", US_national_yearly!$D:$AM, 33, FALSE) / VLOOKUP("electricity|NOx|Work loss days", US_national_yearly!$D:$AM, 10, FALSE), 1)</f>
        <v>6.5952514652702866E-3</v>
      </c>
      <c r="Z15" s="7">
        <f>$B15 * IFERROR(VLOOKUP("electricity|NOx|Work loss days", US_national_yearly!$D:$AM, 34, FALSE) / VLOOKUP("electricity|NOx|Work loss days", US_national_yearly!$D:$AM, 10, FALSE), 1)</f>
        <v>6.6338160777779046E-3</v>
      </c>
      <c r="AA15" s="7">
        <f>$B15 * IFERROR(VLOOKUP("electricity|NOx|Work loss days", US_national_yearly!$D:$AM, 35, FALSE) / VLOOKUP("electricity|NOx|Work loss days", US_national_yearly!$D:$AM, 10, FALSE), 1)</f>
        <v>6.6723806902855235E-3</v>
      </c>
      <c r="AB15" s="7">
        <f>$B15 * IFERROR(VLOOKUP("electricity|NOx|Work loss days", US_national_yearly!$D:$AM, 36, FALSE) / VLOOKUP("electricity|NOx|Work loss days", US_national_yearly!$D:$AM, 10, FALSE), 1)</f>
        <v>6.7109453027931407E-3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1.0295379056161744E-5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1.0598646262808057E-5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1.0901913469454371E-5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1.1205180676100681E-5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1.1508447882746995E-5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1.1798849779803768E-5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1.2089251676860541E-5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1.2337124603706075E-5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1.2584997530551613E-5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1.2832870457397149E-5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1.3080743384242687E-5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1.3328616311088222E-5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1.3487694245780316E-5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1.364677218047241E-5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1.3805850115164505E-5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1.3964928049856599E-5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1.4124005984548695E-5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1.4202291039672108E-5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1.4280576094795522E-5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1.4358861149918937E-5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1.4437146205042353E-5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1.4515431260165768E-5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1.4562350467251845E-5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1.4609269674337923E-5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1.4656188881424002E-5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1.4703108088510079E-5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1.4750027295596157E-5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1.3778434540721667E-4</v>
      </c>
      <c r="C2" s="7">
        <f>$B2 * IFERROR(VLOOKUP("electricity|SO2|Premature mortality", US_national_yearly!$D:$AM, 11, FALSE) / VLOOKUP("electricity|SO2|Premature mortality", US_national_yearly!$D:$AM, 10, FALSE), 1)</f>
        <v>1.3955077250308291E-4</v>
      </c>
      <c r="D2" s="7">
        <f>$B2 * IFERROR(VLOOKUP("electricity|SO2|Premature mortality", US_national_yearly!$D:$AM, 12, FALSE) / VLOOKUP("electricity|SO2|Premature mortality", US_national_yearly!$D:$AM, 10, FALSE), 1)</f>
        <v>1.4131719959894915E-4</v>
      </c>
      <c r="E2" s="7">
        <f>$B2 * IFERROR(VLOOKUP("electricity|SO2|Premature mortality", US_national_yearly!$D:$AM, 13, FALSE) / VLOOKUP("electricity|SO2|Premature mortality", US_national_yearly!$D:$AM, 10, FALSE), 1)</f>
        <v>1.4308362669481538E-4</v>
      </c>
      <c r="F2" s="7">
        <f>$B2 * IFERROR(VLOOKUP("electricity|SO2|Premature mortality", US_national_yearly!$D:$AM, 14, FALSE) / VLOOKUP("electricity|SO2|Premature mortality", US_national_yearly!$D:$AM, 10, FALSE), 1)</f>
        <v>1.448500537906816E-4</v>
      </c>
      <c r="G2" s="7">
        <f>$B2 * IFERROR(VLOOKUP("electricity|SO2|Premature mortality", US_national_yearly!$D:$AM, 15, FALSE) / VLOOKUP("electricity|SO2|Premature mortality", US_national_yearly!$D:$AM, 10, FALSE), 1)</f>
        <v>1.4825290088348148E-4</v>
      </c>
      <c r="H2" s="7">
        <f>$B2 * IFERROR(VLOOKUP("electricity|SO2|Premature mortality", US_national_yearly!$D:$AM, 16, FALSE) / VLOOKUP("electricity|SO2|Premature mortality", US_national_yearly!$D:$AM, 10, FALSE), 1)</f>
        <v>1.5165574797628131E-4</v>
      </c>
      <c r="I2" s="7">
        <f>$B2 * IFERROR(VLOOKUP("electricity|SO2|Premature mortality", US_national_yearly!$D:$AM, 17, FALSE) / VLOOKUP("electricity|SO2|Premature mortality", US_national_yearly!$D:$AM, 10, FALSE), 1)</f>
        <v>1.5394633405884864E-4</v>
      </c>
      <c r="J2" s="7">
        <f>$B2 * IFERROR(VLOOKUP("electricity|SO2|Premature mortality", US_national_yearly!$D:$AM, 18, FALSE) / VLOOKUP("electricity|SO2|Premature mortality", US_national_yearly!$D:$AM, 10, FALSE), 1)</f>
        <v>1.56236920141416E-4</v>
      </c>
      <c r="K2" s="7">
        <f>$B2 * IFERROR(VLOOKUP("electricity|SO2|Premature mortality", US_national_yearly!$D:$AM, 19, FALSE) / VLOOKUP("electricity|SO2|Premature mortality", US_national_yearly!$D:$AM, 10, FALSE), 1)</f>
        <v>1.585275062239833E-4</v>
      </c>
      <c r="L2" s="7">
        <f>$B2 * IFERROR(VLOOKUP("electricity|SO2|Premature mortality", US_national_yearly!$D:$AM, 20, FALSE) / VLOOKUP("electricity|SO2|Premature mortality", US_national_yearly!$D:$AM, 10, FALSE), 1)</f>
        <v>1.6081809230655066E-4</v>
      </c>
      <c r="M2" s="7">
        <f>$B2 * IFERROR(VLOOKUP("electricity|SO2|Premature mortality", US_national_yearly!$D:$AM, 21, FALSE) / VLOOKUP("electricity|SO2|Premature mortality", US_national_yearly!$D:$AM, 10, FALSE), 1)</f>
        <v>1.6310867838911796E-4</v>
      </c>
      <c r="N2" s="7">
        <f>$B2 * IFERROR(VLOOKUP("electricity|SO2|Premature mortality", US_national_yearly!$D:$AM, 22, FALSE) / VLOOKUP("electricity|SO2|Premature mortality", US_national_yearly!$D:$AM, 10, FALSE), 1)</f>
        <v>1.6494440056459843E-4</v>
      </c>
      <c r="O2" s="7">
        <f>$B2 * IFERROR(VLOOKUP("electricity|SO2|Premature mortality", US_national_yearly!$D:$AM, 23, FALSE) / VLOOKUP("electricity|SO2|Premature mortality", US_national_yearly!$D:$AM, 10, FALSE), 1)</f>
        <v>1.6678012274007892E-4</v>
      </c>
      <c r="P2" s="7">
        <f>$B2 * IFERROR(VLOOKUP("electricity|SO2|Premature mortality", US_national_yearly!$D:$AM, 24, FALSE) / VLOOKUP("electricity|SO2|Premature mortality", US_national_yearly!$D:$AM, 10, FALSE), 1)</f>
        <v>1.6861584491555936E-4</v>
      </c>
      <c r="Q2" s="7">
        <f>$B2 * IFERROR(VLOOKUP("electricity|SO2|Premature mortality", US_national_yearly!$D:$AM, 25, FALSE) / VLOOKUP("electricity|SO2|Premature mortality", US_national_yearly!$D:$AM, 10, FALSE), 1)</f>
        <v>1.7045156709103983E-4</v>
      </c>
      <c r="R2" s="7">
        <f>$B2 * IFERROR(VLOOKUP("electricity|SO2|Premature mortality", US_national_yearly!$D:$AM, 26, FALSE) / VLOOKUP("electricity|SO2|Premature mortality", US_national_yearly!$D:$AM, 10, FALSE), 1)</f>
        <v>1.722872892665203E-4</v>
      </c>
      <c r="S2" s="7">
        <f>$B2 * IFERROR(VLOOKUP("electricity|SO2|Premature mortality", US_national_yearly!$D:$AM, 27, FALSE) / VLOOKUP("electricity|SO2|Premature mortality", US_national_yearly!$D:$AM, 10, FALSE), 1)</f>
        <v>1.7333976241033376E-4</v>
      </c>
      <c r="T2" s="7">
        <f>$B2 * IFERROR(VLOOKUP("electricity|SO2|Premature mortality", US_national_yearly!$D:$AM, 28, FALSE) / VLOOKUP("electricity|SO2|Premature mortality", US_national_yearly!$D:$AM, 10, FALSE), 1)</f>
        <v>1.7439223555414723E-4</v>
      </c>
      <c r="U2" s="7">
        <f>$B2 * IFERROR(VLOOKUP("electricity|SO2|Premature mortality", US_national_yearly!$D:$AM, 29, FALSE) / VLOOKUP("electricity|SO2|Premature mortality", US_national_yearly!$D:$AM, 10, FALSE), 1)</f>
        <v>1.7544470869796069E-4</v>
      </c>
      <c r="V2" s="7">
        <f>$B2 * IFERROR(VLOOKUP("electricity|SO2|Premature mortality", US_national_yearly!$D:$AM, 30, FALSE) / VLOOKUP("electricity|SO2|Premature mortality", US_national_yearly!$D:$AM, 10, FALSE), 1)</f>
        <v>1.7649718184177416E-4</v>
      </c>
      <c r="W2" s="7">
        <f>$B2 * IFERROR(VLOOKUP("electricity|SO2|Premature mortality", US_national_yearly!$D:$AM, 31, FALSE) / VLOOKUP("electricity|SO2|Premature mortality", US_national_yearly!$D:$AM, 10, FALSE), 1)</f>
        <v>1.7754965498558762E-4</v>
      </c>
      <c r="X2" s="7">
        <f>$B2 * IFERROR(VLOOKUP("electricity|SO2|Premature mortality", US_national_yearly!$D:$AM, 32, FALSE) / VLOOKUP("electricity|SO2|Premature mortality", US_national_yearly!$D:$AM, 10, FALSE), 1)</f>
        <v>1.7785976163847518E-4</v>
      </c>
      <c r="Y2" s="7">
        <f>$B2 * IFERROR(VLOOKUP("electricity|SO2|Premature mortality", US_national_yearly!$D:$AM, 33, FALSE) / VLOOKUP("electricity|SO2|Premature mortality", US_national_yearly!$D:$AM, 10, FALSE), 1)</f>
        <v>1.7816986829136271E-4</v>
      </c>
      <c r="Z2" s="7">
        <f>$B2 * IFERROR(VLOOKUP("electricity|SO2|Premature mortality", US_national_yearly!$D:$AM, 34, FALSE) / VLOOKUP("electricity|SO2|Premature mortality", US_national_yearly!$D:$AM, 10, FALSE), 1)</f>
        <v>1.7847997494425025E-4</v>
      </c>
      <c r="AA2" s="7">
        <f>$B2 * IFERROR(VLOOKUP("electricity|SO2|Premature mortality", US_national_yearly!$D:$AM, 35, FALSE) / VLOOKUP("electricity|SO2|Premature mortality", US_national_yearly!$D:$AM, 10, FALSE), 1)</f>
        <v>1.7879008159713781E-4</v>
      </c>
      <c r="AB2" s="7">
        <f>$B2 * IFERROR(VLOOKUP("electricity|SO2|Premature mortality", US_national_yearly!$D:$AM, 36, FALSE) / VLOOKUP("electricity|SO2|Premature mortality", US_national_yearly!$D:$AM, 10, FALSE), 1)</f>
        <v>1.7910018825002534E-4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2.4124483063738812E-7</v>
      </c>
      <c r="C3" s="7">
        <f>$B3 * IFERROR(VLOOKUP("electricity|SO2|Infant mortality", US_national_yearly!$D:$AM, 11, FALSE) / VLOOKUP("electricity|SO2|Infant mortality", US_national_yearly!$D:$AM, 10, FALSE), 1)</f>
        <v>2.392067705130591E-7</v>
      </c>
      <c r="D3" s="7">
        <f>$B3 * IFERROR(VLOOKUP("electricity|SO2|Infant mortality", US_national_yearly!$D:$AM, 12, FALSE) / VLOOKUP("electricity|SO2|Infant mortality", US_national_yearly!$D:$AM, 10, FALSE), 1)</f>
        <v>2.3716871038873011E-7</v>
      </c>
      <c r="E3" s="7">
        <f>$B3 * IFERROR(VLOOKUP("electricity|SO2|Infant mortality", US_national_yearly!$D:$AM, 13, FALSE) / VLOOKUP("electricity|SO2|Infant mortality", US_national_yearly!$D:$AM, 10, FALSE), 1)</f>
        <v>2.3513065026440109E-7</v>
      </c>
      <c r="F3" s="7">
        <f>$B3 * IFERROR(VLOOKUP("electricity|SO2|Infant mortality", US_national_yearly!$D:$AM, 14, FALSE) / VLOOKUP("electricity|SO2|Infant mortality", US_national_yearly!$D:$AM, 10, FALSE), 1)</f>
        <v>2.3309259014007212E-7</v>
      </c>
      <c r="G3" s="7">
        <f>$B3 * IFERROR(VLOOKUP("electricity|SO2|Infant mortality", US_national_yearly!$D:$AM, 15, FALSE) / VLOOKUP("electricity|SO2|Infant mortality", US_national_yearly!$D:$AM, 10, FALSE), 1)</f>
        <v>1.5501864693459141E-7</v>
      </c>
      <c r="H3" s="7">
        <f>$B3 * IFERROR(VLOOKUP("electricity|SO2|Infant mortality", US_national_yearly!$D:$AM, 16, FALSE) / VLOOKUP("electricity|SO2|Infant mortality", US_national_yearly!$D:$AM, 10, FALSE), 1)</f>
        <v>7.6944703729110688E-8</v>
      </c>
      <c r="I3" s="7">
        <f>$B3 * IFERROR(VLOOKUP("electricity|SO2|Infant mortality", US_national_yearly!$D:$AM, 17, FALSE) / VLOOKUP("electricity|SO2|Infant mortality", US_national_yearly!$D:$AM, 10, FALSE), 1)</f>
        <v>7.6452451476687098E-8</v>
      </c>
      <c r="J3" s="7">
        <f>$B3 * IFERROR(VLOOKUP("electricity|SO2|Infant mortality", US_national_yearly!$D:$AM, 18, FALSE) / VLOOKUP("electricity|SO2|Infant mortality", US_national_yearly!$D:$AM, 10, FALSE), 1)</f>
        <v>7.5960199224263507E-8</v>
      </c>
      <c r="K3" s="7">
        <f>$B3 * IFERROR(VLOOKUP("electricity|SO2|Infant mortality", US_national_yearly!$D:$AM, 19, FALSE) / VLOOKUP("electricity|SO2|Infant mortality", US_national_yearly!$D:$AM, 10, FALSE), 1)</f>
        <v>7.5467946971839931E-8</v>
      </c>
      <c r="L3" s="7">
        <f>$B3 * IFERROR(VLOOKUP("electricity|SO2|Infant mortality", US_national_yearly!$D:$AM, 20, FALSE) / VLOOKUP("electricity|SO2|Infant mortality", US_national_yearly!$D:$AM, 10, FALSE), 1)</f>
        <v>7.4975694719416327E-8</v>
      </c>
      <c r="M3" s="7">
        <f>$B3 * IFERROR(VLOOKUP("electricity|SO2|Infant mortality", US_national_yearly!$D:$AM, 21, FALSE) / VLOOKUP("electricity|SO2|Infant mortality", US_national_yearly!$D:$AM, 10, FALSE), 1)</f>
        <v>7.448344246699275E-8</v>
      </c>
      <c r="N3" s="7">
        <f>$B3 * IFERROR(VLOOKUP("electricity|SO2|Infant mortality", US_national_yearly!$D:$AM, 22, FALSE) / VLOOKUP("electricity|SO2|Infant mortality", US_national_yearly!$D:$AM, 10, FALSE), 1)</f>
        <v>7.4171529626668534E-8</v>
      </c>
      <c r="O3" s="7">
        <f>$B3 * IFERROR(VLOOKUP("electricity|SO2|Infant mortality", US_national_yearly!$D:$AM, 23, FALSE) / VLOOKUP("electricity|SO2|Infant mortality", US_national_yearly!$D:$AM, 10, FALSE), 1)</f>
        <v>7.3859616786344305E-8</v>
      </c>
      <c r="P3" s="7">
        <f>$B3 * IFERROR(VLOOKUP("electricity|SO2|Infant mortality", US_national_yearly!$D:$AM, 24, FALSE) / VLOOKUP("electricity|SO2|Infant mortality", US_national_yearly!$D:$AM, 10, FALSE), 1)</f>
        <v>7.3547703946020075E-8</v>
      </c>
      <c r="Q3" s="7">
        <f>$B3 * IFERROR(VLOOKUP("electricity|SO2|Infant mortality", US_national_yearly!$D:$AM, 25, FALSE) / VLOOKUP("electricity|SO2|Infant mortality", US_national_yearly!$D:$AM, 10, FALSE), 1)</f>
        <v>7.3235791105695859E-8</v>
      </c>
      <c r="R3" s="7">
        <f>$B3 * IFERROR(VLOOKUP("electricity|SO2|Infant mortality", US_national_yearly!$D:$AM, 26, FALSE) / VLOOKUP("electricity|SO2|Infant mortality", US_national_yearly!$D:$AM, 10, FALSE), 1)</f>
        <v>7.2923878265371643E-8</v>
      </c>
      <c r="S3" s="7">
        <f>$B3 * IFERROR(VLOOKUP("electricity|SO2|Infant mortality", US_national_yearly!$D:$AM, 27, FALSE) / VLOOKUP("electricity|SO2|Infant mortality", US_national_yearly!$D:$AM, 10, FALSE), 1)</f>
        <v>7.2535118432638435E-8</v>
      </c>
      <c r="T3" s="7">
        <f>$B3 * IFERROR(VLOOKUP("electricity|SO2|Infant mortality", US_national_yearly!$D:$AM, 28, FALSE) / VLOOKUP("electricity|SO2|Infant mortality", US_national_yearly!$D:$AM, 10, FALSE), 1)</f>
        <v>7.2146358599905253E-8</v>
      </c>
      <c r="U3" s="7">
        <f>$B3 * IFERROR(VLOOKUP("electricity|SO2|Infant mortality", US_national_yearly!$D:$AM, 29, FALSE) / VLOOKUP("electricity|SO2|Infant mortality", US_national_yearly!$D:$AM, 10, FALSE), 1)</f>
        <v>7.1757598767172058E-8</v>
      </c>
      <c r="V3" s="7">
        <f>$B3 * IFERROR(VLOOKUP("electricity|SO2|Infant mortality", US_national_yearly!$D:$AM, 30, FALSE) / VLOOKUP("electricity|SO2|Infant mortality", US_national_yearly!$D:$AM, 10, FALSE), 1)</f>
        <v>7.1368838934438876E-8</v>
      </c>
      <c r="W3" s="7">
        <f>$B3 * IFERROR(VLOOKUP("electricity|SO2|Infant mortality", US_national_yearly!$D:$AM, 31, FALSE) / VLOOKUP("electricity|SO2|Infant mortality", US_national_yearly!$D:$AM, 10, FALSE), 1)</f>
        <v>7.0980079101705681E-8</v>
      </c>
      <c r="X3" s="7">
        <f>$B3 * IFERROR(VLOOKUP("electricity|SO2|Infant mortality", US_national_yearly!$D:$AM, 32, FALSE) / VLOOKUP("electricity|SO2|Infant mortality", US_national_yearly!$D:$AM, 10, FALSE), 1)</f>
        <v>7.0565283744590008E-8</v>
      </c>
      <c r="Y3" s="7">
        <f>$B3 * IFERROR(VLOOKUP("electricity|SO2|Infant mortality", US_national_yearly!$D:$AM, 33, FALSE) / VLOOKUP("electricity|SO2|Infant mortality", US_national_yearly!$D:$AM, 10, FALSE), 1)</f>
        <v>7.0150488387474308E-8</v>
      </c>
      <c r="Z3" s="7">
        <f>$B3 * IFERROR(VLOOKUP("electricity|SO2|Infant mortality", US_national_yearly!$D:$AM, 34, FALSE) / VLOOKUP("electricity|SO2|Infant mortality", US_national_yearly!$D:$AM, 10, FALSE), 1)</f>
        <v>6.9735693030358635E-8</v>
      </c>
      <c r="AA3" s="7">
        <f>$B3 * IFERROR(VLOOKUP("electricity|SO2|Infant mortality", US_national_yearly!$D:$AM, 35, FALSE) / VLOOKUP("electricity|SO2|Infant mortality", US_national_yearly!$D:$AM, 10, FALSE), 1)</f>
        <v>6.9320897673242962E-8</v>
      </c>
      <c r="AB3" s="7">
        <f>$B3 * IFERROR(VLOOKUP("electricity|SO2|Infant mortality", US_national_yearly!$D:$AM, 36, FALSE) / VLOOKUP("electricity|SO2|Infant mortality", US_national_yearly!$D:$AM, 10, FALSE), 1)</f>
        <v>6.8906102316127275E-8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2.5311458819728003E-4</v>
      </c>
      <c r="C6" s="7">
        <f>$B6 * IFERROR(VLOOKUP("electricity|SO2|Asthma symptoms cough", US_national_yearly!$D:$AM, 11, FALSE) / VLOOKUP("electricity|SO2|Asthma symptoms cough", US_national_yearly!$D:$AM, 10, FALSE), 1)</f>
        <v>2.5311458819728003E-4</v>
      </c>
      <c r="D6" s="7">
        <f>$B6 * IFERROR(VLOOKUP("electricity|SO2|Asthma symptoms cough", US_national_yearly!$D:$AM, 12, FALSE) / VLOOKUP("electricity|SO2|Asthma symptoms cough", US_national_yearly!$D:$AM, 10, FALSE), 1)</f>
        <v>2.5311458819728003E-4</v>
      </c>
      <c r="E6" s="7">
        <f>$B6 * IFERROR(VLOOKUP("electricity|SO2|Asthma symptoms cough", US_national_yearly!$D:$AM, 13, FALSE) / VLOOKUP("electricity|SO2|Asthma symptoms cough", US_national_yearly!$D:$AM, 10, FALSE), 1)</f>
        <v>2.5311458819728003E-4</v>
      </c>
      <c r="F6" s="7">
        <f>$B6 * IFERROR(VLOOKUP("electricity|SO2|Asthma symptoms cough", US_national_yearly!$D:$AM, 14, FALSE) / VLOOKUP("electricity|SO2|Asthma symptoms cough", US_national_yearly!$D:$AM, 10, FALSE), 1)</f>
        <v>2.5311458819728003E-4</v>
      </c>
      <c r="G6" s="7">
        <f>$B6 * IFERROR(VLOOKUP("electricity|SO2|Asthma symptoms cough", US_national_yearly!$D:$AM, 15, FALSE) / VLOOKUP("electricity|SO2|Asthma symptoms cough", US_national_yearly!$D:$AM, 10, FALSE), 1)</f>
        <v>2.5311458819728003E-4</v>
      </c>
      <c r="H6" s="7">
        <f>$B6 * IFERROR(VLOOKUP("electricity|SO2|Asthma symptoms cough", US_national_yearly!$D:$AM, 16, FALSE) / VLOOKUP("electricity|SO2|Asthma symptoms cough", US_national_yearly!$D:$AM, 10, FALSE), 1)</f>
        <v>2.5311458819728003E-4</v>
      </c>
      <c r="I6" s="7">
        <f>$B6 * IFERROR(VLOOKUP("electricity|SO2|Asthma symptoms cough", US_national_yearly!$D:$AM, 17, FALSE) / VLOOKUP("electricity|SO2|Asthma symptoms cough", US_national_yearly!$D:$AM, 10, FALSE), 1)</f>
        <v>2.5311458819728003E-4</v>
      </c>
      <c r="J6" s="7">
        <f>$B6 * IFERROR(VLOOKUP("electricity|SO2|Asthma symptoms cough", US_national_yearly!$D:$AM, 18, FALSE) / VLOOKUP("electricity|SO2|Asthma symptoms cough", US_national_yearly!$D:$AM, 10, FALSE), 1)</f>
        <v>2.5311458819728003E-4</v>
      </c>
      <c r="K6" s="7">
        <f>$B6 * IFERROR(VLOOKUP("electricity|SO2|Asthma symptoms cough", US_national_yearly!$D:$AM, 19, FALSE) / VLOOKUP("electricity|SO2|Asthma symptoms cough", US_national_yearly!$D:$AM, 10, FALSE), 1)</f>
        <v>2.5311458819728003E-4</v>
      </c>
      <c r="L6" s="7">
        <f>$B6 * IFERROR(VLOOKUP("electricity|SO2|Asthma symptoms cough", US_national_yearly!$D:$AM, 20, FALSE) / VLOOKUP("electricity|SO2|Asthma symptoms cough", US_national_yearly!$D:$AM, 10, FALSE), 1)</f>
        <v>2.5311458819728003E-4</v>
      </c>
      <c r="M6" s="7">
        <f>$B6 * IFERROR(VLOOKUP("electricity|SO2|Asthma symptoms cough", US_national_yearly!$D:$AM, 21, FALSE) / VLOOKUP("electricity|SO2|Asthma symptoms cough", US_national_yearly!$D:$AM, 10, FALSE), 1)</f>
        <v>2.5311458819728003E-4</v>
      </c>
      <c r="N6" s="7">
        <f>$B6 * IFERROR(VLOOKUP("electricity|SO2|Asthma symptoms cough", US_national_yearly!$D:$AM, 22, FALSE) / VLOOKUP("electricity|SO2|Asthma symptoms cough", US_national_yearly!$D:$AM, 10, FALSE), 1)</f>
        <v>2.5311458819728003E-4</v>
      </c>
      <c r="O6" s="7">
        <f>$B6 * IFERROR(VLOOKUP("electricity|SO2|Asthma symptoms cough", US_national_yearly!$D:$AM, 23, FALSE) / VLOOKUP("electricity|SO2|Asthma symptoms cough", US_national_yearly!$D:$AM, 10, FALSE), 1)</f>
        <v>2.5311458819728003E-4</v>
      </c>
      <c r="P6" s="7">
        <f>$B6 * IFERROR(VLOOKUP("electricity|SO2|Asthma symptoms cough", US_national_yearly!$D:$AM, 24, FALSE) / VLOOKUP("electricity|SO2|Asthma symptoms cough", US_national_yearly!$D:$AM, 10, FALSE), 1)</f>
        <v>2.5311458819728003E-4</v>
      </c>
      <c r="Q6" s="7">
        <f>$B6 * IFERROR(VLOOKUP("electricity|SO2|Asthma symptoms cough", US_national_yearly!$D:$AM, 25, FALSE) / VLOOKUP("electricity|SO2|Asthma symptoms cough", US_national_yearly!$D:$AM, 10, FALSE), 1)</f>
        <v>2.5311458819728003E-4</v>
      </c>
      <c r="R6" s="7">
        <f>$B6 * IFERROR(VLOOKUP("electricity|SO2|Asthma symptoms cough", US_national_yearly!$D:$AM, 26, FALSE) / VLOOKUP("electricity|SO2|Asthma symptoms cough", US_national_yearly!$D:$AM, 10, FALSE), 1)</f>
        <v>2.5311458819728003E-4</v>
      </c>
      <c r="S6" s="7">
        <f>$B6 * IFERROR(VLOOKUP("electricity|SO2|Asthma symptoms cough", US_national_yearly!$D:$AM, 27, FALSE) / VLOOKUP("electricity|SO2|Asthma symptoms cough", US_national_yearly!$D:$AM, 10, FALSE), 1)</f>
        <v>2.5311458819728003E-4</v>
      </c>
      <c r="T6" s="7">
        <f>$B6 * IFERROR(VLOOKUP("electricity|SO2|Asthma symptoms cough", US_national_yearly!$D:$AM, 28, FALSE) / VLOOKUP("electricity|SO2|Asthma symptoms cough", US_national_yearly!$D:$AM, 10, FALSE), 1)</f>
        <v>2.5311458819728003E-4</v>
      </c>
      <c r="U6" s="7">
        <f>$B6 * IFERROR(VLOOKUP("electricity|SO2|Asthma symptoms cough", US_national_yearly!$D:$AM, 29, FALSE) / VLOOKUP("electricity|SO2|Asthma symptoms cough", US_national_yearly!$D:$AM, 10, FALSE), 1)</f>
        <v>2.5311458819728003E-4</v>
      </c>
      <c r="V6" s="7">
        <f>$B6 * IFERROR(VLOOKUP("electricity|SO2|Asthma symptoms cough", US_national_yearly!$D:$AM, 30, FALSE) / VLOOKUP("electricity|SO2|Asthma symptoms cough", US_national_yearly!$D:$AM, 10, FALSE), 1)</f>
        <v>2.5311458819728003E-4</v>
      </c>
      <c r="W6" s="7">
        <f>$B6 * IFERROR(VLOOKUP("electricity|SO2|Asthma symptoms cough", US_national_yearly!$D:$AM, 31, FALSE) / VLOOKUP("electricity|SO2|Asthma symptoms cough", US_national_yearly!$D:$AM, 10, FALSE), 1)</f>
        <v>2.5311458819728003E-4</v>
      </c>
      <c r="X6" s="7">
        <f>$B6 * IFERROR(VLOOKUP("electricity|SO2|Asthma symptoms cough", US_national_yearly!$D:$AM, 32, FALSE) / VLOOKUP("electricity|SO2|Asthma symptoms cough", US_national_yearly!$D:$AM, 10, FALSE), 1)</f>
        <v>2.5311458819728003E-4</v>
      </c>
      <c r="Y6" s="7">
        <f>$B6 * IFERROR(VLOOKUP("electricity|SO2|Asthma symptoms cough", US_national_yearly!$D:$AM, 33, FALSE) / VLOOKUP("electricity|SO2|Asthma symptoms cough", US_national_yearly!$D:$AM, 10, FALSE), 1)</f>
        <v>2.5311458819728003E-4</v>
      </c>
      <c r="Z6" s="7">
        <f>$B6 * IFERROR(VLOOKUP("electricity|SO2|Asthma symptoms cough", US_national_yearly!$D:$AM, 34, FALSE) / VLOOKUP("electricity|SO2|Asthma symptoms cough", US_national_yearly!$D:$AM, 10, FALSE), 1)</f>
        <v>2.5311458819728003E-4</v>
      </c>
      <c r="AA6" s="7">
        <f>$B6 * IFERROR(VLOOKUP("electricity|SO2|Asthma symptoms cough", US_national_yearly!$D:$AM, 35, FALSE) / VLOOKUP("electricity|SO2|Asthma symptoms cough", US_national_yearly!$D:$AM, 10, FALSE), 1)</f>
        <v>2.5311458819728003E-4</v>
      </c>
      <c r="AB6" s="7">
        <f>$B6 * IFERROR(VLOOKUP("electricity|SO2|Asthma symptoms cough", US_national_yearly!$D:$AM, 36, FALSE) / VLOOKUP("electricity|SO2|Asthma symptoms cough", US_national_yearly!$D:$AM, 10, FALSE), 1)</f>
        <v>2.5311458819728003E-4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3.4085421602686358E-4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3.4085421602686358E-4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3.4085421602686358E-4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3.4085421602686358E-4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3.4085421602686358E-4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3.4085421602686358E-4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3.4085421602686358E-4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3.4085421602686358E-4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3.4085421602686358E-4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3.4085421602686358E-4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3.4085421602686358E-4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3.4085421602686358E-4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3.4085421602686358E-4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3.4085421602686358E-4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3.4085421602686358E-4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3.4085421602686358E-4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3.4085421602686358E-4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3.4085421602686358E-4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3.4085421602686358E-4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3.4085421602686358E-4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3.4085421602686358E-4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3.4085421602686358E-4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3.4085421602686358E-4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3.4085421602686358E-4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3.4085421602686358E-4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3.4085421602686358E-4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3.4085421602686358E-4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5.2077212943669147E-4</v>
      </c>
      <c r="C8" s="7">
        <f>$B8 * IFERROR(VLOOKUP("electricity|SO2|Asthma symptoms wheeze", US_national_yearly!$D:$AM, 11, FALSE) / VLOOKUP("electricity|SO2|Asthma symptoms wheeze", US_national_yearly!$D:$AM, 10, FALSE), 1)</f>
        <v>5.2077212943669147E-4</v>
      </c>
      <c r="D8" s="7">
        <f>$B8 * IFERROR(VLOOKUP("electricity|SO2|Asthma symptoms wheeze", US_national_yearly!$D:$AM, 12, FALSE) / VLOOKUP("electricity|SO2|Asthma symptoms wheeze", US_national_yearly!$D:$AM, 10, FALSE), 1)</f>
        <v>5.2077212943669147E-4</v>
      </c>
      <c r="E8" s="7">
        <f>$B8 * IFERROR(VLOOKUP("electricity|SO2|Asthma symptoms wheeze", US_national_yearly!$D:$AM, 13, FALSE) / VLOOKUP("electricity|SO2|Asthma symptoms wheeze", US_national_yearly!$D:$AM, 10, FALSE), 1)</f>
        <v>5.2077212943669147E-4</v>
      </c>
      <c r="F8" s="7">
        <f>$B8 * IFERROR(VLOOKUP("electricity|SO2|Asthma symptoms wheeze", US_national_yearly!$D:$AM, 14, FALSE) / VLOOKUP("electricity|SO2|Asthma symptoms wheeze", US_national_yearly!$D:$AM, 10, FALSE), 1)</f>
        <v>5.2077212943669147E-4</v>
      </c>
      <c r="G8" s="7">
        <f>$B8 * IFERROR(VLOOKUP("electricity|SO2|Asthma symptoms wheeze", US_national_yearly!$D:$AM, 15, FALSE) / VLOOKUP("electricity|SO2|Asthma symptoms wheeze", US_national_yearly!$D:$AM, 10, FALSE), 1)</f>
        <v>5.2077212943669147E-4</v>
      </c>
      <c r="H8" s="7">
        <f>$B8 * IFERROR(VLOOKUP("electricity|SO2|Asthma symptoms wheeze", US_national_yearly!$D:$AM, 16, FALSE) / VLOOKUP("electricity|SO2|Asthma symptoms wheeze", US_national_yearly!$D:$AM, 10, FALSE), 1)</f>
        <v>5.2077212943669147E-4</v>
      </c>
      <c r="I8" s="7">
        <f>$B8 * IFERROR(VLOOKUP("electricity|SO2|Asthma symptoms wheeze", US_national_yearly!$D:$AM, 17, FALSE) / VLOOKUP("electricity|SO2|Asthma symptoms wheeze", US_national_yearly!$D:$AM, 10, FALSE), 1)</f>
        <v>5.2077212943669147E-4</v>
      </c>
      <c r="J8" s="7">
        <f>$B8 * IFERROR(VLOOKUP("electricity|SO2|Asthma symptoms wheeze", US_national_yearly!$D:$AM, 18, FALSE) / VLOOKUP("electricity|SO2|Asthma symptoms wheeze", US_national_yearly!$D:$AM, 10, FALSE), 1)</f>
        <v>5.2077212943669147E-4</v>
      </c>
      <c r="K8" s="7">
        <f>$B8 * IFERROR(VLOOKUP("electricity|SO2|Asthma symptoms wheeze", US_national_yearly!$D:$AM, 19, FALSE) / VLOOKUP("electricity|SO2|Asthma symptoms wheeze", US_national_yearly!$D:$AM, 10, FALSE), 1)</f>
        <v>5.2077212943669147E-4</v>
      </c>
      <c r="L8" s="7">
        <f>$B8 * IFERROR(VLOOKUP("electricity|SO2|Asthma symptoms wheeze", US_national_yearly!$D:$AM, 20, FALSE) / VLOOKUP("electricity|SO2|Asthma symptoms wheeze", US_national_yearly!$D:$AM, 10, FALSE), 1)</f>
        <v>5.2077212943669147E-4</v>
      </c>
      <c r="M8" s="7">
        <f>$B8 * IFERROR(VLOOKUP("electricity|SO2|Asthma symptoms wheeze", US_national_yearly!$D:$AM, 21, FALSE) / VLOOKUP("electricity|SO2|Asthma symptoms wheeze", US_national_yearly!$D:$AM, 10, FALSE), 1)</f>
        <v>5.2077212943669147E-4</v>
      </c>
      <c r="N8" s="7">
        <f>$B8 * IFERROR(VLOOKUP("electricity|SO2|Asthma symptoms wheeze", US_national_yearly!$D:$AM, 22, FALSE) / VLOOKUP("electricity|SO2|Asthma symptoms wheeze", US_national_yearly!$D:$AM, 10, FALSE), 1)</f>
        <v>5.2077212943669147E-4</v>
      </c>
      <c r="O8" s="7">
        <f>$B8 * IFERROR(VLOOKUP("electricity|SO2|Asthma symptoms wheeze", US_national_yearly!$D:$AM, 23, FALSE) / VLOOKUP("electricity|SO2|Asthma symptoms wheeze", US_national_yearly!$D:$AM, 10, FALSE), 1)</f>
        <v>5.2077212943669147E-4</v>
      </c>
      <c r="P8" s="7">
        <f>$B8 * IFERROR(VLOOKUP("electricity|SO2|Asthma symptoms wheeze", US_national_yearly!$D:$AM, 24, FALSE) / VLOOKUP("electricity|SO2|Asthma symptoms wheeze", US_national_yearly!$D:$AM, 10, FALSE), 1)</f>
        <v>5.2077212943669147E-4</v>
      </c>
      <c r="Q8" s="7">
        <f>$B8 * IFERROR(VLOOKUP("electricity|SO2|Asthma symptoms wheeze", US_national_yearly!$D:$AM, 25, FALSE) / VLOOKUP("electricity|SO2|Asthma symptoms wheeze", US_national_yearly!$D:$AM, 10, FALSE), 1)</f>
        <v>5.2077212943669147E-4</v>
      </c>
      <c r="R8" s="7">
        <f>$B8 * IFERROR(VLOOKUP("electricity|SO2|Asthma symptoms wheeze", US_national_yearly!$D:$AM, 26, FALSE) / VLOOKUP("electricity|SO2|Asthma symptoms wheeze", US_national_yearly!$D:$AM, 10, FALSE), 1)</f>
        <v>5.2077212943669147E-4</v>
      </c>
      <c r="S8" s="7">
        <f>$B8 * IFERROR(VLOOKUP("electricity|SO2|Asthma symptoms wheeze", US_national_yearly!$D:$AM, 27, FALSE) / VLOOKUP("electricity|SO2|Asthma symptoms wheeze", US_national_yearly!$D:$AM, 10, FALSE), 1)</f>
        <v>5.2077212943669147E-4</v>
      </c>
      <c r="T8" s="7">
        <f>$B8 * IFERROR(VLOOKUP("electricity|SO2|Asthma symptoms wheeze", US_national_yearly!$D:$AM, 28, FALSE) / VLOOKUP("electricity|SO2|Asthma symptoms wheeze", US_national_yearly!$D:$AM, 10, FALSE), 1)</f>
        <v>5.2077212943669147E-4</v>
      </c>
      <c r="U8" s="7">
        <f>$B8 * IFERROR(VLOOKUP("electricity|SO2|Asthma symptoms wheeze", US_national_yearly!$D:$AM, 29, FALSE) / VLOOKUP("electricity|SO2|Asthma symptoms wheeze", US_national_yearly!$D:$AM, 10, FALSE), 1)</f>
        <v>5.2077212943669147E-4</v>
      </c>
      <c r="V8" s="7">
        <f>$B8 * IFERROR(VLOOKUP("electricity|SO2|Asthma symptoms wheeze", US_national_yearly!$D:$AM, 30, FALSE) / VLOOKUP("electricity|SO2|Asthma symptoms wheeze", US_national_yearly!$D:$AM, 10, FALSE), 1)</f>
        <v>5.2077212943669147E-4</v>
      </c>
      <c r="W8" s="7">
        <f>$B8 * IFERROR(VLOOKUP("electricity|SO2|Asthma symptoms wheeze", US_national_yearly!$D:$AM, 31, FALSE) / VLOOKUP("electricity|SO2|Asthma symptoms wheeze", US_national_yearly!$D:$AM, 10, FALSE), 1)</f>
        <v>5.2077212943669147E-4</v>
      </c>
      <c r="X8" s="7">
        <f>$B8 * IFERROR(VLOOKUP("electricity|SO2|Asthma symptoms wheeze", US_national_yearly!$D:$AM, 32, FALSE) / VLOOKUP("electricity|SO2|Asthma symptoms wheeze", US_national_yearly!$D:$AM, 10, FALSE), 1)</f>
        <v>5.2077212943669147E-4</v>
      </c>
      <c r="Y8" s="7">
        <f>$B8 * IFERROR(VLOOKUP("electricity|SO2|Asthma symptoms wheeze", US_national_yearly!$D:$AM, 33, FALSE) / VLOOKUP("electricity|SO2|Asthma symptoms wheeze", US_national_yearly!$D:$AM, 10, FALSE), 1)</f>
        <v>5.2077212943669147E-4</v>
      </c>
      <c r="Z8" s="7">
        <f>$B8 * IFERROR(VLOOKUP("electricity|SO2|Asthma symptoms wheeze", US_national_yearly!$D:$AM, 34, FALSE) / VLOOKUP("electricity|SO2|Asthma symptoms wheeze", US_national_yearly!$D:$AM, 10, FALSE), 1)</f>
        <v>5.2077212943669147E-4</v>
      </c>
      <c r="AA8" s="7">
        <f>$B8 * IFERROR(VLOOKUP("electricity|SO2|Asthma symptoms wheeze", US_national_yearly!$D:$AM, 35, FALSE) / VLOOKUP("electricity|SO2|Asthma symptoms wheeze", US_national_yearly!$D:$AM, 10, FALSE), 1)</f>
        <v>5.2077212943669147E-4</v>
      </c>
      <c r="AB8" s="7">
        <f>$B8 * IFERROR(VLOOKUP("electricity|SO2|Asthma symptoms wheeze", US_national_yearly!$D:$AM, 36, FALSE) / VLOOKUP("electricity|SO2|Asthma symptoms wheeze", US_national_yearly!$D:$AM, 10, FALSE), 1)</f>
        <v>5.2077212943669147E-4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1.1215053121164797E-5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1.1281105644766424E-5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1.1347158168368051E-5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1.1413210691969678E-5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1.1479263215571307E-5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1.1551240357487768E-5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1.1623217499404233E-5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1.1692460561817266E-5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1.1761703624230303E-5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1.183094668664334E-5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1.1900189749056373E-5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1.196943281146941E-5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1.2019098118259958E-5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1.206876342505051E-5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1.211842873184106E-5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1.2168094038631609E-5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1.221775934542216E-5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1.2264636084340651E-5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1.2311512823259143E-5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1.2358389562177632E-5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1.2405266301096126E-5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1.2452143040014619E-5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1.2497113158559042E-5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1.2542083277103469E-5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1.2587053395647897E-5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1.263202351419232E-5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1.2676993632736747E-5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4.4143987780817943E-5</v>
      </c>
      <c r="C13" s="7">
        <f>$B13 * IFERROR(VLOOKUP("electricity|SO2|Non-fatal heart attacks", US_national_yearly!$D:$AM, 11, FALSE) / VLOOKUP("electricity|SO2|Non-fatal heart attacks", US_national_yearly!$D:$AM, 10, FALSE), 1)</f>
        <v>4.5444274081667851E-5</v>
      </c>
      <c r="D13" s="7">
        <f>$B13 * IFERROR(VLOOKUP("electricity|SO2|Non-fatal heart attacks", US_national_yearly!$D:$AM, 12, FALSE) / VLOOKUP("electricity|SO2|Non-fatal heart attacks", US_national_yearly!$D:$AM, 10, FALSE), 1)</f>
        <v>4.6744560382517745E-5</v>
      </c>
      <c r="E13" s="7">
        <f>$B13 * IFERROR(VLOOKUP("electricity|SO2|Non-fatal heart attacks", US_national_yearly!$D:$AM, 13, FALSE) / VLOOKUP("electricity|SO2|Non-fatal heart attacks", US_national_yearly!$D:$AM, 10, FALSE), 1)</f>
        <v>4.8044846683367652E-5</v>
      </c>
      <c r="F13" s="7">
        <f>$B13 * IFERROR(VLOOKUP("electricity|SO2|Non-fatal heart attacks", US_national_yearly!$D:$AM, 14, FALSE) / VLOOKUP("electricity|SO2|Non-fatal heart attacks", US_national_yearly!$D:$AM, 10, FALSE), 1)</f>
        <v>4.9345132984217553E-5</v>
      </c>
      <c r="G13" s="7">
        <f>$B13 * IFERROR(VLOOKUP("electricity|SO2|Non-fatal heart attacks", US_national_yearly!$D:$AM, 15, FALSE) / VLOOKUP("electricity|SO2|Non-fatal heart attacks", US_national_yearly!$D:$AM, 10, FALSE), 1)</f>
        <v>5.0579143696296803E-5</v>
      </c>
      <c r="H13" s="7">
        <f>$B13 * IFERROR(VLOOKUP("electricity|SO2|Non-fatal heart attacks", US_national_yearly!$D:$AM, 16, FALSE) / VLOOKUP("electricity|SO2|Non-fatal heart attacks", US_national_yearly!$D:$AM, 10, FALSE), 1)</f>
        <v>5.1813154408376052E-5</v>
      </c>
      <c r="I13" s="7">
        <f>$B13 * IFERROR(VLOOKUP("electricity|SO2|Non-fatal heart attacks", US_national_yearly!$D:$AM, 17, FALSE) / VLOOKUP("electricity|SO2|Non-fatal heart attacks", US_national_yearly!$D:$AM, 10, FALSE), 1)</f>
        <v>5.2818114886311505E-5</v>
      </c>
      <c r="J13" s="7">
        <f>$B13 * IFERROR(VLOOKUP("electricity|SO2|Non-fatal heart attacks", US_national_yearly!$D:$AM, 18, FALSE) / VLOOKUP("electricity|SO2|Non-fatal heart attacks", US_national_yearly!$D:$AM, 10, FALSE), 1)</f>
        <v>5.382307536424695E-5</v>
      </c>
      <c r="K13" s="7">
        <f>$B13 * IFERROR(VLOOKUP("electricity|SO2|Non-fatal heart attacks", US_national_yearly!$D:$AM, 19, FALSE) / VLOOKUP("electricity|SO2|Non-fatal heart attacks", US_national_yearly!$D:$AM, 10, FALSE), 1)</f>
        <v>5.4828035842182403E-5</v>
      </c>
      <c r="L13" s="7">
        <f>$B13 * IFERROR(VLOOKUP("electricity|SO2|Non-fatal heart attacks", US_national_yearly!$D:$AM, 20, FALSE) / VLOOKUP("electricity|SO2|Non-fatal heart attacks", US_national_yearly!$D:$AM, 10, FALSE), 1)</f>
        <v>5.5832996320117842E-5</v>
      </c>
      <c r="M13" s="7">
        <f>$B13 * IFERROR(VLOOKUP("electricity|SO2|Non-fatal heart attacks", US_national_yearly!$D:$AM, 21, FALSE) / VLOOKUP("electricity|SO2|Non-fatal heart attacks", US_national_yearly!$D:$AM, 10, FALSE), 1)</f>
        <v>5.6837956798053294E-5</v>
      </c>
      <c r="N13" s="7">
        <f>$B13 * IFERROR(VLOOKUP("electricity|SO2|Non-fatal heart attacks", US_national_yearly!$D:$AM, 22, FALSE) / VLOOKUP("electricity|SO2|Non-fatal heart attacks", US_national_yearly!$D:$AM, 10, FALSE), 1)</f>
        <v>5.7500680921273632E-5</v>
      </c>
      <c r="O13" s="7">
        <f>$B13 * IFERROR(VLOOKUP("electricity|SO2|Non-fatal heart attacks", US_national_yearly!$D:$AM, 23, FALSE) / VLOOKUP("electricity|SO2|Non-fatal heart attacks", US_national_yearly!$D:$AM, 10, FALSE), 1)</f>
        <v>5.8163405044493963E-5</v>
      </c>
      <c r="P13" s="7">
        <f>$B13 * IFERROR(VLOOKUP("electricity|SO2|Non-fatal heart attacks", US_national_yearly!$D:$AM, 24, FALSE) / VLOOKUP("electricity|SO2|Non-fatal heart attacks", US_national_yearly!$D:$AM, 10, FALSE), 1)</f>
        <v>5.8826129167714301E-5</v>
      </c>
      <c r="Q13" s="7">
        <f>$B13 * IFERROR(VLOOKUP("electricity|SO2|Non-fatal heart attacks", US_national_yearly!$D:$AM, 25, FALSE) / VLOOKUP("electricity|SO2|Non-fatal heart attacks", US_national_yearly!$D:$AM, 10, FALSE), 1)</f>
        <v>5.9488853290934639E-5</v>
      </c>
      <c r="R13" s="7">
        <f>$B13 * IFERROR(VLOOKUP("electricity|SO2|Non-fatal heart attacks", US_national_yearly!$D:$AM, 26, FALSE) / VLOOKUP("electricity|SO2|Non-fatal heart attacks", US_national_yearly!$D:$AM, 10, FALSE), 1)</f>
        <v>6.0151577414154976E-5</v>
      </c>
      <c r="S13" s="7">
        <f>$B13 * IFERROR(VLOOKUP("electricity|SO2|Non-fatal heart attacks", US_national_yearly!$D:$AM, 27, FALSE) / VLOOKUP("electricity|SO2|Non-fatal heart attacks", US_national_yearly!$D:$AM, 10, FALSE), 1)</f>
        <v>6.05122161111489E-5</v>
      </c>
      <c r="T13" s="7">
        <f>$B13 * IFERROR(VLOOKUP("electricity|SO2|Non-fatal heart attacks", US_national_yearly!$D:$AM, 28, FALSE) / VLOOKUP("electricity|SO2|Non-fatal heart attacks", US_national_yearly!$D:$AM, 10, FALSE), 1)</f>
        <v>6.0872854808142838E-5</v>
      </c>
      <c r="U13" s="7">
        <f>$B13 * IFERROR(VLOOKUP("electricity|SO2|Non-fatal heart attacks", US_national_yearly!$D:$AM, 29, FALSE) / VLOOKUP("electricity|SO2|Non-fatal heart attacks", US_national_yearly!$D:$AM, 10, FALSE), 1)</f>
        <v>6.1233493505136768E-5</v>
      </c>
      <c r="V13" s="7">
        <f>$B13 * IFERROR(VLOOKUP("electricity|SO2|Non-fatal heart attacks", US_national_yearly!$D:$AM, 30, FALSE) / VLOOKUP("electricity|SO2|Non-fatal heart attacks", US_national_yearly!$D:$AM, 10, FALSE), 1)</f>
        <v>6.1594132202130692E-5</v>
      </c>
      <c r="W13" s="7">
        <f>$B13 * IFERROR(VLOOKUP("electricity|SO2|Non-fatal heart attacks", US_national_yearly!$D:$AM, 31, FALSE) / VLOOKUP("electricity|SO2|Non-fatal heart attacks", US_national_yearly!$D:$AM, 10, FALSE), 1)</f>
        <v>6.1954770899124616E-5</v>
      </c>
      <c r="X13" s="7">
        <f>$B13 * IFERROR(VLOOKUP("electricity|SO2|Non-fatal heart attacks", US_national_yearly!$D:$AM, 32, FALSE) / VLOOKUP("electricity|SO2|Non-fatal heart attacks", US_national_yearly!$D:$AM, 10, FALSE), 1)</f>
        <v>6.2231801625574712E-5</v>
      </c>
      <c r="Y13" s="7">
        <f>$B13 * IFERROR(VLOOKUP("electricity|SO2|Non-fatal heart attacks", US_national_yearly!$D:$AM, 33, FALSE) / VLOOKUP("electricity|SO2|Non-fatal heart attacks", US_national_yearly!$D:$AM, 10, FALSE), 1)</f>
        <v>6.250883235202482E-5</v>
      </c>
      <c r="Z13" s="7">
        <f>$B13 * IFERROR(VLOOKUP("electricity|SO2|Non-fatal heart attacks", US_national_yearly!$D:$AM, 34, FALSE) / VLOOKUP("electricity|SO2|Non-fatal heart attacks", US_national_yearly!$D:$AM, 10, FALSE), 1)</f>
        <v>6.2785863078474902E-5</v>
      </c>
      <c r="AA13" s="7">
        <f>$B13 * IFERROR(VLOOKUP("electricity|SO2|Non-fatal heart attacks", US_national_yearly!$D:$AM, 35, FALSE) / VLOOKUP("electricity|SO2|Non-fatal heart attacks", US_national_yearly!$D:$AM, 10, FALSE), 1)</f>
        <v>6.3062893804925011E-5</v>
      </c>
      <c r="AB13" s="7">
        <f>$B13 * IFERROR(VLOOKUP("electricity|SO2|Non-fatal heart attacks", US_national_yearly!$D:$AM, 36, FALSE) / VLOOKUP("electricity|SO2|Non-fatal heart attacks", US_national_yearly!$D:$AM, 10, FALSE), 1)</f>
        <v>6.3339924531375107E-5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3.5020625919243868E-2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3.5108631076881051E-2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3.5196636234518235E-2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3.5284641392155425E-2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3.5372646549792601E-2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3.5499794976438244E-2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3.5626943403083887E-2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3.5845012744089293E-2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3.6063082085094705E-2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3.6281151426100111E-2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3.6499220767105531E-2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3.6717290108110937E-2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3.7017603090234261E-2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3.7317916072357571E-2</v>
      </c>
      <c r="P14" s="7">
        <f>$B14 * IFERROR(VLOOKUP("electricity|SO2|Minor restricted activity days", US_national_yearly!$D:$AM, 24, FALSE) / VLOOKUP("electricity|SO2|Minor restricted activity days", US_national_yearly!$D:$AM, 10, FALSE), 1)</f>
        <v>3.7618229054480888E-2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3.7918542036604205E-2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3.8218855018727522E-2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3.8526723172328886E-2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3.883459132593025E-2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3.9142459479531599E-2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3.9450327633132963E-2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3.9758195786734327E-2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4.0029086020341775E-2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4.0299976253949217E-2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4.0570866487556659E-2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4.0841756721164107E-2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4.1112646954771549E-2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5.8874999587137673E-3</v>
      </c>
      <c r="C15" s="7">
        <f>$B15 * IFERROR(VLOOKUP("electricity|SO2|Work loss days", US_national_yearly!$D:$AM, 11, FALSE) / VLOOKUP("electricity|SO2|Work loss days", US_national_yearly!$D:$AM, 10, FALSE), 1)</f>
        <v>5.9065638616367568E-3</v>
      </c>
      <c r="D15" s="7">
        <f>$B15 * IFERROR(VLOOKUP("electricity|SO2|Work loss days", US_national_yearly!$D:$AM, 12, FALSE) / VLOOKUP("electricity|SO2|Work loss days", US_national_yearly!$D:$AM, 10, FALSE), 1)</f>
        <v>5.9256277645597455E-3</v>
      </c>
      <c r="E15" s="7">
        <f>$B15 * IFERROR(VLOOKUP("electricity|SO2|Work loss days", US_national_yearly!$D:$AM, 13, FALSE) / VLOOKUP("electricity|SO2|Work loss days", US_national_yearly!$D:$AM, 10, FALSE), 1)</f>
        <v>5.9446916674827368E-3</v>
      </c>
      <c r="F15" s="7">
        <f>$B15 * IFERROR(VLOOKUP("electricity|SO2|Work loss days", US_national_yearly!$D:$AM, 14, FALSE) / VLOOKUP("electricity|SO2|Work loss days", US_national_yearly!$D:$AM, 10, FALSE), 1)</f>
        <v>5.9637555704057255E-3</v>
      </c>
      <c r="G15" s="7">
        <f>$B15 * IFERROR(VLOOKUP("electricity|SO2|Work loss days", US_national_yearly!$D:$AM, 15, FALSE) / VLOOKUP("electricity|SO2|Work loss days", US_national_yearly!$D:$AM, 10, FALSE), 1)</f>
        <v>5.9881776113247737E-3</v>
      </c>
      <c r="H15" s="7">
        <f>$B15 * IFERROR(VLOOKUP("electricity|SO2|Work loss days", US_national_yearly!$D:$AM, 16, FALSE) / VLOOKUP("electricity|SO2|Work loss days", US_national_yearly!$D:$AM, 10, FALSE), 1)</f>
        <v>6.012599652243821E-3</v>
      </c>
      <c r="I15" s="7">
        <f>$B15 * IFERROR(VLOOKUP("electricity|SO2|Work loss days", US_national_yearly!$D:$AM, 17, FALSE) / VLOOKUP("electricity|SO2|Work loss days", US_national_yearly!$D:$AM, 10, FALSE), 1)</f>
        <v>6.0483319708500771E-3</v>
      </c>
      <c r="J15" s="7">
        <f>$B15 * IFERROR(VLOOKUP("electricity|SO2|Work loss days", US_national_yearly!$D:$AM, 18, FALSE) / VLOOKUP("electricity|SO2|Work loss days", US_national_yearly!$D:$AM, 10, FALSE), 1)</f>
        <v>6.0840642894563314E-3</v>
      </c>
      <c r="K15" s="7">
        <f>$B15 * IFERROR(VLOOKUP("electricity|SO2|Work loss days", US_national_yearly!$D:$AM, 19, FALSE) / VLOOKUP("electricity|SO2|Work loss days", US_national_yearly!$D:$AM, 10, FALSE), 1)</f>
        <v>6.1197966080625884E-3</v>
      </c>
      <c r="L15" s="7">
        <f>$B15 * IFERROR(VLOOKUP("electricity|SO2|Work loss days", US_national_yearly!$D:$AM, 20, FALSE) / VLOOKUP("electricity|SO2|Work loss days", US_national_yearly!$D:$AM, 10, FALSE), 1)</f>
        <v>6.1555289266688427E-3</v>
      </c>
      <c r="M15" s="7">
        <f>$B15 * IFERROR(VLOOKUP("electricity|SO2|Work loss days", US_national_yearly!$D:$AM, 21, FALSE) / VLOOKUP("electricity|SO2|Work loss days", US_national_yearly!$D:$AM, 10, FALSE), 1)</f>
        <v>6.1912612452750997E-3</v>
      </c>
      <c r="N15" s="7">
        <f>$B15 * IFERROR(VLOOKUP("electricity|SO2|Work loss days", US_national_yearly!$D:$AM, 22, FALSE) / VLOOKUP("electricity|SO2|Work loss days", US_national_yearly!$D:$AM, 10, FALSE), 1)</f>
        <v>6.236471514733867E-3</v>
      </c>
      <c r="O15" s="7">
        <f>$B15 * IFERROR(VLOOKUP("electricity|SO2|Work loss days", US_national_yearly!$D:$AM, 23, FALSE) / VLOOKUP("electricity|SO2|Work loss days", US_national_yearly!$D:$AM, 10, FALSE), 1)</f>
        <v>6.2816817841926352E-3</v>
      </c>
      <c r="P15" s="7">
        <f>$B15 * IFERROR(VLOOKUP("electricity|SO2|Work loss days", US_national_yearly!$D:$AM, 24, FALSE) / VLOOKUP("electricity|SO2|Work loss days", US_national_yearly!$D:$AM, 10, FALSE), 1)</f>
        <v>6.3268920536514025E-3</v>
      </c>
      <c r="Q15" s="7">
        <f>$B15 * IFERROR(VLOOKUP("electricity|SO2|Work loss days", US_national_yearly!$D:$AM, 25, FALSE) / VLOOKUP("electricity|SO2|Work loss days", US_national_yearly!$D:$AM, 10, FALSE), 1)</f>
        <v>6.3721023231101698E-3</v>
      </c>
      <c r="R15" s="7">
        <f>$B15 * IFERROR(VLOOKUP("electricity|SO2|Work loss days", US_national_yearly!$D:$AM, 26, FALSE) / VLOOKUP("electricity|SO2|Work loss days", US_national_yearly!$D:$AM, 10, FALSE), 1)</f>
        <v>6.417312592568938E-3</v>
      </c>
      <c r="S15" s="7">
        <f>$B15 * IFERROR(VLOOKUP("electricity|SO2|Work loss days", US_national_yearly!$D:$AM, 27, FALSE) / VLOOKUP("electricity|SO2|Work loss days", US_national_yearly!$D:$AM, 10, FALSE), 1)</f>
        <v>6.4679975235217933E-3</v>
      </c>
      <c r="T15" s="7">
        <f>$B15 * IFERROR(VLOOKUP("electricity|SO2|Work loss days", US_national_yearly!$D:$AM, 28, FALSE) / VLOOKUP("electricity|SO2|Work loss days", US_national_yearly!$D:$AM, 10, FALSE), 1)</f>
        <v>6.5186824544746494E-3</v>
      </c>
      <c r="U15" s="7">
        <f>$B15 * IFERROR(VLOOKUP("electricity|SO2|Work loss days", US_national_yearly!$D:$AM, 29, FALSE) / VLOOKUP("electricity|SO2|Work loss days", US_national_yearly!$D:$AM, 10, FALSE), 1)</f>
        <v>6.5693673854275055E-3</v>
      </c>
      <c r="V15" s="7">
        <f>$B15 * IFERROR(VLOOKUP("electricity|SO2|Work loss days", US_national_yearly!$D:$AM, 30, FALSE) / VLOOKUP("electricity|SO2|Work loss days", US_national_yearly!$D:$AM, 10, FALSE), 1)</f>
        <v>6.6200523163803624E-3</v>
      </c>
      <c r="W15" s="7">
        <f>$B15 * IFERROR(VLOOKUP("electricity|SO2|Work loss days", US_national_yearly!$D:$AM, 31, FALSE) / VLOOKUP("electricity|SO2|Work loss days", US_national_yearly!$D:$AM, 10, FALSE), 1)</f>
        <v>6.6707372473332185E-3</v>
      </c>
      <c r="X15" s="7">
        <f>$B15 * IFERROR(VLOOKUP("electricity|SO2|Work loss days", US_national_yearly!$D:$AM, 32, FALSE) / VLOOKUP("electricity|SO2|Work loss days", US_national_yearly!$D:$AM, 10, FALSE), 1)</f>
        <v>6.7163993570843643E-3</v>
      </c>
      <c r="Y15" s="7">
        <f>$B15 * IFERROR(VLOOKUP("electricity|SO2|Work loss days", US_national_yearly!$D:$AM, 33, FALSE) / VLOOKUP("electricity|SO2|Work loss days", US_national_yearly!$D:$AM, 10, FALSE), 1)</f>
        <v>6.7620614668355101E-3</v>
      </c>
      <c r="Z15" s="7">
        <f>$B15 * IFERROR(VLOOKUP("electricity|SO2|Work loss days", US_national_yearly!$D:$AM, 34, FALSE) / VLOOKUP("electricity|SO2|Work loss days", US_national_yearly!$D:$AM, 10, FALSE), 1)</f>
        <v>6.8077235765866542E-3</v>
      </c>
      <c r="AA15" s="7">
        <f>$B15 * IFERROR(VLOOKUP("electricity|SO2|Work loss days", US_national_yearly!$D:$AM, 35, FALSE) / VLOOKUP("electricity|SO2|Work loss days", US_national_yearly!$D:$AM, 10, FALSE), 1)</f>
        <v>6.8533856863378E-3</v>
      </c>
      <c r="AB15" s="7">
        <f>$B15 * IFERROR(VLOOKUP("electricity|SO2|Work loss days", US_national_yearly!$D:$AM, 36, FALSE) / VLOOKUP("electricity|SO2|Work loss days", US_national_yearly!$D:$AM, 10, FALSE), 1)</f>
        <v>6.8990477960889449E-3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1.029845362704731E-5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1.0610525399814851E-5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1.0922597172582392E-5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1.1234668945349935E-5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1.1546740718117477E-5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1.1847558021368414E-5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1.2148375324619352E-5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1.2408805059175266E-5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1.266923479373118E-5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1.2929664528287094E-5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1.3190094262843005E-5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1.3450523997398919E-5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1.3628266596897352E-5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1.3806009196395781E-5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1.3983751795894216E-5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1.4161494395392647E-5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1.4339236994891078E-5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1.4436678744068161E-5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1.4534120493245241E-5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1.4631562242422322E-5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1.4729003991599402E-5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1.4826445740776481E-5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1.4893708593491322E-5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1.4960971446206157E-5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1.5028234298920996E-5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1.5095497151635833E-5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1.5162760004350672E-5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6.789191279529227E-3</v>
      </c>
      <c r="C2" s="7">
        <f>$B2 * IFERROR(VLOOKUP("buildings|PM25|Premature mortality", US_national_yearly!$D:$AM, 11, FALSE) / VLOOKUP("buildings|PM25|Premature mortality", US_national_yearly!$D:$AM, 10, FALSE), 1)</f>
        <v>6.8734233392467653E-3</v>
      </c>
      <c r="D2" s="7">
        <f>$B2 * IFERROR(VLOOKUP("buildings|PM25|Premature mortality", US_national_yearly!$D:$AM, 12, FALSE) / VLOOKUP("buildings|PM25|Premature mortality", US_national_yearly!$D:$AM, 10, FALSE), 1)</f>
        <v>6.9576553989643035E-3</v>
      </c>
      <c r="E2" s="7">
        <f>$B2 * IFERROR(VLOOKUP("buildings|PM25|Premature mortality", US_national_yearly!$D:$AM, 13, FALSE) / VLOOKUP("buildings|PM25|Premature mortality", US_national_yearly!$D:$AM, 10, FALSE), 1)</f>
        <v>7.0418874586818409E-3</v>
      </c>
      <c r="F2" s="7">
        <f>$B2 * IFERROR(VLOOKUP("buildings|PM25|Premature mortality", US_national_yearly!$D:$AM, 14, FALSE) / VLOOKUP("buildings|PM25|Premature mortality", US_national_yearly!$D:$AM, 10, FALSE), 1)</f>
        <v>7.1261195183993792E-3</v>
      </c>
      <c r="G2" s="7">
        <f>$B2 * IFERROR(VLOOKUP("buildings|PM25|Premature mortality", US_national_yearly!$D:$AM, 15, FALSE) / VLOOKUP("buildings|PM25|Premature mortality", US_national_yearly!$D:$AM, 10, FALSE), 1)</f>
        <v>7.2901366122286211E-3</v>
      </c>
      <c r="H2" s="7">
        <f>$B2 * IFERROR(VLOOKUP("buildings|PM25|Premature mortality", US_national_yearly!$D:$AM, 16, FALSE) / VLOOKUP("buildings|PM25|Premature mortality", US_national_yearly!$D:$AM, 10, FALSE), 1)</f>
        <v>7.4541537060578622E-3</v>
      </c>
      <c r="I2" s="7">
        <f>$B2 * IFERROR(VLOOKUP("buildings|PM25|Premature mortality", US_national_yearly!$D:$AM, 17, FALSE) / VLOOKUP("buildings|PM25|Premature mortality", US_national_yearly!$D:$AM, 10, FALSE), 1)</f>
        <v>7.5620249236331019E-3</v>
      </c>
      <c r="J2" s="7">
        <f>$B2 * IFERROR(VLOOKUP("buildings|PM25|Premature mortality", US_national_yearly!$D:$AM, 18, FALSE) / VLOOKUP("buildings|PM25|Premature mortality", US_national_yearly!$D:$AM, 10, FALSE), 1)</f>
        <v>7.6698961412083409E-3</v>
      </c>
      <c r="K2" s="7">
        <f>$B2 * IFERROR(VLOOKUP("buildings|PM25|Premature mortality", US_national_yearly!$D:$AM, 19, FALSE) / VLOOKUP("buildings|PM25|Premature mortality", US_national_yearly!$D:$AM, 10, FALSE), 1)</f>
        <v>7.7777673587835798E-3</v>
      </c>
      <c r="L2" s="7">
        <f>$B2 * IFERROR(VLOOKUP("buildings|PM25|Premature mortality", US_national_yearly!$D:$AM, 20, FALSE) / VLOOKUP("buildings|PM25|Premature mortality", US_national_yearly!$D:$AM, 10, FALSE), 1)</f>
        <v>7.8856385763588187E-3</v>
      </c>
      <c r="M2" s="7">
        <f>$B2 * IFERROR(VLOOKUP("buildings|PM25|Premature mortality", US_national_yearly!$D:$AM, 21, FALSE) / VLOOKUP("buildings|PM25|Premature mortality", US_national_yearly!$D:$AM, 10, FALSE), 1)</f>
        <v>7.9935097939340585E-3</v>
      </c>
      <c r="N2" s="7">
        <f>$B2 * IFERROR(VLOOKUP("buildings|PM25|Premature mortality", US_national_yearly!$D:$AM, 22, FALSE) / VLOOKUP("buildings|PM25|Premature mortality", US_national_yearly!$D:$AM, 10, FALSE), 1)</f>
        <v>8.077391654601411E-3</v>
      </c>
      <c r="O2" s="7">
        <f>$B2 * IFERROR(VLOOKUP("buildings|PM25|Premature mortality", US_national_yearly!$D:$AM, 23, FALSE) / VLOOKUP("buildings|PM25|Premature mortality", US_national_yearly!$D:$AM, 10, FALSE), 1)</f>
        <v>8.1612735152687636E-3</v>
      </c>
      <c r="P2" s="7">
        <f>$B2 * IFERROR(VLOOKUP("buildings|PM25|Premature mortality", US_national_yearly!$D:$AM, 24, FALSE) / VLOOKUP("buildings|PM25|Premature mortality", US_national_yearly!$D:$AM, 10, FALSE), 1)</f>
        <v>8.2451553759361161E-3</v>
      </c>
      <c r="Q2" s="7">
        <f>$B2 * IFERROR(VLOOKUP("buildings|PM25|Premature mortality", US_national_yearly!$D:$AM, 25, FALSE) / VLOOKUP("buildings|PM25|Premature mortality", US_national_yearly!$D:$AM, 10, FALSE), 1)</f>
        <v>8.3290372366034704E-3</v>
      </c>
      <c r="R2" s="7">
        <f>$B2 * IFERROR(VLOOKUP("buildings|PM25|Premature mortality", US_national_yearly!$D:$AM, 26, FALSE) / VLOOKUP("buildings|PM25|Premature mortality", US_national_yearly!$D:$AM, 10, FALSE), 1)</f>
        <v>8.4129190972708229E-3</v>
      </c>
      <c r="S2" s="7">
        <f>$B2 * IFERROR(VLOOKUP("buildings|PM25|Premature mortality", US_national_yearly!$D:$AM, 27, FALSE) / VLOOKUP("buildings|PM25|Premature mortality", US_national_yearly!$D:$AM, 10, FALSE), 1)</f>
        <v>8.4575031394037888E-3</v>
      </c>
      <c r="T2" s="7">
        <f>$B2 * IFERROR(VLOOKUP("buildings|PM25|Premature mortality", US_national_yearly!$D:$AM, 28, FALSE) / VLOOKUP("buildings|PM25|Premature mortality", US_national_yearly!$D:$AM, 10, FALSE), 1)</f>
        <v>8.5020871815367563E-3</v>
      </c>
      <c r="U2" s="7">
        <f>$B2 * IFERROR(VLOOKUP("buildings|PM25|Premature mortality", US_national_yearly!$D:$AM, 29, FALSE) / VLOOKUP("buildings|PM25|Premature mortality", US_national_yearly!$D:$AM, 10, FALSE), 1)</f>
        <v>8.5466712236697238E-3</v>
      </c>
      <c r="V2" s="7">
        <f>$B2 * IFERROR(VLOOKUP("buildings|PM25|Premature mortality", US_national_yearly!$D:$AM, 30, FALSE) / VLOOKUP("buildings|PM25|Premature mortality", US_national_yearly!$D:$AM, 10, FALSE), 1)</f>
        <v>8.5912552658026914E-3</v>
      </c>
      <c r="W2" s="7">
        <f>$B2 * IFERROR(VLOOKUP("buildings|PM25|Premature mortality", US_national_yearly!$D:$AM, 31, FALSE) / VLOOKUP("buildings|PM25|Premature mortality", US_national_yearly!$D:$AM, 10, FALSE), 1)</f>
        <v>8.6358393079356572E-3</v>
      </c>
      <c r="X2" s="7">
        <f>$B2 * IFERROR(VLOOKUP("buildings|PM25|Premature mortality", US_national_yearly!$D:$AM, 32, FALSE) / VLOOKUP("buildings|PM25|Premature mortality", US_national_yearly!$D:$AM, 10, FALSE), 1)</f>
        <v>8.6438417855704639E-3</v>
      </c>
      <c r="Y2" s="7">
        <f>$B2 * IFERROR(VLOOKUP("buildings|PM25|Premature mortality", US_national_yearly!$D:$AM, 33, FALSE) / VLOOKUP("buildings|PM25|Premature mortality", US_national_yearly!$D:$AM, 10, FALSE), 1)</f>
        <v>8.6518442632052706E-3</v>
      </c>
      <c r="Z2" s="7">
        <f>$B2 * IFERROR(VLOOKUP("buildings|PM25|Premature mortality", US_national_yearly!$D:$AM, 34, FALSE) / VLOOKUP("buildings|PM25|Premature mortality", US_national_yearly!$D:$AM, 10, FALSE), 1)</f>
        <v>8.6598467408400791E-3</v>
      </c>
      <c r="AA2" s="7">
        <f>$B2 * IFERROR(VLOOKUP("buildings|PM25|Premature mortality", US_national_yearly!$D:$AM, 35, FALSE) / VLOOKUP("buildings|PM25|Premature mortality", US_national_yearly!$D:$AM, 10, FALSE), 1)</f>
        <v>8.6678492184748858E-3</v>
      </c>
      <c r="AB2" s="7">
        <f>$B2 * IFERROR(VLOOKUP("buildings|PM25|Premature mortality", US_national_yearly!$D:$AM, 36, FALSE) / VLOOKUP("buildings|PM25|Premature mortality", US_national_yearly!$D:$AM, 10, FALSE), 1)</f>
        <v>8.6758516961096925E-3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1.1369227473954165E-5</v>
      </c>
      <c r="C3" s="7">
        <f>$B3 * IFERROR(VLOOKUP("buildings|PM25|Infant mortality", US_national_yearly!$D:$AM, 11, FALSE) / VLOOKUP("buildings|PM25|Infant mortality", US_national_yearly!$D:$AM, 10, FALSE), 1)</f>
        <v>1.1270751572578749E-5</v>
      </c>
      <c r="D3" s="7">
        <f>$B3 * IFERROR(VLOOKUP("buildings|PM25|Infant mortality", US_national_yearly!$D:$AM, 12, FALSE) / VLOOKUP("buildings|PM25|Infant mortality", US_national_yearly!$D:$AM, 10, FALSE), 1)</f>
        <v>1.1172275671203334E-5</v>
      </c>
      <c r="E3" s="7">
        <f>$B3 * IFERROR(VLOOKUP("buildings|PM25|Infant mortality", US_national_yearly!$D:$AM, 13, FALSE) / VLOOKUP("buildings|PM25|Infant mortality", US_national_yearly!$D:$AM, 10, FALSE), 1)</f>
        <v>1.1073799769827916E-5</v>
      </c>
      <c r="F3" s="7">
        <f>$B3 * IFERROR(VLOOKUP("buildings|PM25|Infant mortality", US_national_yearly!$D:$AM, 14, FALSE) / VLOOKUP("buildings|PM25|Infant mortality", US_national_yearly!$D:$AM, 10, FALSE), 1)</f>
        <v>1.0975323868452502E-5</v>
      </c>
      <c r="G3" s="7">
        <f>$B3 * IFERROR(VLOOKUP("buildings|PM25|Infant mortality", US_national_yearly!$D:$AM, 15, FALSE) / VLOOKUP("buildings|PM25|Infant mortality", US_national_yearly!$D:$AM, 10, FALSE), 1)</f>
        <v>7.2981921968231703E-6</v>
      </c>
      <c r="H3" s="7">
        <f>$B3 * IFERROR(VLOOKUP("buildings|PM25|Infant mortality", US_national_yearly!$D:$AM, 16, FALSE) / VLOOKUP("buildings|PM25|Infant mortality", US_national_yearly!$D:$AM, 10, FALSE), 1)</f>
        <v>3.6210605251938395E-6</v>
      </c>
      <c r="I3" s="7">
        <f>$B3 * IFERROR(VLOOKUP("buildings|PM25|Infant mortality", US_national_yearly!$D:$AM, 17, FALSE) / VLOOKUP("buildings|PM25|Infant mortality", US_national_yearly!$D:$AM, 10, FALSE), 1)</f>
        <v>3.5974642259978671E-6</v>
      </c>
      <c r="J3" s="7">
        <f>$B3 * IFERROR(VLOOKUP("buildings|PM25|Infant mortality", US_national_yearly!$D:$AM, 18, FALSE) / VLOOKUP("buildings|PM25|Infant mortality", US_national_yearly!$D:$AM, 10, FALSE), 1)</f>
        <v>3.5738679268018947E-6</v>
      </c>
      <c r="K3" s="7">
        <f>$B3 * IFERROR(VLOOKUP("buildings|PM25|Infant mortality", US_national_yearly!$D:$AM, 19, FALSE) / VLOOKUP("buildings|PM25|Infant mortality", US_national_yearly!$D:$AM, 10, FALSE), 1)</f>
        <v>3.5502716276059223E-6</v>
      </c>
      <c r="L3" s="7">
        <f>$B3 * IFERROR(VLOOKUP("buildings|PM25|Infant mortality", US_national_yearly!$D:$AM, 20, FALSE) / VLOOKUP("buildings|PM25|Infant mortality", US_national_yearly!$D:$AM, 10, FALSE), 1)</f>
        <v>3.5266753284099495E-6</v>
      </c>
      <c r="M3" s="7">
        <f>$B3 * IFERROR(VLOOKUP("buildings|PM25|Infant mortality", US_national_yearly!$D:$AM, 21, FALSE) / VLOOKUP("buildings|PM25|Infant mortality", US_national_yearly!$D:$AM, 10, FALSE), 1)</f>
        <v>3.5030790292139771E-6</v>
      </c>
      <c r="N3" s="7">
        <f>$B3 * IFERROR(VLOOKUP("buildings|PM25|Infant mortality", US_national_yearly!$D:$AM, 22, FALSE) / VLOOKUP("buildings|PM25|Infant mortality", US_national_yearly!$D:$AM, 10, FALSE), 1)</f>
        <v>3.4883149260735981E-6</v>
      </c>
      <c r="O3" s="7">
        <f>$B3 * IFERROR(VLOOKUP("buildings|PM25|Infant mortality", US_national_yearly!$D:$AM, 23, FALSE) / VLOOKUP("buildings|PM25|Infant mortality", US_national_yearly!$D:$AM, 10, FALSE), 1)</f>
        <v>3.4735508229332192E-6</v>
      </c>
      <c r="P3" s="7">
        <f>$B3 * IFERROR(VLOOKUP("buildings|PM25|Infant mortality", US_national_yearly!$D:$AM, 24, FALSE) / VLOOKUP("buildings|PM25|Infant mortality", US_national_yearly!$D:$AM, 10, FALSE), 1)</f>
        <v>3.4587867197928398E-6</v>
      </c>
      <c r="Q3" s="7">
        <f>$B3 * IFERROR(VLOOKUP("buildings|PM25|Infant mortality", US_national_yearly!$D:$AM, 25, FALSE) / VLOOKUP("buildings|PM25|Infant mortality", US_national_yearly!$D:$AM, 10, FALSE), 1)</f>
        <v>3.4440226166524609E-6</v>
      </c>
      <c r="R3" s="7">
        <f>$B3 * IFERROR(VLOOKUP("buildings|PM25|Infant mortality", US_national_yearly!$D:$AM, 26, FALSE) / VLOOKUP("buildings|PM25|Infant mortality", US_national_yearly!$D:$AM, 10, FALSE), 1)</f>
        <v>3.4292585135120819E-6</v>
      </c>
      <c r="S3" s="7">
        <f>$B3 * IFERROR(VLOOKUP("buildings|PM25|Infant mortality", US_national_yearly!$D:$AM, 27, FALSE) / VLOOKUP("buildings|PM25|Infant mortality", US_national_yearly!$D:$AM, 10, FALSE), 1)</f>
        <v>3.4108245155234677E-6</v>
      </c>
      <c r="T3" s="7">
        <f>$B3 * IFERROR(VLOOKUP("buildings|PM25|Infant mortality", US_national_yearly!$D:$AM, 28, FALSE) / VLOOKUP("buildings|PM25|Infant mortality", US_national_yearly!$D:$AM, 10, FALSE), 1)</f>
        <v>3.3923905175348544E-6</v>
      </c>
      <c r="U3" s="7">
        <f>$B3 * IFERROR(VLOOKUP("buildings|PM25|Infant mortality", US_national_yearly!$D:$AM, 29, FALSE) / VLOOKUP("buildings|PM25|Infant mortality", US_national_yearly!$D:$AM, 10, FALSE), 1)</f>
        <v>3.3739565195462398E-6</v>
      </c>
      <c r="V3" s="7">
        <f>$B3 * IFERROR(VLOOKUP("buildings|PM25|Infant mortality", US_national_yearly!$D:$AM, 30, FALSE) / VLOOKUP("buildings|PM25|Infant mortality", US_national_yearly!$D:$AM, 10, FALSE), 1)</f>
        <v>3.3555225215576265E-6</v>
      </c>
      <c r="W3" s="7">
        <f>$B3 * IFERROR(VLOOKUP("buildings|PM25|Infant mortality", US_national_yearly!$D:$AM, 31, FALSE) / VLOOKUP("buildings|PM25|Infant mortality", US_national_yearly!$D:$AM, 10, FALSE), 1)</f>
        <v>3.3370885235690128E-6</v>
      </c>
      <c r="X3" s="7">
        <f>$B3 * IFERROR(VLOOKUP("buildings|PM25|Infant mortality", US_national_yearly!$D:$AM, 32, FALSE) / VLOOKUP("buildings|PM25|Infant mortality", US_national_yearly!$D:$AM, 10, FALSE), 1)</f>
        <v>3.3172419512863696E-6</v>
      </c>
      <c r="Y3" s="7">
        <f>$B3 * IFERROR(VLOOKUP("buildings|PM25|Infant mortality", US_national_yearly!$D:$AM, 33, FALSE) / VLOOKUP("buildings|PM25|Infant mortality", US_national_yearly!$D:$AM, 10, FALSE), 1)</f>
        <v>3.2973953790037268E-6</v>
      </c>
      <c r="Z3" s="7">
        <f>$B3 * IFERROR(VLOOKUP("buildings|PM25|Infant mortality", US_national_yearly!$D:$AM, 34, FALSE) / VLOOKUP("buildings|PM25|Infant mortality", US_national_yearly!$D:$AM, 10, FALSE), 1)</f>
        <v>3.2775488067210836E-6</v>
      </c>
      <c r="AA3" s="7">
        <f>$B3 * IFERROR(VLOOKUP("buildings|PM25|Infant mortality", US_national_yearly!$D:$AM, 35, FALSE) / VLOOKUP("buildings|PM25|Infant mortality", US_national_yearly!$D:$AM, 10, FALSE), 1)</f>
        <v>3.2577022344384404E-6</v>
      </c>
      <c r="AB3" s="7">
        <f>$B3 * IFERROR(VLOOKUP("buildings|PM25|Infant mortality", US_national_yearly!$D:$AM, 36, FALSE) / VLOOKUP("buildings|PM25|Infant mortality", US_national_yearly!$D:$AM, 10, FALSE), 1)</f>
        <v>3.237855662155798E-6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1.1712811890285191E-2</v>
      </c>
      <c r="C6" s="7">
        <f>$B6 * IFERROR(VLOOKUP("buildings|PM25|Asthma symptoms cough", US_national_yearly!$D:$AM, 11, FALSE) / VLOOKUP("buildings|PM25|Asthma symptoms cough", US_national_yearly!$D:$AM, 10, FALSE), 1)</f>
        <v>1.1712811890285191E-2</v>
      </c>
      <c r="D6" s="7">
        <f>$B6 * IFERROR(VLOOKUP("buildings|PM25|Asthma symptoms cough", US_national_yearly!$D:$AM, 12, FALSE) / VLOOKUP("buildings|PM25|Asthma symptoms cough", US_national_yearly!$D:$AM, 10, FALSE), 1)</f>
        <v>1.1712811890285191E-2</v>
      </c>
      <c r="E6" s="7">
        <f>$B6 * IFERROR(VLOOKUP("buildings|PM25|Asthma symptoms cough", US_national_yearly!$D:$AM, 13, FALSE) / VLOOKUP("buildings|PM25|Asthma symptoms cough", US_national_yearly!$D:$AM, 10, FALSE), 1)</f>
        <v>1.1712811890285191E-2</v>
      </c>
      <c r="F6" s="7">
        <f>$B6 * IFERROR(VLOOKUP("buildings|PM25|Asthma symptoms cough", US_national_yearly!$D:$AM, 14, FALSE) / VLOOKUP("buildings|PM25|Asthma symptoms cough", US_national_yearly!$D:$AM, 10, FALSE), 1)</f>
        <v>1.1712811890285191E-2</v>
      </c>
      <c r="G6" s="7">
        <f>$B6 * IFERROR(VLOOKUP("buildings|PM25|Asthma symptoms cough", US_national_yearly!$D:$AM, 15, FALSE) / VLOOKUP("buildings|PM25|Asthma symptoms cough", US_national_yearly!$D:$AM, 10, FALSE), 1)</f>
        <v>1.1712811890285191E-2</v>
      </c>
      <c r="H6" s="7">
        <f>$B6 * IFERROR(VLOOKUP("buildings|PM25|Asthma symptoms cough", US_national_yearly!$D:$AM, 16, FALSE) / VLOOKUP("buildings|PM25|Asthma symptoms cough", US_national_yearly!$D:$AM, 10, FALSE), 1)</f>
        <v>1.1712811890285191E-2</v>
      </c>
      <c r="I6" s="7">
        <f>$B6 * IFERROR(VLOOKUP("buildings|PM25|Asthma symptoms cough", US_national_yearly!$D:$AM, 17, FALSE) / VLOOKUP("buildings|PM25|Asthma symptoms cough", US_national_yearly!$D:$AM, 10, FALSE), 1)</f>
        <v>1.1712811890285191E-2</v>
      </c>
      <c r="J6" s="7">
        <f>$B6 * IFERROR(VLOOKUP("buildings|PM25|Asthma symptoms cough", US_national_yearly!$D:$AM, 18, FALSE) / VLOOKUP("buildings|PM25|Asthma symptoms cough", US_national_yearly!$D:$AM, 10, FALSE), 1)</f>
        <v>1.1712811890285191E-2</v>
      </c>
      <c r="K6" s="7">
        <f>$B6 * IFERROR(VLOOKUP("buildings|PM25|Asthma symptoms cough", US_national_yearly!$D:$AM, 19, FALSE) / VLOOKUP("buildings|PM25|Asthma symptoms cough", US_national_yearly!$D:$AM, 10, FALSE), 1)</f>
        <v>1.1712811890285191E-2</v>
      </c>
      <c r="L6" s="7">
        <f>$B6 * IFERROR(VLOOKUP("buildings|PM25|Asthma symptoms cough", US_national_yearly!$D:$AM, 20, FALSE) / VLOOKUP("buildings|PM25|Asthma symptoms cough", US_national_yearly!$D:$AM, 10, FALSE), 1)</f>
        <v>1.1712811890285191E-2</v>
      </c>
      <c r="M6" s="7">
        <f>$B6 * IFERROR(VLOOKUP("buildings|PM25|Asthma symptoms cough", US_national_yearly!$D:$AM, 21, FALSE) / VLOOKUP("buildings|PM25|Asthma symptoms cough", US_national_yearly!$D:$AM, 10, FALSE), 1)</f>
        <v>1.1712811890285191E-2</v>
      </c>
      <c r="N6" s="7">
        <f>$B6 * IFERROR(VLOOKUP("buildings|PM25|Asthma symptoms cough", US_national_yearly!$D:$AM, 22, FALSE) / VLOOKUP("buildings|PM25|Asthma symptoms cough", US_national_yearly!$D:$AM, 10, FALSE), 1)</f>
        <v>1.1712811890285191E-2</v>
      </c>
      <c r="O6" s="7">
        <f>$B6 * IFERROR(VLOOKUP("buildings|PM25|Asthma symptoms cough", US_national_yearly!$D:$AM, 23, FALSE) / VLOOKUP("buildings|PM25|Asthma symptoms cough", US_national_yearly!$D:$AM, 10, FALSE), 1)</f>
        <v>1.1712811890285191E-2</v>
      </c>
      <c r="P6" s="7">
        <f>$B6 * IFERROR(VLOOKUP("buildings|PM25|Asthma symptoms cough", US_national_yearly!$D:$AM, 24, FALSE) / VLOOKUP("buildings|PM25|Asthma symptoms cough", US_national_yearly!$D:$AM, 10, FALSE), 1)</f>
        <v>1.1712811890285191E-2</v>
      </c>
      <c r="Q6" s="7">
        <f>$B6 * IFERROR(VLOOKUP("buildings|PM25|Asthma symptoms cough", US_national_yearly!$D:$AM, 25, FALSE) / VLOOKUP("buildings|PM25|Asthma symptoms cough", US_national_yearly!$D:$AM, 10, FALSE), 1)</f>
        <v>1.1712811890285191E-2</v>
      </c>
      <c r="R6" s="7">
        <f>$B6 * IFERROR(VLOOKUP("buildings|PM25|Asthma symptoms cough", US_national_yearly!$D:$AM, 26, FALSE) / VLOOKUP("buildings|PM25|Asthma symptoms cough", US_national_yearly!$D:$AM, 10, FALSE), 1)</f>
        <v>1.1712811890285191E-2</v>
      </c>
      <c r="S6" s="7">
        <f>$B6 * IFERROR(VLOOKUP("buildings|PM25|Asthma symptoms cough", US_national_yearly!$D:$AM, 27, FALSE) / VLOOKUP("buildings|PM25|Asthma symptoms cough", US_national_yearly!$D:$AM, 10, FALSE), 1)</f>
        <v>1.1712811890285191E-2</v>
      </c>
      <c r="T6" s="7">
        <f>$B6 * IFERROR(VLOOKUP("buildings|PM25|Asthma symptoms cough", US_national_yearly!$D:$AM, 28, FALSE) / VLOOKUP("buildings|PM25|Asthma symptoms cough", US_national_yearly!$D:$AM, 10, FALSE), 1)</f>
        <v>1.1712811890285191E-2</v>
      </c>
      <c r="U6" s="7">
        <f>$B6 * IFERROR(VLOOKUP("buildings|PM25|Asthma symptoms cough", US_national_yearly!$D:$AM, 29, FALSE) / VLOOKUP("buildings|PM25|Asthma symptoms cough", US_national_yearly!$D:$AM, 10, FALSE), 1)</f>
        <v>1.1712811890285191E-2</v>
      </c>
      <c r="V6" s="7">
        <f>$B6 * IFERROR(VLOOKUP("buildings|PM25|Asthma symptoms cough", US_national_yearly!$D:$AM, 30, FALSE) / VLOOKUP("buildings|PM25|Asthma symptoms cough", US_national_yearly!$D:$AM, 10, FALSE), 1)</f>
        <v>1.1712811890285191E-2</v>
      </c>
      <c r="W6" s="7">
        <f>$B6 * IFERROR(VLOOKUP("buildings|PM25|Asthma symptoms cough", US_national_yearly!$D:$AM, 31, FALSE) / VLOOKUP("buildings|PM25|Asthma symptoms cough", US_national_yearly!$D:$AM, 10, FALSE), 1)</f>
        <v>1.1712811890285191E-2</v>
      </c>
      <c r="X6" s="7">
        <f>$B6 * IFERROR(VLOOKUP("buildings|PM25|Asthma symptoms cough", US_national_yearly!$D:$AM, 32, FALSE) / VLOOKUP("buildings|PM25|Asthma symptoms cough", US_national_yearly!$D:$AM, 10, FALSE), 1)</f>
        <v>1.1712811890285191E-2</v>
      </c>
      <c r="Y6" s="7">
        <f>$B6 * IFERROR(VLOOKUP("buildings|PM25|Asthma symptoms cough", US_national_yearly!$D:$AM, 33, FALSE) / VLOOKUP("buildings|PM25|Asthma symptoms cough", US_national_yearly!$D:$AM, 10, FALSE), 1)</f>
        <v>1.1712811890285191E-2</v>
      </c>
      <c r="Z6" s="7">
        <f>$B6 * IFERROR(VLOOKUP("buildings|PM25|Asthma symptoms cough", US_national_yearly!$D:$AM, 34, FALSE) / VLOOKUP("buildings|PM25|Asthma symptoms cough", US_national_yearly!$D:$AM, 10, FALSE), 1)</f>
        <v>1.1712811890285191E-2</v>
      </c>
      <c r="AA6" s="7">
        <f>$B6 * IFERROR(VLOOKUP("buildings|PM25|Asthma symptoms cough", US_national_yearly!$D:$AM, 35, FALSE) / VLOOKUP("buildings|PM25|Asthma symptoms cough", US_national_yearly!$D:$AM, 10, FALSE), 1)</f>
        <v>1.1712811890285191E-2</v>
      </c>
      <c r="AB6" s="7">
        <f>$B6 * IFERROR(VLOOKUP("buildings|PM25|Asthma symptoms cough", US_national_yearly!$D:$AM, 36, FALSE) / VLOOKUP("buildings|PM25|Asthma symptoms cough", US_national_yearly!$D:$AM, 10, FALSE), 1)</f>
        <v>1.1712811890285191E-2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1.5773016683718249E-2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1.5773016683718249E-2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1.5773016683718249E-2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1.5773016683718249E-2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1.5773016683718249E-2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1.5773016683718249E-2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1.5773016683718249E-2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1.5773016683718249E-2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1.5773016683718249E-2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1.5773016683718249E-2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1.5773016683718249E-2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1.5773016683718249E-2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1.5773016683718249E-2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1.5773016683718249E-2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1.5773016683718249E-2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1.5773016683718249E-2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1.5773016683718249E-2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1.5773016683718249E-2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1.5773016683718249E-2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1.5773016683718249E-2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1.5773016683718249E-2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1.5773016683718249E-2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1.5773016683718249E-2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1.5773016683718249E-2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1.5773016683718249E-2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1.5773016683718249E-2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1.5773016683718249E-2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2.4098439290610039E-2</v>
      </c>
      <c r="C8" s="7">
        <f>$B8 * IFERROR(VLOOKUP("buildings|PM25|Asthma symptoms wheeze", US_national_yearly!$D:$AM, 11, FALSE) / VLOOKUP("buildings|PM25|Asthma symptoms wheeze", US_national_yearly!$D:$AM, 10, FALSE), 1)</f>
        <v>2.4098439290610039E-2</v>
      </c>
      <c r="D8" s="7">
        <f>$B8 * IFERROR(VLOOKUP("buildings|PM25|Asthma symptoms wheeze", US_national_yearly!$D:$AM, 12, FALSE) / VLOOKUP("buildings|PM25|Asthma symptoms wheeze", US_national_yearly!$D:$AM, 10, FALSE), 1)</f>
        <v>2.4098439290610039E-2</v>
      </c>
      <c r="E8" s="7">
        <f>$B8 * IFERROR(VLOOKUP("buildings|PM25|Asthma symptoms wheeze", US_national_yearly!$D:$AM, 13, FALSE) / VLOOKUP("buildings|PM25|Asthma symptoms wheeze", US_national_yearly!$D:$AM, 10, FALSE), 1)</f>
        <v>2.4098439290610039E-2</v>
      </c>
      <c r="F8" s="7">
        <f>$B8 * IFERROR(VLOOKUP("buildings|PM25|Asthma symptoms wheeze", US_national_yearly!$D:$AM, 14, FALSE) / VLOOKUP("buildings|PM25|Asthma symptoms wheeze", US_national_yearly!$D:$AM, 10, FALSE), 1)</f>
        <v>2.4098439290610039E-2</v>
      </c>
      <c r="G8" s="7">
        <f>$B8 * IFERROR(VLOOKUP("buildings|PM25|Asthma symptoms wheeze", US_national_yearly!$D:$AM, 15, FALSE) / VLOOKUP("buildings|PM25|Asthma symptoms wheeze", US_national_yearly!$D:$AM, 10, FALSE), 1)</f>
        <v>2.4098439290610039E-2</v>
      </c>
      <c r="H8" s="7">
        <f>$B8 * IFERROR(VLOOKUP("buildings|PM25|Asthma symptoms wheeze", US_national_yearly!$D:$AM, 16, FALSE) / VLOOKUP("buildings|PM25|Asthma symptoms wheeze", US_national_yearly!$D:$AM, 10, FALSE), 1)</f>
        <v>2.4098439290610039E-2</v>
      </c>
      <c r="I8" s="7">
        <f>$B8 * IFERROR(VLOOKUP("buildings|PM25|Asthma symptoms wheeze", US_national_yearly!$D:$AM, 17, FALSE) / VLOOKUP("buildings|PM25|Asthma symptoms wheeze", US_national_yearly!$D:$AM, 10, FALSE), 1)</f>
        <v>2.4098439290610039E-2</v>
      </c>
      <c r="J8" s="7">
        <f>$B8 * IFERROR(VLOOKUP("buildings|PM25|Asthma symptoms wheeze", US_national_yearly!$D:$AM, 18, FALSE) / VLOOKUP("buildings|PM25|Asthma symptoms wheeze", US_national_yearly!$D:$AM, 10, FALSE), 1)</f>
        <v>2.4098439290610039E-2</v>
      </c>
      <c r="K8" s="7">
        <f>$B8 * IFERROR(VLOOKUP("buildings|PM25|Asthma symptoms wheeze", US_national_yearly!$D:$AM, 19, FALSE) / VLOOKUP("buildings|PM25|Asthma symptoms wheeze", US_national_yearly!$D:$AM, 10, FALSE), 1)</f>
        <v>2.4098439290610039E-2</v>
      </c>
      <c r="L8" s="7">
        <f>$B8 * IFERROR(VLOOKUP("buildings|PM25|Asthma symptoms wheeze", US_national_yearly!$D:$AM, 20, FALSE) / VLOOKUP("buildings|PM25|Asthma symptoms wheeze", US_national_yearly!$D:$AM, 10, FALSE), 1)</f>
        <v>2.4098439290610039E-2</v>
      </c>
      <c r="M8" s="7">
        <f>$B8 * IFERROR(VLOOKUP("buildings|PM25|Asthma symptoms wheeze", US_national_yearly!$D:$AM, 21, FALSE) / VLOOKUP("buildings|PM25|Asthma symptoms wheeze", US_national_yearly!$D:$AM, 10, FALSE), 1)</f>
        <v>2.4098439290610039E-2</v>
      </c>
      <c r="N8" s="7">
        <f>$B8 * IFERROR(VLOOKUP("buildings|PM25|Asthma symptoms wheeze", US_national_yearly!$D:$AM, 22, FALSE) / VLOOKUP("buildings|PM25|Asthma symptoms wheeze", US_national_yearly!$D:$AM, 10, FALSE), 1)</f>
        <v>2.4098439290610039E-2</v>
      </c>
      <c r="O8" s="7">
        <f>$B8 * IFERROR(VLOOKUP("buildings|PM25|Asthma symptoms wheeze", US_national_yearly!$D:$AM, 23, FALSE) / VLOOKUP("buildings|PM25|Asthma symptoms wheeze", US_national_yearly!$D:$AM, 10, FALSE), 1)</f>
        <v>2.4098439290610039E-2</v>
      </c>
      <c r="P8" s="7">
        <f>$B8 * IFERROR(VLOOKUP("buildings|PM25|Asthma symptoms wheeze", US_national_yearly!$D:$AM, 24, FALSE) / VLOOKUP("buildings|PM25|Asthma symptoms wheeze", US_national_yearly!$D:$AM, 10, FALSE), 1)</f>
        <v>2.4098439290610039E-2</v>
      </c>
      <c r="Q8" s="7">
        <f>$B8 * IFERROR(VLOOKUP("buildings|PM25|Asthma symptoms wheeze", US_national_yearly!$D:$AM, 25, FALSE) / VLOOKUP("buildings|PM25|Asthma symptoms wheeze", US_national_yearly!$D:$AM, 10, FALSE), 1)</f>
        <v>2.4098439290610039E-2</v>
      </c>
      <c r="R8" s="7">
        <f>$B8 * IFERROR(VLOOKUP("buildings|PM25|Asthma symptoms wheeze", US_national_yearly!$D:$AM, 26, FALSE) / VLOOKUP("buildings|PM25|Asthma symptoms wheeze", US_national_yearly!$D:$AM, 10, FALSE), 1)</f>
        <v>2.4098439290610039E-2</v>
      </c>
      <c r="S8" s="7">
        <f>$B8 * IFERROR(VLOOKUP("buildings|PM25|Asthma symptoms wheeze", US_national_yearly!$D:$AM, 27, FALSE) / VLOOKUP("buildings|PM25|Asthma symptoms wheeze", US_national_yearly!$D:$AM, 10, FALSE), 1)</f>
        <v>2.4098439290610039E-2</v>
      </c>
      <c r="T8" s="7">
        <f>$B8 * IFERROR(VLOOKUP("buildings|PM25|Asthma symptoms wheeze", US_national_yearly!$D:$AM, 28, FALSE) / VLOOKUP("buildings|PM25|Asthma symptoms wheeze", US_national_yearly!$D:$AM, 10, FALSE), 1)</f>
        <v>2.4098439290610039E-2</v>
      </c>
      <c r="U8" s="7">
        <f>$B8 * IFERROR(VLOOKUP("buildings|PM25|Asthma symptoms wheeze", US_national_yearly!$D:$AM, 29, FALSE) / VLOOKUP("buildings|PM25|Asthma symptoms wheeze", US_national_yearly!$D:$AM, 10, FALSE), 1)</f>
        <v>2.4098439290610039E-2</v>
      </c>
      <c r="V8" s="7">
        <f>$B8 * IFERROR(VLOOKUP("buildings|PM25|Asthma symptoms wheeze", US_national_yearly!$D:$AM, 30, FALSE) / VLOOKUP("buildings|PM25|Asthma symptoms wheeze", US_national_yearly!$D:$AM, 10, FALSE), 1)</f>
        <v>2.4098439290610039E-2</v>
      </c>
      <c r="W8" s="7">
        <f>$B8 * IFERROR(VLOOKUP("buildings|PM25|Asthma symptoms wheeze", US_national_yearly!$D:$AM, 31, FALSE) / VLOOKUP("buildings|PM25|Asthma symptoms wheeze", US_national_yearly!$D:$AM, 10, FALSE), 1)</f>
        <v>2.4098439290610039E-2</v>
      </c>
      <c r="X8" s="7">
        <f>$B8 * IFERROR(VLOOKUP("buildings|PM25|Asthma symptoms wheeze", US_national_yearly!$D:$AM, 32, FALSE) / VLOOKUP("buildings|PM25|Asthma symptoms wheeze", US_national_yearly!$D:$AM, 10, FALSE), 1)</f>
        <v>2.4098439290610039E-2</v>
      </c>
      <c r="Y8" s="7">
        <f>$B8 * IFERROR(VLOOKUP("buildings|PM25|Asthma symptoms wheeze", US_national_yearly!$D:$AM, 33, FALSE) / VLOOKUP("buildings|PM25|Asthma symptoms wheeze", US_national_yearly!$D:$AM, 10, FALSE), 1)</f>
        <v>2.4098439290610039E-2</v>
      </c>
      <c r="Z8" s="7">
        <f>$B8 * IFERROR(VLOOKUP("buildings|PM25|Asthma symptoms wheeze", US_national_yearly!$D:$AM, 34, FALSE) / VLOOKUP("buildings|PM25|Asthma symptoms wheeze", US_national_yearly!$D:$AM, 10, FALSE), 1)</f>
        <v>2.4098439290610039E-2</v>
      </c>
      <c r="AA8" s="7">
        <f>$B8 * IFERROR(VLOOKUP("buildings|PM25|Asthma symptoms wheeze", US_national_yearly!$D:$AM, 35, FALSE) / VLOOKUP("buildings|PM25|Asthma symptoms wheeze", US_national_yearly!$D:$AM, 10, FALSE), 1)</f>
        <v>2.4098439290610039E-2</v>
      </c>
      <c r="AB8" s="7">
        <f>$B8 * IFERROR(VLOOKUP("buildings|PM25|Asthma symptoms wheeze", US_national_yearly!$D:$AM, 36, FALSE) / VLOOKUP("buildings|PM25|Asthma symptoms wheeze", US_national_yearly!$D:$AM, 10, FALSE), 1)</f>
        <v>2.4098439290610039E-2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5.8815217803236672E-4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5.9154238497702099E-4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5.9493259192167536E-4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5.9832279886632973E-4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6.017130058109841E-4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6.0537135320128024E-4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6.0902970059157626E-4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6.1250911977780054E-4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6.1598853896402471E-4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6.1946795815024888E-4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6.2294737733647315E-4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6.2642679652269732E-4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6.2892944147535158E-4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6.3143208642800594E-4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6.339347313806602E-4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6.3643737633331445E-4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6.3894002128596871E-4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6.413244736003771E-4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6.437089259147857E-4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6.4609337822919409E-4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6.4847783054360238E-4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6.5086228285801098E-4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6.531652858152091E-4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6.5546828877240722E-4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6.5777129172960535E-4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6.6007429468680357E-4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6.6237729764400159E-4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2.1514463295286327E-3</v>
      </c>
      <c r="C13" s="7">
        <f>$B13 * IFERROR(VLOOKUP("buildings|PM25|Non-fatal heart attacks", US_national_yearly!$D:$AM, 11, FALSE) / VLOOKUP("buildings|PM25|Non-fatal heart attacks", US_national_yearly!$D:$AM, 10, FALSE), 1)</f>
        <v>2.214024190379851E-3</v>
      </c>
      <c r="D13" s="7">
        <f>$B13 * IFERROR(VLOOKUP("buildings|PM25|Non-fatal heart attacks", US_national_yearly!$D:$AM, 12, FALSE) / VLOOKUP("buildings|PM25|Non-fatal heart attacks", US_national_yearly!$D:$AM, 10, FALSE), 1)</f>
        <v>2.2766020512310684E-3</v>
      </c>
      <c r="E13" s="7">
        <f>$B13 * IFERROR(VLOOKUP("buildings|PM25|Non-fatal heart attacks", US_national_yearly!$D:$AM, 13, FALSE) / VLOOKUP("buildings|PM25|Non-fatal heart attacks", US_national_yearly!$D:$AM, 10, FALSE), 1)</f>
        <v>2.3391799120822858E-3</v>
      </c>
      <c r="F13" s="7">
        <f>$B13 * IFERROR(VLOOKUP("buildings|PM25|Non-fatal heart attacks", US_national_yearly!$D:$AM, 14, FALSE) / VLOOKUP("buildings|PM25|Non-fatal heart attacks", US_national_yearly!$D:$AM, 10, FALSE), 1)</f>
        <v>2.4017577729335041E-3</v>
      </c>
      <c r="G13" s="7">
        <f>$B13 * IFERROR(VLOOKUP("buildings|PM25|Non-fatal heart attacks", US_national_yearly!$D:$AM, 15, FALSE) / VLOOKUP("buildings|PM25|Non-fatal heart attacks", US_national_yearly!$D:$AM, 10, FALSE), 1)</f>
        <v>2.460803558791665E-3</v>
      </c>
      <c r="H13" s="7">
        <f>$B13 * IFERROR(VLOOKUP("buildings|PM25|Non-fatal heart attacks", US_national_yearly!$D:$AM, 16, FALSE) / VLOOKUP("buildings|PM25|Non-fatal heart attacks", US_national_yearly!$D:$AM, 10, FALSE), 1)</f>
        <v>2.519849344649825E-3</v>
      </c>
      <c r="I13" s="7">
        <f>$B13 * IFERROR(VLOOKUP("buildings|PM25|Non-fatal heart attacks", US_national_yearly!$D:$AM, 17, FALSE) / VLOOKUP("buildings|PM25|Non-fatal heart attacks", US_national_yearly!$D:$AM, 10, FALSE), 1)</f>
        <v>2.5673562653905023E-3</v>
      </c>
      <c r="J13" s="7">
        <f>$B13 * IFERROR(VLOOKUP("buildings|PM25|Non-fatal heart attacks", US_national_yearly!$D:$AM, 18, FALSE) / VLOOKUP("buildings|PM25|Non-fatal heart attacks", US_national_yearly!$D:$AM, 10, FALSE), 1)</f>
        <v>2.6148631861311802E-3</v>
      </c>
      <c r="K13" s="7">
        <f>$B13 * IFERROR(VLOOKUP("buildings|PM25|Non-fatal heart attacks", US_national_yearly!$D:$AM, 19, FALSE) / VLOOKUP("buildings|PM25|Non-fatal heart attacks", US_national_yearly!$D:$AM, 10, FALSE), 1)</f>
        <v>2.6623701068718576E-3</v>
      </c>
      <c r="L13" s="7">
        <f>$B13 * IFERROR(VLOOKUP("buildings|PM25|Non-fatal heart attacks", US_national_yearly!$D:$AM, 20, FALSE) / VLOOKUP("buildings|PM25|Non-fatal heart attacks", US_national_yearly!$D:$AM, 10, FALSE), 1)</f>
        <v>2.7098770276125345E-3</v>
      </c>
      <c r="M13" s="7">
        <f>$B13 * IFERROR(VLOOKUP("buildings|PM25|Non-fatal heart attacks", US_national_yearly!$D:$AM, 21, FALSE) / VLOOKUP("buildings|PM25|Non-fatal heart attacks", US_national_yearly!$D:$AM, 10, FALSE), 1)</f>
        <v>2.7573839483532119E-3</v>
      </c>
      <c r="N13" s="7">
        <f>$B13 * IFERROR(VLOOKUP("buildings|PM25|Non-fatal heart attacks", US_national_yearly!$D:$AM, 22, FALSE) / VLOOKUP("buildings|PM25|Non-fatal heart attacks", US_national_yearly!$D:$AM, 10, FALSE), 1)</f>
        <v>2.7880741613655622E-3</v>
      </c>
      <c r="O13" s="7">
        <f>$B13 * IFERROR(VLOOKUP("buildings|PM25|Non-fatal heart attacks", US_national_yearly!$D:$AM, 23, FALSE) / VLOOKUP("buildings|PM25|Non-fatal heart attacks", US_national_yearly!$D:$AM, 10, FALSE), 1)</f>
        <v>2.8187643743779124E-3</v>
      </c>
      <c r="P13" s="7">
        <f>$B13 * IFERROR(VLOOKUP("buildings|PM25|Non-fatal heart attacks", US_national_yearly!$D:$AM, 24, FALSE) / VLOOKUP("buildings|PM25|Non-fatal heart attacks", US_national_yearly!$D:$AM, 10, FALSE), 1)</f>
        <v>2.8494545873902623E-3</v>
      </c>
      <c r="Q13" s="7">
        <f>$B13 * IFERROR(VLOOKUP("buildings|PM25|Non-fatal heart attacks", US_national_yearly!$D:$AM, 25, FALSE) / VLOOKUP("buildings|PM25|Non-fatal heart attacks", US_national_yearly!$D:$AM, 10, FALSE), 1)</f>
        <v>2.8801448004026125E-3</v>
      </c>
      <c r="R13" s="7">
        <f>$B13 * IFERROR(VLOOKUP("buildings|PM25|Non-fatal heart attacks", US_national_yearly!$D:$AM, 26, FALSE) / VLOOKUP("buildings|PM25|Non-fatal heart attacks", US_national_yearly!$D:$AM, 10, FALSE), 1)</f>
        <v>2.9108350134149624E-3</v>
      </c>
      <c r="S13" s="7">
        <f>$B13 * IFERROR(VLOOKUP("buildings|PM25|Non-fatal heart attacks", US_national_yearly!$D:$AM, 27, FALSE) / VLOOKUP("buildings|PM25|Non-fatal heart attacks", US_national_yearly!$D:$AM, 10, FALSE), 1)</f>
        <v>2.9270673599198003E-3</v>
      </c>
      <c r="T13" s="7">
        <f>$B13 * IFERROR(VLOOKUP("buildings|PM25|Non-fatal heart attacks", US_national_yearly!$D:$AM, 28, FALSE) / VLOOKUP("buildings|PM25|Non-fatal heart attacks", US_national_yearly!$D:$AM, 10, FALSE), 1)</f>
        <v>2.9432997064246388E-3</v>
      </c>
      <c r="U13" s="7">
        <f>$B13 * IFERROR(VLOOKUP("buildings|PM25|Non-fatal heart attacks", US_national_yearly!$D:$AM, 29, FALSE) / VLOOKUP("buildings|PM25|Non-fatal heart attacks", US_national_yearly!$D:$AM, 10, FALSE), 1)</f>
        <v>2.9595320529294767E-3</v>
      </c>
      <c r="V13" s="7">
        <f>$B13 * IFERROR(VLOOKUP("buildings|PM25|Non-fatal heart attacks", US_national_yearly!$D:$AM, 30, FALSE) / VLOOKUP("buildings|PM25|Non-fatal heart attacks", US_national_yearly!$D:$AM, 10, FALSE), 1)</f>
        <v>2.9757643994343147E-3</v>
      </c>
      <c r="W13" s="7">
        <f>$B13 * IFERROR(VLOOKUP("buildings|PM25|Non-fatal heart attacks", US_national_yearly!$D:$AM, 31, FALSE) / VLOOKUP("buildings|PM25|Non-fatal heart attacks", US_national_yearly!$D:$AM, 10, FALSE), 1)</f>
        <v>2.9919967459391527E-3</v>
      </c>
      <c r="X13" s="7">
        <f>$B13 * IFERROR(VLOOKUP("buildings|PM25|Non-fatal heart attacks", US_national_yearly!$D:$AM, 32, FALSE) / VLOOKUP("buildings|PM25|Non-fatal heart attacks", US_national_yearly!$D:$AM, 10, FALSE), 1)</f>
        <v>3.0043507472126978E-3</v>
      </c>
      <c r="Y13" s="7">
        <f>$B13 * IFERROR(VLOOKUP("buildings|PM25|Non-fatal heart attacks", US_national_yearly!$D:$AM, 33, FALSE) / VLOOKUP("buildings|PM25|Non-fatal heart attacks", US_national_yearly!$D:$AM, 10, FALSE), 1)</f>
        <v>3.0167047484862424E-3</v>
      </c>
      <c r="Z13" s="7">
        <f>$B13 * IFERROR(VLOOKUP("buildings|PM25|Non-fatal heart attacks", US_national_yearly!$D:$AM, 34, FALSE) / VLOOKUP("buildings|PM25|Non-fatal heart attacks", US_national_yearly!$D:$AM, 10, FALSE), 1)</f>
        <v>3.0290587497597871E-3</v>
      </c>
      <c r="AA13" s="7">
        <f>$B13 * IFERROR(VLOOKUP("buildings|PM25|Non-fatal heart attacks", US_national_yearly!$D:$AM, 35, FALSE) / VLOOKUP("buildings|PM25|Non-fatal heart attacks", US_national_yearly!$D:$AM, 10, FALSE), 1)</f>
        <v>3.0414127510333317E-3</v>
      </c>
      <c r="AB13" s="7">
        <f>$B13 * IFERROR(VLOOKUP("buildings|PM25|Non-fatal heart attacks", US_national_yearly!$D:$AM, 36, FALSE) / VLOOKUP("buildings|PM25|Non-fatal heart attacks", US_national_yearly!$D:$AM, 10, FALSE), 1)</f>
        <v>3.0537667523068772E-3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1.550290162872487</v>
      </c>
      <c r="C14" s="7">
        <f>$B14 * IFERROR(VLOOKUP("buildings|PM25|Minor restricted activity days", US_national_yearly!$D:$AM, 11, FALSE) / VLOOKUP("buildings|PM25|Minor restricted activity days", US_national_yearly!$D:$AM, 10, FALSE), 1)</f>
        <v>1.5541458214206254</v>
      </c>
      <c r="D14" s="7">
        <f>$B14 * IFERROR(VLOOKUP("buildings|PM25|Minor restricted activity days", US_national_yearly!$D:$AM, 12, FALSE) / VLOOKUP("buildings|PM25|Minor restricted activity days", US_national_yearly!$D:$AM, 10, FALSE), 1)</f>
        <v>1.558001479968764</v>
      </c>
      <c r="E14" s="7">
        <f>$B14 * IFERROR(VLOOKUP("buildings|PM25|Minor restricted activity days", US_national_yearly!$D:$AM, 13, FALSE) / VLOOKUP("buildings|PM25|Minor restricted activity days", US_national_yearly!$D:$AM, 10, FALSE), 1)</f>
        <v>1.5618571385169024</v>
      </c>
      <c r="F14" s="7">
        <f>$B14 * IFERROR(VLOOKUP("buildings|PM25|Minor restricted activity days", US_national_yearly!$D:$AM, 14, FALSE) / VLOOKUP("buildings|PM25|Minor restricted activity days", US_national_yearly!$D:$AM, 10, FALSE), 1)</f>
        <v>1.5657127970650406</v>
      </c>
      <c r="G14" s="7">
        <f>$B14 * IFERROR(VLOOKUP("buildings|PM25|Minor restricted activity days", US_national_yearly!$D:$AM, 15, FALSE) / VLOOKUP("buildings|PM25|Minor restricted activity days", US_national_yearly!$D:$AM, 10, FALSE), 1)</f>
        <v>1.5713678774935143</v>
      </c>
      <c r="H14" s="7">
        <f>$B14 * IFERROR(VLOOKUP("buildings|PM25|Minor restricted activity days", US_national_yearly!$D:$AM, 16, FALSE) / VLOOKUP("buildings|PM25|Minor restricted activity days", US_national_yearly!$D:$AM, 10, FALSE), 1)</f>
        <v>1.5770229579219872</v>
      </c>
      <c r="I14" s="7">
        <f>$B14 * IFERROR(VLOOKUP("buildings|PM25|Minor restricted activity days", US_national_yearly!$D:$AM, 17, FALSE) / VLOOKUP("buildings|PM25|Minor restricted activity days", US_national_yearly!$D:$AM, 10, FALSE), 1)</f>
        <v>1.5866391332225984</v>
      </c>
      <c r="J14" s="7">
        <f>$B14 * IFERROR(VLOOKUP("buildings|PM25|Minor restricted activity days", US_national_yearly!$D:$AM, 18, FALSE) / VLOOKUP("buildings|PM25|Minor restricted activity days", US_national_yearly!$D:$AM, 10, FALSE), 1)</f>
        <v>1.5962553085232105</v>
      </c>
      <c r="K14" s="7">
        <f>$B14 * IFERROR(VLOOKUP("buildings|PM25|Minor restricted activity days", US_national_yearly!$D:$AM, 19, FALSE) / VLOOKUP("buildings|PM25|Minor restricted activity days", US_national_yearly!$D:$AM, 10, FALSE), 1)</f>
        <v>1.6058714838238213</v>
      </c>
      <c r="L14" s="7">
        <f>$B14 * IFERROR(VLOOKUP("buildings|PM25|Minor restricted activity days", US_national_yearly!$D:$AM, 20, FALSE) / VLOOKUP("buildings|PM25|Minor restricted activity days", US_national_yearly!$D:$AM, 10, FALSE), 1)</f>
        <v>1.6154876591244323</v>
      </c>
      <c r="M14" s="7">
        <f>$B14 * IFERROR(VLOOKUP("buildings|PM25|Minor restricted activity days", US_national_yearly!$D:$AM, 21, FALSE) / VLOOKUP("buildings|PM25|Minor restricted activity days", US_national_yearly!$D:$AM, 10, FALSE), 1)</f>
        <v>1.6251038344250432</v>
      </c>
      <c r="N14" s="7">
        <f>$B14 * IFERROR(VLOOKUP("buildings|PM25|Minor restricted activity days", US_national_yearly!$D:$AM, 22, FALSE) / VLOOKUP("buildings|PM25|Minor restricted activity days", US_national_yearly!$D:$AM, 10, FALSE), 1)</f>
        <v>1.6381698966245886</v>
      </c>
      <c r="O14" s="7">
        <f>$B14 * IFERROR(VLOOKUP("buildings|PM25|Minor restricted activity days", US_national_yearly!$D:$AM, 23, FALSE) / VLOOKUP("buildings|PM25|Minor restricted activity days", US_national_yearly!$D:$AM, 10, FALSE), 1)</f>
        <v>1.6512359588241334</v>
      </c>
      <c r="P14" s="7">
        <f>$B14 * IFERROR(VLOOKUP("buildings|PM25|Minor restricted activity days", US_national_yearly!$D:$AM, 24, FALSE) / VLOOKUP("buildings|PM25|Minor restricted activity days", US_national_yearly!$D:$AM, 10, FALSE), 1)</f>
        <v>1.6643020210236781</v>
      </c>
      <c r="Q14" s="7">
        <f>$B14 * IFERROR(VLOOKUP("buildings|PM25|Minor restricted activity days", US_national_yearly!$D:$AM, 25, FALSE) / VLOOKUP("buildings|PM25|Minor restricted activity days", US_national_yearly!$D:$AM, 10, FALSE), 1)</f>
        <v>1.6773680832232229</v>
      </c>
      <c r="R14" s="7">
        <f>$B14 * IFERROR(VLOOKUP("buildings|PM25|Minor restricted activity days", US_national_yearly!$D:$AM, 26, FALSE) / VLOOKUP("buildings|PM25|Minor restricted activity days", US_national_yearly!$D:$AM, 10, FALSE), 1)</f>
        <v>1.6904341454227678</v>
      </c>
      <c r="S14" s="7">
        <f>$B14 * IFERROR(VLOOKUP("buildings|PM25|Minor restricted activity days", US_national_yearly!$D:$AM, 27, FALSE) / VLOOKUP("buildings|PM25|Minor restricted activity days", US_national_yearly!$D:$AM, 10, FALSE), 1)</f>
        <v>1.7035811787165747</v>
      </c>
      <c r="T14" s="7">
        <f>$B14 * IFERROR(VLOOKUP("buildings|PM25|Minor restricted activity days", US_national_yearly!$D:$AM, 28, FALSE) / VLOOKUP("buildings|PM25|Minor restricted activity days", US_national_yearly!$D:$AM, 10, FALSE), 1)</f>
        <v>1.7167282120103808</v>
      </c>
      <c r="U14" s="7">
        <f>$B14 * IFERROR(VLOOKUP("buildings|PM25|Minor restricted activity days", US_national_yearly!$D:$AM, 29, FALSE) / VLOOKUP("buildings|PM25|Minor restricted activity days", US_national_yearly!$D:$AM, 10, FALSE), 1)</f>
        <v>1.7298752453041877</v>
      </c>
      <c r="V14" s="7">
        <f>$B14 * IFERROR(VLOOKUP("buildings|PM25|Minor restricted activity days", US_national_yearly!$D:$AM, 30, FALSE) / VLOOKUP("buildings|PM25|Minor restricted activity days", US_national_yearly!$D:$AM, 10, FALSE), 1)</f>
        <v>1.7430222785979941</v>
      </c>
      <c r="W14" s="7">
        <f>$B14 * IFERROR(VLOOKUP("buildings|PM25|Minor restricted activity days", US_national_yearly!$D:$AM, 31, FALSE) / VLOOKUP("buildings|PM25|Minor restricted activity days", US_national_yearly!$D:$AM, 10, FALSE), 1)</f>
        <v>1.7561693118918007</v>
      </c>
      <c r="X14" s="7">
        <f>$B14 * IFERROR(VLOOKUP("buildings|PM25|Minor restricted activity days", US_national_yearly!$D:$AM, 32, FALSE) / VLOOKUP("buildings|PM25|Minor restricted activity days", US_national_yearly!$D:$AM, 10, FALSE), 1)</f>
        <v>1.767584954397452</v>
      </c>
      <c r="Y14" s="7">
        <f>$B14 * IFERROR(VLOOKUP("buildings|PM25|Minor restricted activity days", US_national_yearly!$D:$AM, 33, FALSE) / VLOOKUP("buildings|PM25|Minor restricted activity days", US_national_yearly!$D:$AM, 10, FALSE), 1)</f>
        <v>1.7790005969031026</v>
      </c>
      <c r="Z14" s="7">
        <f>$B14 * IFERROR(VLOOKUP("buildings|PM25|Minor restricted activity days", US_national_yearly!$D:$AM, 34, FALSE) / VLOOKUP("buildings|PM25|Minor restricted activity days", US_national_yearly!$D:$AM, 10, FALSE), 1)</f>
        <v>1.7904162394087533</v>
      </c>
      <c r="AA14" s="7">
        <f>$B14 * IFERROR(VLOOKUP("buildings|PM25|Minor restricted activity days", US_national_yearly!$D:$AM, 35, FALSE) / VLOOKUP("buildings|PM25|Minor restricted activity days", US_national_yearly!$D:$AM, 10, FALSE), 1)</f>
        <v>1.8018318819144039</v>
      </c>
      <c r="AB14" s="7">
        <f>$B14 * IFERROR(VLOOKUP("buildings|PM25|Minor restricted activity days", US_national_yearly!$D:$AM, 36, FALSE) / VLOOKUP("buildings|PM25|Minor restricted activity days", US_national_yearly!$D:$AM, 10, FALSE), 1)</f>
        <v>1.8132475244200548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0.25924028442314345</v>
      </c>
      <c r="C15" s="7">
        <f>$B15 * IFERROR(VLOOKUP("buildings|PM25|Work loss days", US_national_yearly!$D:$AM, 11, FALSE) / VLOOKUP("buildings|PM25|Work loss days", US_national_yearly!$D:$AM, 10, FALSE), 1)</f>
        <v>0.2600538363434538</v>
      </c>
      <c r="D15" s="7">
        <f>$B15 * IFERROR(VLOOKUP("buildings|PM25|Work loss days", US_national_yearly!$D:$AM, 12, FALSE) / VLOOKUP("buildings|PM25|Work loss days", US_national_yearly!$D:$AM, 10, FALSE), 1)</f>
        <v>0.2608673882637641</v>
      </c>
      <c r="E15" s="7">
        <f>$B15 * IFERROR(VLOOKUP("buildings|PM25|Work loss days", US_national_yearly!$D:$AM, 13, FALSE) / VLOOKUP("buildings|PM25|Work loss days", US_national_yearly!$D:$AM, 10, FALSE), 1)</f>
        <v>0.2616809401840744</v>
      </c>
      <c r="F15" s="7">
        <f>$B15 * IFERROR(VLOOKUP("buildings|PM25|Work loss days", US_national_yearly!$D:$AM, 14, FALSE) / VLOOKUP("buildings|PM25|Work loss days", US_national_yearly!$D:$AM, 10, FALSE), 1)</f>
        <v>0.26249449210438464</v>
      </c>
      <c r="G15" s="7">
        <f>$B15 * IFERROR(VLOOKUP("buildings|PM25|Work loss days", US_national_yearly!$D:$AM, 15, FALSE) / VLOOKUP("buildings|PM25|Work loss days", US_national_yearly!$D:$AM, 10, FALSE), 1)</f>
        <v>0.26355787736998393</v>
      </c>
      <c r="H15" s="7">
        <f>$B15 * IFERROR(VLOOKUP("buildings|PM25|Work loss days", US_national_yearly!$D:$AM, 16, FALSE) / VLOOKUP("buildings|PM25|Work loss days", US_national_yearly!$D:$AM, 10, FALSE), 1)</f>
        <v>0.26462126263558322</v>
      </c>
      <c r="I15" s="7">
        <f>$B15 * IFERROR(VLOOKUP("buildings|PM25|Work loss days", US_national_yearly!$D:$AM, 17, FALSE) / VLOOKUP("buildings|PM25|Work loss days", US_national_yearly!$D:$AM, 10, FALSE), 1)</f>
        <v>0.26618302074465372</v>
      </c>
      <c r="J15" s="7">
        <f>$B15 * IFERROR(VLOOKUP("buildings|PM25|Work loss days", US_national_yearly!$D:$AM, 18, FALSE) / VLOOKUP("buildings|PM25|Work loss days", US_national_yearly!$D:$AM, 10, FALSE), 1)</f>
        <v>0.26774477885372416</v>
      </c>
      <c r="K15" s="7">
        <f>$B15 * IFERROR(VLOOKUP("buildings|PM25|Work loss days", US_national_yearly!$D:$AM, 19, FALSE) / VLOOKUP("buildings|PM25|Work loss days", US_national_yearly!$D:$AM, 10, FALSE), 1)</f>
        <v>0.26930653696279461</v>
      </c>
      <c r="L15" s="7">
        <f>$B15 * IFERROR(VLOOKUP("buildings|PM25|Work loss days", US_national_yearly!$D:$AM, 20, FALSE) / VLOOKUP("buildings|PM25|Work loss days", US_national_yearly!$D:$AM, 10, FALSE), 1)</f>
        <v>0.27086829507186505</v>
      </c>
      <c r="M15" s="7">
        <f>$B15 * IFERROR(VLOOKUP("buildings|PM25|Work loss days", US_national_yearly!$D:$AM, 21, FALSE) / VLOOKUP("buildings|PM25|Work loss days", US_national_yearly!$D:$AM, 10, FALSE), 1)</f>
        <v>0.27243005318093561</v>
      </c>
      <c r="N15" s="7">
        <f>$B15 * IFERROR(VLOOKUP("buildings|PM25|Work loss days", US_national_yearly!$D:$AM, 22, FALSE) / VLOOKUP("buildings|PM25|Work loss days", US_national_yearly!$D:$AM, 10, FALSE), 1)</f>
        <v>0.2743935976590493</v>
      </c>
      <c r="O15" s="7">
        <f>$B15 * IFERROR(VLOOKUP("buildings|PM25|Work loss days", US_national_yearly!$D:$AM, 23, FALSE) / VLOOKUP("buildings|PM25|Work loss days", US_national_yearly!$D:$AM, 10, FALSE), 1)</f>
        <v>0.27635714213716311</v>
      </c>
      <c r="P15" s="7">
        <f>$B15 * IFERROR(VLOOKUP("buildings|PM25|Work loss days", US_national_yearly!$D:$AM, 24, FALSE) / VLOOKUP("buildings|PM25|Work loss days", US_national_yearly!$D:$AM, 10, FALSE), 1)</f>
        <v>0.27832068661527681</v>
      </c>
      <c r="Q15" s="7">
        <f>$B15 * IFERROR(VLOOKUP("buildings|PM25|Work loss days", US_national_yearly!$D:$AM, 25, FALSE) / VLOOKUP("buildings|PM25|Work loss days", US_national_yearly!$D:$AM, 10, FALSE), 1)</f>
        <v>0.28028423109339051</v>
      </c>
      <c r="R15" s="7">
        <f>$B15 * IFERROR(VLOOKUP("buildings|PM25|Work loss days", US_national_yearly!$D:$AM, 26, FALSE) / VLOOKUP("buildings|PM25|Work loss days", US_national_yearly!$D:$AM, 10, FALSE), 1)</f>
        <v>0.28224777557150432</v>
      </c>
      <c r="S15" s="7">
        <f>$B15 * IFERROR(VLOOKUP("buildings|PM25|Work loss days", US_national_yearly!$D:$AM, 27, FALSE) / VLOOKUP("buildings|PM25|Work loss days", US_national_yearly!$D:$AM, 10, FALSE), 1)</f>
        <v>0.28441675448358478</v>
      </c>
      <c r="T15" s="7">
        <f>$B15 * IFERROR(VLOOKUP("buildings|PM25|Work loss days", US_national_yearly!$D:$AM, 28, FALSE) / VLOOKUP("buildings|PM25|Work loss days", US_national_yearly!$D:$AM, 10, FALSE), 1)</f>
        <v>0.28658573339566523</v>
      </c>
      <c r="U15" s="7">
        <f>$B15 * IFERROR(VLOOKUP("buildings|PM25|Work loss days", US_national_yearly!$D:$AM, 29, FALSE) / VLOOKUP("buildings|PM25|Work loss days", US_national_yearly!$D:$AM, 10, FALSE), 1)</f>
        <v>0.28875471230774574</v>
      </c>
      <c r="V15" s="7">
        <f>$B15 * IFERROR(VLOOKUP("buildings|PM25|Work loss days", US_national_yearly!$D:$AM, 30, FALSE) / VLOOKUP("buildings|PM25|Work loss days", US_national_yearly!$D:$AM, 10, FALSE), 1)</f>
        <v>0.2909236912198262</v>
      </c>
      <c r="W15" s="7">
        <f>$B15 * IFERROR(VLOOKUP("buildings|PM25|Work loss days", US_national_yearly!$D:$AM, 31, FALSE) / VLOOKUP("buildings|PM25|Work loss days", US_national_yearly!$D:$AM, 10, FALSE), 1)</f>
        <v>0.29309267013190671</v>
      </c>
      <c r="X15" s="7">
        <f>$B15 * IFERROR(VLOOKUP("buildings|PM25|Work loss days", US_national_yearly!$D:$AM, 32, FALSE) / VLOOKUP("buildings|PM25|Work loss days", US_national_yearly!$D:$AM, 10, FALSE), 1)</f>
        <v>0.29501743219227655</v>
      </c>
      <c r="Y15" s="7">
        <f>$B15 * IFERROR(VLOOKUP("buildings|PM25|Work loss days", US_national_yearly!$D:$AM, 33, FALSE) / VLOOKUP("buildings|PM25|Work loss days", US_national_yearly!$D:$AM, 10, FALSE), 1)</f>
        <v>0.29694219425264645</v>
      </c>
      <c r="Z15" s="7">
        <f>$B15 * IFERROR(VLOOKUP("buildings|PM25|Work loss days", US_national_yearly!$D:$AM, 34, FALSE) / VLOOKUP("buildings|PM25|Work loss days", US_national_yearly!$D:$AM, 10, FALSE), 1)</f>
        <v>0.2988669563130163</v>
      </c>
      <c r="AA15" s="7">
        <f>$B15 * IFERROR(VLOOKUP("buildings|PM25|Work loss days", US_national_yearly!$D:$AM, 35, FALSE) / VLOOKUP("buildings|PM25|Work loss days", US_national_yearly!$D:$AM, 10, FALSE), 1)</f>
        <v>0.3007917183733862</v>
      </c>
      <c r="AB15" s="7">
        <f>$B15 * IFERROR(VLOOKUP("buildings|PM25|Work loss days", US_national_yearly!$D:$AM, 36, FALSE) / VLOOKUP("buildings|PM25|Work loss days", US_national_yearly!$D:$AM, 10, FALSE), 1)</f>
        <v>0.30271648043375604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5.1135355938009995E-4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5.2663604914428167E-4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5.4191853890846338E-4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5.5720102867264489E-4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5.724835184368266E-4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5.8712645696068998E-4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6.0176939548455335E-4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6.1430509813005692E-4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6.2684080077556048E-4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6.3937650342106415E-4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6.5191220606656782E-4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6.6444790871207139E-4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6.7281863417602479E-4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6.8118935963997818E-4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6.8956008510393148E-4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6.9793081056788487E-4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7.0630153603183816E-4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7.1074945862286321E-4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7.1519738121388825E-4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7.1964530380491329E-4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7.2409322639593822E-4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7.2854114898696348E-4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7.3154864073806498E-4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7.3455613248916637E-4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7.3756362424026787E-4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7.4057111599136927E-4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7.4357860774247077E-4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3.1622954281745018E-4</v>
      </c>
      <c r="C2" s="7">
        <f>$B2 * IFERROR(VLOOKUP("buildings|NOx|Premature mortality", US_national_yearly!$D:$AM, 11, FALSE) / VLOOKUP("buildings|NOx|Premature mortality", US_national_yearly!$D:$AM, 10, FALSE), 1)</f>
        <v>3.2088086321452406E-4</v>
      </c>
      <c r="D2" s="7">
        <f>$B2 * IFERROR(VLOOKUP("buildings|NOx|Premature mortality", US_national_yearly!$D:$AM, 12, FALSE) / VLOOKUP("buildings|NOx|Premature mortality", US_national_yearly!$D:$AM, 10, FALSE), 1)</f>
        <v>3.2553218361159784E-4</v>
      </c>
      <c r="E2" s="7">
        <f>$B2 * IFERROR(VLOOKUP("buildings|NOx|Premature mortality", US_national_yearly!$D:$AM, 13, FALSE) / VLOOKUP("buildings|NOx|Premature mortality", US_national_yearly!$D:$AM, 10, FALSE), 1)</f>
        <v>3.3018350400867172E-4</v>
      </c>
      <c r="F2" s="7">
        <f>$B2 * IFERROR(VLOOKUP("buildings|NOx|Premature mortality", US_national_yearly!$D:$AM, 14, FALSE) / VLOOKUP("buildings|NOx|Premature mortality", US_national_yearly!$D:$AM, 10, FALSE), 1)</f>
        <v>3.3483482440574555E-4</v>
      </c>
      <c r="G2" s="7">
        <f>$B2 * IFERROR(VLOOKUP("buildings|NOx|Premature mortality", US_national_yearly!$D:$AM, 15, FALSE) / VLOOKUP("buildings|NOx|Premature mortality", US_national_yearly!$D:$AM, 10, FALSE), 1)</f>
        <v>3.4318563001893392E-4</v>
      </c>
      <c r="H2" s="7">
        <f>$B2 * IFERROR(VLOOKUP("buildings|NOx|Premature mortality", US_national_yearly!$D:$AM, 16, FALSE) / VLOOKUP("buildings|NOx|Premature mortality", US_national_yearly!$D:$AM, 10, FALSE), 1)</f>
        <v>3.5153643563212239E-4</v>
      </c>
      <c r="I2" s="7">
        <f>$B2 * IFERROR(VLOOKUP("buildings|NOx|Premature mortality", US_national_yearly!$D:$AM, 17, FALSE) / VLOOKUP("buildings|NOx|Premature mortality", US_national_yearly!$D:$AM, 10, FALSE), 1)</f>
        <v>3.5693317605940054E-4</v>
      </c>
      <c r="J2" s="7">
        <f>$B2 * IFERROR(VLOOKUP("buildings|NOx|Premature mortality", US_national_yearly!$D:$AM, 18, FALSE) / VLOOKUP("buildings|NOx|Premature mortality", US_national_yearly!$D:$AM, 10, FALSE), 1)</f>
        <v>3.6232991648667864E-4</v>
      </c>
      <c r="K2" s="7">
        <f>$B2 * IFERROR(VLOOKUP("buildings|NOx|Premature mortality", US_national_yearly!$D:$AM, 19, FALSE) / VLOOKUP("buildings|NOx|Premature mortality", US_national_yearly!$D:$AM, 10, FALSE), 1)</f>
        <v>3.6772665691395674E-4</v>
      </c>
      <c r="L2" s="7">
        <f>$B2 * IFERROR(VLOOKUP("buildings|NOx|Premature mortality", US_national_yearly!$D:$AM, 20, FALSE) / VLOOKUP("buildings|NOx|Premature mortality", US_national_yearly!$D:$AM, 10, FALSE), 1)</f>
        <v>3.7312339734123489E-4</v>
      </c>
      <c r="M2" s="7">
        <f>$B2 * IFERROR(VLOOKUP("buildings|NOx|Premature mortality", US_national_yearly!$D:$AM, 21, FALSE) / VLOOKUP("buildings|NOx|Premature mortality", US_national_yearly!$D:$AM, 10, FALSE), 1)</f>
        <v>3.7852013776851304E-4</v>
      </c>
      <c r="N2" s="7">
        <f>$B2 * IFERROR(VLOOKUP("buildings|NOx|Premature mortality", US_national_yearly!$D:$AM, 22, FALSE) / VLOOKUP("buildings|NOx|Premature mortality", US_national_yearly!$D:$AM, 10, FALSE), 1)</f>
        <v>3.8251891641486168E-4</v>
      </c>
      <c r="O2" s="7">
        <f>$B2 * IFERROR(VLOOKUP("buildings|NOx|Premature mortality", US_national_yearly!$D:$AM, 23, FALSE) / VLOOKUP("buildings|NOx|Premature mortality", US_national_yearly!$D:$AM, 10, FALSE), 1)</f>
        <v>3.8651769506121042E-4</v>
      </c>
      <c r="P2" s="7">
        <f>$B2 * IFERROR(VLOOKUP("buildings|NOx|Premature mortality", US_national_yearly!$D:$AM, 24, FALSE) / VLOOKUP("buildings|NOx|Premature mortality", US_national_yearly!$D:$AM, 10, FALSE), 1)</f>
        <v>3.9051647370755917E-4</v>
      </c>
      <c r="Q2" s="7">
        <f>$B2 * IFERROR(VLOOKUP("buildings|NOx|Premature mortality", US_national_yearly!$D:$AM, 25, FALSE) / VLOOKUP("buildings|NOx|Premature mortality", US_national_yearly!$D:$AM, 10, FALSE), 1)</f>
        <v>3.9451525235390786E-4</v>
      </c>
      <c r="R2" s="7">
        <f>$B2 * IFERROR(VLOOKUP("buildings|NOx|Premature mortality", US_national_yearly!$D:$AM, 26, FALSE) / VLOOKUP("buildings|NOx|Premature mortality", US_national_yearly!$D:$AM, 10, FALSE), 1)</f>
        <v>3.985140310002566E-4</v>
      </c>
      <c r="S2" s="7">
        <f>$B2 * IFERROR(VLOOKUP("buildings|NOx|Premature mortality", US_national_yearly!$D:$AM, 27, FALSE) / VLOOKUP("buildings|NOx|Premature mortality", US_national_yearly!$D:$AM, 10, FALSE), 1)</f>
        <v>4.0033203342747437E-4</v>
      </c>
      <c r="T2" s="7">
        <f>$B2 * IFERROR(VLOOKUP("buildings|NOx|Premature mortality", US_national_yearly!$D:$AM, 28, FALSE) / VLOOKUP("buildings|NOx|Premature mortality", US_national_yearly!$D:$AM, 10, FALSE), 1)</f>
        <v>4.0215003585469209E-4</v>
      </c>
      <c r="U2" s="7">
        <f>$B2 * IFERROR(VLOOKUP("buildings|NOx|Premature mortality", US_national_yearly!$D:$AM, 29, FALSE) / VLOOKUP("buildings|NOx|Premature mortality", US_national_yearly!$D:$AM, 10, FALSE), 1)</f>
        <v>4.0396803828190991E-4</v>
      </c>
      <c r="V2" s="7">
        <f>$B2 * IFERROR(VLOOKUP("buildings|NOx|Premature mortality", US_national_yearly!$D:$AM, 30, FALSE) / VLOOKUP("buildings|NOx|Premature mortality", US_national_yearly!$D:$AM, 10, FALSE), 1)</f>
        <v>4.0578604070912774E-4</v>
      </c>
      <c r="W2" s="7">
        <f>$B2 * IFERROR(VLOOKUP("buildings|NOx|Premature mortality", US_national_yearly!$D:$AM, 31, FALSE) / VLOOKUP("buildings|NOx|Premature mortality", US_national_yearly!$D:$AM, 10, FALSE), 1)</f>
        <v>4.0760404313634546E-4</v>
      </c>
      <c r="X2" s="7">
        <f>$B2 * IFERROR(VLOOKUP("buildings|NOx|Premature mortality", US_national_yearly!$D:$AM, 32, FALSE) / VLOOKUP("buildings|NOx|Premature mortality", US_national_yearly!$D:$AM, 10, FALSE), 1)</f>
        <v>4.076680716998536E-4</v>
      </c>
      <c r="Y2" s="7">
        <f>$B2 * IFERROR(VLOOKUP("buildings|NOx|Premature mortality", US_national_yearly!$D:$AM, 33, FALSE) / VLOOKUP("buildings|NOx|Premature mortality", US_national_yearly!$D:$AM, 10, FALSE), 1)</f>
        <v>4.0773210026336169E-4</v>
      </c>
      <c r="Z2" s="7">
        <f>$B2 * IFERROR(VLOOKUP("buildings|NOx|Premature mortality", US_national_yearly!$D:$AM, 34, FALSE) / VLOOKUP("buildings|NOx|Premature mortality", US_national_yearly!$D:$AM, 10, FALSE), 1)</f>
        <v>4.0779612882686984E-4</v>
      </c>
      <c r="AA2" s="7">
        <f>$B2 * IFERROR(VLOOKUP("buildings|NOx|Premature mortality", US_national_yearly!$D:$AM, 35, FALSE) / VLOOKUP("buildings|NOx|Premature mortality", US_national_yearly!$D:$AM, 10, FALSE), 1)</f>
        <v>4.0786015739037787E-4</v>
      </c>
      <c r="AB2" s="7">
        <f>$B2 * IFERROR(VLOOKUP("buildings|NOx|Premature mortality", US_national_yearly!$D:$AM, 36, FALSE) / VLOOKUP("buildings|NOx|Premature mortality", US_national_yearly!$D:$AM, 10, FALSE), 1)</f>
        <v>4.0792418595388607E-4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5.3004689438199383E-7</v>
      </c>
      <c r="C3" s="7">
        <f>$B3 * IFERROR(VLOOKUP("buildings|NOx|Infant mortality", US_national_yearly!$D:$AM, 11, FALSE) / VLOOKUP("buildings|NOx|Infant mortality", US_national_yearly!$D:$AM, 10, FALSE), 1)</f>
        <v>5.2501207096778004E-7</v>
      </c>
      <c r="D3" s="7">
        <f>$B3 * IFERROR(VLOOKUP("buildings|NOx|Infant mortality", US_national_yearly!$D:$AM, 12, FALSE) / VLOOKUP("buildings|NOx|Infant mortality", US_national_yearly!$D:$AM, 10, FALSE), 1)</f>
        <v>5.1997724755356615E-7</v>
      </c>
      <c r="E3" s="7">
        <f>$B3 * IFERROR(VLOOKUP("buildings|NOx|Infant mortality", US_national_yearly!$D:$AM, 13, FALSE) / VLOOKUP("buildings|NOx|Infant mortality", US_national_yearly!$D:$AM, 10, FALSE), 1)</f>
        <v>5.1494242413935236E-7</v>
      </c>
      <c r="F3" s="7">
        <f>$B3 * IFERROR(VLOOKUP("buildings|NOx|Infant mortality", US_national_yearly!$D:$AM, 14, FALSE) / VLOOKUP("buildings|NOx|Infant mortality", US_national_yearly!$D:$AM, 10, FALSE), 1)</f>
        <v>5.0990760072513847E-7</v>
      </c>
      <c r="G3" s="7">
        <f>$B3 * IFERROR(VLOOKUP("buildings|NOx|Infant mortality", US_national_yearly!$D:$AM, 15, FALSE) / VLOOKUP("buildings|NOx|Infant mortality", US_national_yearly!$D:$AM, 10, FALSE), 1)</f>
        <v>3.3844476915662613E-7</v>
      </c>
      <c r="H3" s="7">
        <f>$B3 * IFERROR(VLOOKUP("buildings|NOx|Infant mortality", US_national_yearly!$D:$AM, 16, FALSE) / VLOOKUP("buildings|NOx|Infant mortality", US_national_yearly!$D:$AM, 10, FALSE), 1)</f>
        <v>1.6698193758811376E-7</v>
      </c>
      <c r="I3" s="7">
        <f>$B3 * IFERROR(VLOOKUP("buildings|NOx|Infant mortality", US_national_yearly!$D:$AM, 17, FALSE) / VLOOKUP("buildings|NOx|Infant mortality", US_national_yearly!$D:$AM, 10, FALSE), 1)</f>
        <v>1.6580228394219963E-7</v>
      </c>
      <c r="J3" s="7">
        <f>$B3 * IFERROR(VLOOKUP("buildings|NOx|Infant mortality", US_national_yearly!$D:$AM, 18, FALSE) / VLOOKUP("buildings|NOx|Infant mortality", US_national_yearly!$D:$AM, 10, FALSE), 1)</f>
        <v>1.6462263029628549E-7</v>
      </c>
      <c r="K3" s="7">
        <f>$B3 * IFERROR(VLOOKUP("buildings|NOx|Infant mortality", US_national_yearly!$D:$AM, 19, FALSE) / VLOOKUP("buildings|NOx|Infant mortality", US_national_yearly!$D:$AM, 10, FALSE), 1)</f>
        <v>1.6344297665037139E-7</v>
      </c>
      <c r="L3" s="7">
        <f>$B3 * IFERROR(VLOOKUP("buildings|NOx|Infant mortality", US_national_yearly!$D:$AM, 20, FALSE) / VLOOKUP("buildings|NOx|Infant mortality", US_national_yearly!$D:$AM, 10, FALSE), 1)</f>
        <v>1.6226332300445726E-7</v>
      </c>
      <c r="M3" s="7">
        <f>$B3 * IFERROR(VLOOKUP("buildings|NOx|Infant mortality", US_national_yearly!$D:$AM, 21, FALSE) / VLOOKUP("buildings|NOx|Infant mortality", US_national_yearly!$D:$AM, 10, FALSE), 1)</f>
        <v>1.6108366935854312E-7</v>
      </c>
      <c r="N3" s="7">
        <f>$B3 * IFERROR(VLOOKUP("buildings|NOx|Infant mortality", US_national_yearly!$D:$AM, 22, FALSE) / VLOOKUP("buildings|NOx|Infant mortality", US_national_yearly!$D:$AM, 10, FALSE), 1)</f>
        <v>1.6030197893611718E-7</v>
      </c>
      <c r="O3" s="7">
        <f>$B3 * IFERROR(VLOOKUP("buildings|NOx|Infant mortality", US_national_yearly!$D:$AM, 23, FALSE) / VLOOKUP("buildings|NOx|Infant mortality", US_national_yearly!$D:$AM, 10, FALSE), 1)</f>
        <v>1.5952028851369126E-7</v>
      </c>
      <c r="P3" s="7">
        <f>$B3 * IFERROR(VLOOKUP("buildings|NOx|Infant mortality", US_national_yearly!$D:$AM, 24, FALSE) / VLOOKUP("buildings|NOx|Infant mortality", US_national_yearly!$D:$AM, 10, FALSE), 1)</f>
        <v>1.5873859809126531E-7</v>
      </c>
      <c r="Q3" s="7">
        <f>$B3 * IFERROR(VLOOKUP("buildings|NOx|Infant mortality", US_national_yearly!$D:$AM, 25, FALSE) / VLOOKUP("buildings|NOx|Infant mortality", US_national_yearly!$D:$AM, 10, FALSE), 1)</f>
        <v>1.5795690766883942E-7</v>
      </c>
      <c r="R3" s="7">
        <f>$B3 * IFERROR(VLOOKUP("buildings|NOx|Infant mortality", US_national_yearly!$D:$AM, 26, FALSE) / VLOOKUP("buildings|NOx|Infant mortality", US_national_yearly!$D:$AM, 10, FALSE), 1)</f>
        <v>1.5717521724641347E-7</v>
      </c>
      <c r="S3" s="7">
        <f>$B3 * IFERROR(VLOOKUP("buildings|NOx|Infant mortality", US_national_yearly!$D:$AM, 27, FALSE) / VLOOKUP("buildings|NOx|Infant mortality", US_national_yearly!$D:$AM, 10, FALSE), 1)</f>
        <v>1.5623489359310555E-7</v>
      </c>
      <c r="T3" s="7">
        <f>$B3 * IFERROR(VLOOKUP("buildings|NOx|Infant mortality", US_national_yearly!$D:$AM, 28, FALSE) / VLOOKUP("buildings|NOx|Infant mortality", US_national_yearly!$D:$AM, 10, FALSE), 1)</f>
        <v>1.5529456993979768E-7</v>
      </c>
      <c r="U3" s="7">
        <f>$B3 * IFERROR(VLOOKUP("buildings|NOx|Infant mortality", US_national_yearly!$D:$AM, 29, FALSE) / VLOOKUP("buildings|NOx|Infant mortality", US_national_yearly!$D:$AM, 10, FALSE), 1)</f>
        <v>1.5435424628648978E-7</v>
      </c>
      <c r="V3" s="7">
        <f>$B3 * IFERROR(VLOOKUP("buildings|NOx|Infant mortality", US_national_yearly!$D:$AM, 30, FALSE) / VLOOKUP("buildings|NOx|Infant mortality", US_national_yearly!$D:$AM, 10, FALSE), 1)</f>
        <v>1.5341392263318186E-7</v>
      </c>
      <c r="W3" s="7">
        <f>$B3 * IFERROR(VLOOKUP("buildings|NOx|Infant mortality", US_national_yearly!$D:$AM, 31, FALSE) / VLOOKUP("buildings|NOx|Infant mortality", US_national_yearly!$D:$AM, 10, FALSE), 1)</f>
        <v>1.5247359897987399E-7</v>
      </c>
      <c r="X3" s="7">
        <f>$B3 * IFERROR(VLOOKUP("buildings|NOx|Infant mortality", US_national_yearly!$D:$AM, 32, FALSE) / VLOOKUP("buildings|NOx|Infant mortality", US_national_yearly!$D:$AM, 10, FALSE), 1)</f>
        <v>1.5147865414082639E-7</v>
      </c>
      <c r="Y3" s="7">
        <f>$B3 * IFERROR(VLOOKUP("buildings|NOx|Infant mortality", US_national_yearly!$D:$AM, 33, FALSE) / VLOOKUP("buildings|NOx|Infant mortality", US_national_yearly!$D:$AM, 10, FALSE), 1)</f>
        <v>1.5048370930177885E-7</v>
      </c>
      <c r="Z3" s="7">
        <f>$B3 * IFERROR(VLOOKUP("buildings|NOx|Infant mortality", US_national_yearly!$D:$AM, 34, FALSE) / VLOOKUP("buildings|NOx|Infant mortality", US_national_yearly!$D:$AM, 10, FALSE), 1)</f>
        <v>1.4948876446273125E-7</v>
      </c>
      <c r="AA3" s="7">
        <f>$B3 * IFERROR(VLOOKUP("buildings|NOx|Infant mortality", US_national_yearly!$D:$AM, 35, FALSE) / VLOOKUP("buildings|NOx|Infant mortality", US_national_yearly!$D:$AM, 10, FALSE), 1)</f>
        <v>1.4849381962368366E-7</v>
      </c>
      <c r="AB3" s="7">
        <f>$B3 * IFERROR(VLOOKUP("buildings|NOx|Infant mortality", US_national_yearly!$D:$AM, 36, FALSE) / VLOOKUP("buildings|NOx|Infant mortality", US_national_yearly!$D:$AM, 10, FALSE), 1)</f>
        <v>1.4749887478463606E-7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5.4157114188996464E-4</v>
      </c>
      <c r="C6" s="7">
        <f>$B6 * IFERROR(VLOOKUP("buildings|NOx|Asthma symptoms cough", US_national_yearly!$D:$AM, 11, FALSE) / VLOOKUP("buildings|NOx|Asthma symptoms cough", US_national_yearly!$D:$AM, 10, FALSE), 1)</f>
        <v>5.4898269048069448E-4</v>
      </c>
      <c r="D6" s="7">
        <f>$B6 * IFERROR(VLOOKUP("buildings|NOx|Asthma symptoms cough", US_national_yearly!$D:$AM, 12, FALSE) / VLOOKUP("buildings|NOx|Asthma symptoms cough", US_national_yearly!$D:$AM, 10, FALSE), 1)</f>
        <v>5.5639423907142432E-4</v>
      </c>
      <c r="E6" s="7">
        <f>$B6 * IFERROR(VLOOKUP("buildings|NOx|Asthma symptoms cough", US_national_yearly!$D:$AM, 13, FALSE) / VLOOKUP("buildings|NOx|Asthma symptoms cough", US_national_yearly!$D:$AM, 10, FALSE), 1)</f>
        <v>5.6380578766215416E-4</v>
      </c>
      <c r="F6" s="7">
        <f>$B6 * IFERROR(VLOOKUP("buildings|NOx|Asthma symptoms cough", US_national_yearly!$D:$AM, 14, FALSE) / VLOOKUP("buildings|NOx|Asthma symptoms cough", US_national_yearly!$D:$AM, 10, FALSE), 1)</f>
        <v>5.7121733625288388E-4</v>
      </c>
      <c r="G6" s="7">
        <f>$B6 * IFERROR(VLOOKUP("buildings|NOx|Asthma symptoms cough", US_national_yearly!$D:$AM, 15, FALSE) / VLOOKUP("buildings|NOx|Asthma symptoms cough", US_national_yearly!$D:$AM, 10, FALSE), 1)</f>
        <v>5.7714055234999633E-4</v>
      </c>
      <c r="H6" s="7">
        <f>$B6 * IFERROR(VLOOKUP("buildings|NOx|Asthma symptoms cough", US_national_yearly!$D:$AM, 16, FALSE) / VLOOKUP("buildings|NOx|Asthma symptoms cough", US_national_yearly!$D:$AM, 10, FALSE), 1)</f>
        <v>5.8306376844710877E-4</v>
      </c>
      <c r="I6" s="7">
        <f>$B6 * IFERROR(VLOOKUP("buildings|NOx|Asthma symptoms cough", US_national_yearly!$D:$AM, 17, FALSE) / VLOOKUP("buildings|NOx|Asthma symptoms cough", US_national_yearly!$D:$AM, 10, FALSE), 1)</f>
        <v>5.851136185969824E-4</v>
      </c>
      <c r="J6" s="7">
        <f>$B6 * IFERROR(VLOOKUP("buildings|NOx|Asthma symptoms cough", US_national_yearly!$D:$AM, 18, FALSE) / VLOOKUP("buildings|NOx|Asthma symptoms cough", US_national_yearly!$D:$AM, 10, FALSE), 1)</f>
        <v>5.8716346874685603E-4</v>
      </c>
      <c r="K6" s="7">
        <f>$B6 * IFERROR(VLOOKUP("buildings|NOx|Asthma symptoms cough", US_national_yearly!$D:$AM, 19, FALSE) / VLOOKUP("buildings|NOx|Asthma symptoms cough", US_national_yearly!$D:$AM, 10, FALSE), 1)</f>
        <v>5.8921331889672944E-4</v>
      </c>
      <c r="L6" s="7">
        <f>$B6 * IFERROR(VLOOKUP("buildings|NOx|Asthma symptoms cough", US_national_yearly!$D:$AM, 20, FALSE) / VLOOKUP("buildings|NOx|Asthma symptoms cough", US_national_yearly!$D:$AM, 10, FALSE), 1)</f>
        <v>5.9126316904660307E-4</v>
      </c>
      <c r="M6" s="7">
        <f>$B6 * IFERROR(VLOOKUP("buildings|NOx|Asthma symptoms cough", US_national_yearly!$D:$AM, 21, FALSE) / VLOOKUP("buildings|NOx|Asthma symptoms cough", US_national_yearly!$D:$AM, 10, FALSE), 1)</f>
        <v>5.9331301919647648E-4</v>
      </c>
      <c r="N6" s="7">
        <f>$B6 * IFERROR(VLOOKUP("buildings|NOx|Asthma symptoms cough", US_national_yearly!$D:$AM, 22, FALSE) / VLOOKUP("buildings|NOx|Asthma symptoms cough", US_national_yearly!$D:$AM, 10, FALSE), 1)</f>
        <v>5.9568328615551449E-4</v>
      </c>
      <c r="O6" s="7">
        <f>$B6 * IFERROR(VLOOKUP("buildings|NOx|Asthma symptoms cough", US_national_yearly!$D:$AM, 23, FALSE) / VLOOKUP("buildings|NOx|Asthma symptoms cough", US_national_yearly!$D:$AM, 10, FALSE), 1)</f>
        <v>5.9805355311455229E-4</v>
      </c>
      <c r="P6" s="7">
        <f>$B6 * IFERROR(VLOOKUP("buildings|NOx|Asthma symptoms cough", US_national_yearly!$D:$AM, 24, FALSE) / VLOOKUP("buildings|NOx|Asthma symptoms cough", US_national_yearly!$D:$AM, 10, FALSE), 1)</f>
        <v>6.0042382007359019E-4</v>
      </c>
      <c r="Q6" s="7">
        <f>$B6 * IFERROR(VLOOKUP("buildings|NOx|Asthma symptoms cough", US_national_yearly!$D:$AM, 25, FALSE) / VLOOKUP("buildings|NOx|Asthma symptoms cough", US_national_yearly!$D:$AM, 10, FALSE), 1)</f>
        <v>6.027940870326281E-4</v>
      </c>
      <c r="R6" s="7">
        <f>$B6 * IFERROR(VLOOKUP("buildings|NOx|Asthma symptoms cough", US_national_yearly!$D:$AM, 26, FALSE) / VLOOKUP("buildings|NOx|Asthma symptoms cough", US_national_yearly!$D:$AM, 10, FALSE), 1)</f>
        <v>6.05164353991666E-4</v>
      </c>
      <c r="S6" s="7">
        <f>$B6 * IFERROR(VLOOKUP("buildings|NOx|Asthma symptoms cough", US_national_yearly!$D:$AM, 27, FALSE) / VLOOKUP("buildings|NOx|Asthma symptoms cough", US_national_yearly!$D:$AM, 10, FALSE), 1)</f>
        <v>6.0825997287261341E-4</v>
      </c>
      <c r="T6" s="7">
        <f>$B6 * IFERROR(VLOOKUP("buildings|NOx|Asthma symptoms cough", US_national_yearly!$D:$AM, 28, FALSE) / VLOOKUP("buildings|NOx|Asthma symptoms cough", US_national_yearly!$D:$AM, 10, FALSE), 1)</f>
        <v>6.113555917535606E-4</v>
      </c>
      <c r="U6" s="7">
        <f>$B6 * IFERROR(VLOOKUP("buildings|NOx|Asthma symptoms cough", US_national_yearly!$D:$AM, 29, FALSE) / VLOOKUP("buildings|NOx|Asthma symptoms cough", US_national_yearly!$D:$AM, 10, FALSE), 1)</f>
        <v>6.144512106345079E-4</v>
      </c>
      <c r="V6" s="7">
        <f>$B6 * IFERROR(VLOOKUP("buildings|NOx|Asthma symptoms cough", US_national_yearly!$D:$AM, 30, FALSE) / VLOOKUP("buildings|NOx|Asthma symptoms cough", US_national_yearly!$D:$AM, 10, FALSE), 1)</f>
        <v>6.1754682951545542E-4</v>
      </c>
      <c r="W6" s="7">
        <f>$B6 * IFERROR(VLOOKUP("buildings|NOx|Asthma symptoms cough", US_national_yearly!$D:$AM, 31, FALSE) / VLOOKUP("buildings|NOx|Asthma symptoms cough", US_national_yearly!$D:$AM, 10, FALSE), 1)</f>
        <v>6.2064244839640272E-4</v>
      </c>
      <c r="X6" s="7">
        <f>$B6 * IFERROR(VLOOKUP("buildings|NOx|Asthma symptoms cough", US_national_yearly!$D:$AM, 32, FALSE) / VLOOKUP("buildings|NOx|Asthma symptoms cough", US_national_yearly!$D:$AM, 10, FALSE), 1)</f>
        <v>6.2351870430220823E-4</v>
      </c>
      <c r="Y6" s="7">
        <f>$B6 * IFERROR(VLOOKUP("buildings|NOx|Asthma symptoms cough", US_national_yearly!$D:$AM, 33, FALSE) / VLOOKUP("buildings|NOx|Asthma symptoms cough", US_national_yearly!$D:$AM, 10, FALSE), 1)</f>
        <v>6.2639496020801386E-4</v>
      </c>
      <c r="Z6" s="7">
        <f>$B6 * IFERROR(VLOOKUP("buildings|NOx|Asthma symptoms cough", US_national_yearly!$D:$AM, 34, FALSE) / VLOOKUP("buildings|NOx|Asthma symptoms cough", US_national_yearly!$D:$AM, 10, FALSE), 1)</f>
        <v>6.2927121611381959E-4</v>
      </c>
      <c r="AA6" s="7">
        <f>$B6 * IFERROR(VLOOKUP("buildings|NOx|Asthma symptoms cough", US_national_yearly!$D:$AM, 35, FALSE) / VLOOKUP("buildings|NOx|Asthma symptoms cough", US_national_yearly!$D:$AM, 10, FALSE), 1)</f>
        <v>6.3214747201962521E-4</v>
      </c>
      <c r="AB6" s="7">
        <f>$B6 * IFERROR(VLOOKUP("buildings|NOx|Asthma symptoms cough", US_national_yearly!$D:$AM, 36, FALSE) / VLOOKUP("buildings|NOx|Asthma symptoms cough", US_national_yearly!$D:$AM, 10, FALSE), 1)</f>
        <v>6.3502372792543095E-4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7.2930326043846696E-4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7.3928397418653502E-4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7.4926468793460319E-4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7.5924540168267125E-4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7.6922611543073943E-4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7.7720257588208459E-4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7.8517903633342986E-4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7.879394536848052E-4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7.9069987103618053E-4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7.9346028838755609E-4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7.9622070573893142E-4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7.9898112309030687E-4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8.021730276617507E-4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8.0536493223319465E-4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8.0855683680463848E-4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8.1174874137608232E-4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8.1494064594752626E-4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8.1910934098416955E-4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8.2327803602081295E-4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8.2744673105745624E-4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8.3161542609409952E-4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8.3578412113074281E-4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8.3965741244091589E-4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8.4353070375108887E-4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8.4740399506126195E-4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8.5127728637143471E-4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8.5515057768160779E-4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1.1142548779061545E-3</v>
      </c>
      <c r="C8" s="7">
        <f>$B8 * IFERROR(VLOOKUP("buildings|NOx|Asthma symptoms wheeze", US_national_yearly!$D:$AM, 11, FALSE) / VLOOKUP("buildings|NOx|Asthma symptoms wheeze", US_national_yearly!$D:$AM, 10, FALSE), 1)</f>
        <v>1.1295037594187512E-3</v>
      </c>
      <c r="D8" s="7">
        <f>$B8 * IFERROR(VLOOKUP("buildings|NOx|Asthma symptoms wheeze", US_national_yearly!$D:$AM, 12, FALSE) / VLOOKUP("buildings|NOx|Asthma symptoms wheeze", US_national_yearly!$D:$AM, 10, FALSE), 1)</f>
        <v>1.1447526409313479E-3</v>
      </c>
      <c r="E8" s="7">
        <f>$B8 * IFERROR(VLOOKUP("buildings|NOx|Asthma symptoms wheeze", US_national_yearly!$D:$AM, 13, FALSE) / VLOOKUP("buildings|NOx|Asthma symptoms wheeze", US_national_yearly!$D:$AM, 10, FALSE), 1)</f>
        <v>1.1600015224439441E-3</v>
      </c>
      <c r="F8" s="7">
        <f>$B8 * IFERROR(VLOOKUP("buildings|NOx|Asthma symptoms wheeze", US_national_yearly!$D:$AM, 14, FALSE) / VLOOKUP("buildings|NOx|Asthma symptoms wheeze", US_national_yearly!$D:$AM, 10, FALSE), 1)</f>
        <v>1.175250403956541E-3</v>
      </c>
      <c r="G8" s="7">
        <f>$B8 * IFERROR(VLOOKUP("buildings|NOx|Asthma symptoms wheeze", US_national_yearly!$D:$AM, 15, FALSE) / VLOOKUP("buildings|NOx|Asthma symptoms wheeze", US_national_yearly!$D:$AM, 10, FALSE), 1)</f>
        <v>1.1874371176148883E-3</v>
      </c>
      <c r="H8" s="7">
        <f>$B8 * IFERROR(VLOOKUP("buildings|NOx|Asthma symptoms wheeze", US_national_yearly!$D:$AM, 16, FALSE) / VLOOKUP("buildings|NOx|Asthma symptoms wheeze", US_national_yearly!$D:$AM, 10, FALSE), 1)</f>
        <v>1.1996238312732353E-3</v>
      </c>
      <c r="I8" s="7">
        <f>$B8 * IFERROR(VLOOKUP("buildings|NOx|Asthma symptoms wheeze", US_national_yearly!$D:$AM, 17, FALSE) / VLOOKUP("buildings|NOx|Asthma symptoms wheeze", US_national_yearly!$D:$AM, 10, FALSE), 1)</f>
        <v>1.2038412929382012E-3</v>
      </c>
      <c r="J8" s="7">
        <f>$B8 * IFERROR(VLOOKUP("buildings|NOx|Asthma symptoms wheeze", US_national_yearly!$D:$AM, 18, FALSE) / VLOOKUP("buildings|NOx|Asthma symptoms wheeze", US_national_yearly!$D:$AM, 10, FALSE), 1)</f>
        <v>1.208058754603167E-3</v>
      </c>
      <c r="K8" s="7">
        <f>$B8 * IFERROR(VLOOKUP("buildings|NOx|Asthma symptoms wheeze", US_national_yearly!$D:$AM, 19, FALSE) / VLOOKUP("buildings|NOx|Asthma symptoms wheeze", US_national_yearly!$D:$AM, 10, FALSE), 1)</f>
        <v>1.2122762162681327E-3</v>
      </c>
      <c r="L8" s="7">
        <f>$B8 * IFERROR(VLOOKUP("buildings|NOx|Asthma symptoms wheeze", US_national_yearly!$D:$AM, 20, FALSE) / VLOOKUP("buildings|NOx|Asthma symptoms wheeze", US_national_yearly!$D:$AM, 10, FALSE), 1)</f>
        <v>1.2164936779330985E-3</v>
      </c>
      <c r="M8" s="7">
        <f>$B8 * IFERROR(VLOOKUP("buildings|NOx|Asthma symptoms wheeze", US_national_yearly!$D:$AM, 21, FALSE) / VLOOKUP("buildings|NOx|Asthma symptoms wheeze", US_national_yearly!$D:$AM, 10, FALSE), 1)</f>
        <v>1.2207111395980644E-3</v>
      </c>
      <c r="N8" s="7">
        <f>$B8 * IFERROR(VLOOKUP("buildings|NOx|Asthma symptoms wheeze", US_national_yearly!$D:$AM, 22, FALSE) / VLOOKUP("buildings|NOx|Asthma symptoms wheeze", US_national_yearly!$D:$AM, 10, FALSE), 1)</f>
        <v>1.2255878424323977E-3</v>
      </c>
      <c r="O8" s="7">
        <f>$B8 * IFERROR(VLOOKUP("buildings|NOx|Asthma symptoms wheeze", US_national_yearly!$D:$AM, 23, FALSE) / VLOOKUP("buildings|NOx|Asthma symptoms wheeze", US_national_yearly!$D:$AM, 10, FALSE), 1)</f>
        <v>1.2304645452667314E-3</v>
      </c>
      <c r="P8" s="7">
        <f>$B8 * IFERROR(VLOOKUP("buildings|NOx|Asthma symptoms wheeze", US_national_yearly!$D:$AM, 24, FALSE) / VLOOKUP("buildings|NOx|Asthma symptoms wheeze", US_national_yearly!$D:$AM, 10, FALSE), 1)</f>
        <v>1.2353412481010649E-3</v>
      </c>
      <c r="Q8" s="7">
        <f>$B8 * IFERROR(VLOOKUP("buildings|NOx|Asthma symptoms wheeze", US_national_yearly!$D:$AM, 25, FALSE) / VLOOKUP("buildings|NOx|Asthma symptoms wheeze", US_national_yearly!$D:$AM, 10, FALSE), 1)</f>
        <v>1.2402179509353984E-3</v>
      </c>
      <c r="R8" s="7">
        <f>$B8 * IFERROR(VLOOKUP("buildings|NOx|Asthma symptoms wheeze", US_national_yearly!$D:$AM, 26, FALSE) / VLOOKUP("buildings|NOx|Asthma symptoms wheeze", US_national_yearly!$D:$AM, 10, FALSE), 1)</f>
        <v>1.2450946537697319E-3</v>
      </c>
      <c r="S8" s="7">
        <f>$B8 * IFERROR(VLOOKUP("buildings|NOx|Asthma symptoms wheeze", US_national_yearly!$D:$AM, 27, FALSE) / VLOOKUP("buildings|NOx|Asthma symptoms wheeze", US_national_yearly!$D:$AM, 10, FALSE), 1)</f>
        <v>1.251463731023555E-3</v>
      </c>
      <c r="T8" s="7">
        <f>$B8 * IFERROR(VLOOKUP("buildings|NOx|Asthma symptoms wheeze", US_national_yearly!$D:$AM, 28, FALSE) / VLOOKUP("buildings|NOx|Asthma symptoms wheeze", US_national_yearly!$D:$AM, 10, FALSE), 1)</f>
        <v>1.2578328082773784E-3</v>
      </c>
      <c r="U8" s="7">
        <f>$B8 * IFERROR(VLOOKUP("buildings|NOx|Asthma symptoms wheeze", US_national_yearly!$D:$AM, 29, FALSE) / VLOOKUP("buildings|NOx|Asthma symptoms wheeze", US_national_yearly!$D:$AM, 10, FALSE), 1)</f>
        <v>1.2642018855312015E-3</v>
      </c>
      <c r="V8" s="7">
        <f>$B8 * IFERROR(VLOOKUP("buildings|NOx|Asthma symptoms wheeze", US_national_yearly!$D:$AM, 30, FALSE) / VLOOKUP("buildings|NOx|Asthma symptoms wheeze", US_national_yearly!$D:$AM, 10, FALSE), 1)</f>
        <v>1.2705709627850248E-3</v>
      </c>
      <c r="W8" s="7">
        <f>$B8 * IFERROR(VLOOKUP("buildings|NOx|Asthma symptoms wheeze", US_national_yearly!$D:$AM, 31, FALSE) / VLOOKUP("buildings|NOx|Asthma symptoms wheeze", US_national_yearly!$D:$AM, 10, FALSE), 1)</f>
        <v>1.276940040038848E-3</v>
      </c>
      <c r="X8" s="7">
        <f>$B8 * IFERROR(VLOOKUP("buildings|NOx|Asthma symptoms wheeze", US_national_yearly!$D:$AM, 32, FALSE) / VLOOKUP("buildings|NOx|Asthma symptoms wheeze", US_national_yearly!$D:$AM, 10, FALSE), 1)</f>
        <v>1.2828577892099531E-3</v>
      </c>
      <c r="Y8" s="7">
        <f>$B8 * IFERROR(VLOOKUP("buildings|NOx|Asthma symptoms wheeze", US_national_yearly!$D:$AM, 33, FALSE) / VLOOKUP("buildings|NOx|Asthma symptoms wheeze", US_national_yearly!$D:$AM, 10, FALSE), 1)</f>
        <v>1.2887755383810581E-3</v>
      </c>
      <c r="Z8" s="7">
        <f>$B8 * IFERROR(VLOOKUP("buildings|NOx|Asthma symptoms wheeze", US_national_yearly!$D:$AM, 34, FALSE) / VLOOKUP("buildings|NOx|Asthma symptoms wheeze", US_national_yearly!$D:$AM, 10, FALSE), 1)</f>
        <v>1.2946932875521635E-3</v>
      </c>
      <c r="AA8" s="7">
        <f>$B8 * IFERROR(VLOOKUP("buildings|NOx|Asthma symptoms wheeze", US_national_yearly!$D:$AM, 35, FALSE) / VLOOKUP("buildings|NOx|Asthma symptoms wheeze", US_national_yearly!$D:$AM, 10, FALSE), 1)</f>
        <v>1.3006110367232687E-3</v>
      </c>
      <c r="AB8" s="7">
        <f>$B8 * IFERROR(VLOOKUP("buildings|NOx|Asthma symptoms wheeze", US_national_yearly!$D:$AM, 36, FALSE) / VLOOKUP("buildings|NOx|Asthma symptoms wheeze", US_national_yearly!$D:$AM, 10, FALSE), 1)</f>
        <v>1.3065287858943738E-3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2.8843174583787841E-5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2.9563802566821165E-5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3.0284430549854493E-5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3.1005058532887818E-5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3.1725686515921143E-5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3.2414628796254104E-5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3.3103571076587052E-5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3.3688811312066892E-5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3.4274051547546739E-5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3.4859291783026586E-5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3.5444532018506433E-5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3.602977225398628E-5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3.6421002131291518E-5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3.6812232008596748E-5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3.7203461885901985E-5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3.7594691763207222E-5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3.7985921640512453E-5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3.8195687252849935E-5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3.8405452865187424E-5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3.8615218477524912E-5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3.8824984089862394E-5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3.9034749702199876E-5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3.9178344161546982E-5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3.9321938620894074E-5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3.9465533080241187E-5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3.9609127539588286E-5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3.9752721998935385E-5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1.0431120128407437E-4</v>
      </c>
      <c r="C13" s="7">
        <f>$B13 * IFERROR(VLOOKUP("buildings|NOx|Non-fatal heart attacks", US_national_yearly!$D:$AM, 11, FALSE) / VLOOKUP("buildings|NOx|Non-fatal heart attacks", US_national_yearly!$D:$AM, 10, FALSE), 1)</f>
        <v>1.0729533207655932E-4</v>
      </c>
      <c r="D13" s="7">
        <f>$B13 * IFERROR(VLOOKUP("buildings|NOx|Non-fatal heart attacks", US_national_yearly!$D:$AM, 12, FALSE) / VLOOKUP("buildings|NOx|Non-fatal heart attacks", US_national_yearly!$D:$AM, 10, FALSE), 1)</f>
        <v>1.1027946286904431E-4</v>
      </c>
      <c r="E13" s="7">
        <f>$B13 * IFERROR(VLOOKUP("buildings|NOx|Non-fatal heart attacks", US_national_yearly!$D:$AM, 13, FALSE) / VLOOKUP("buildings|NOx|Non-fatal heart attacks", US_national_yearly!$D:$AM, 10, FALSE), 1)</f>
        <v>1.1326359366152927E-4</v>
      </c>
      <c r="F13" s="7">
        <f>$B13 * IFERROR(VLOOKUP("buildings|NOx|Non-fatal heart attacks", US_national_yearly!$D:$AM, 14, FALSE) / VLOOKUP("buildings|NOx|Non-fatal heart attacks", US_national_yearly!$D:$AM, 10, FALSE), 1)</f>
        <v>1.1624772445401422E-4</v>
      </c>
      <c r="G13" s="7">
        <f>$B13 * IFERROR(VLOOKUP("buildings|NOx|Non-fatal heart attacks", US_national_yearly!$D:$AM, 15, FALSE) / VLOOKUP("buildings|NOx|Non-fatal heart attacks", US_national_yearly!$D:$AM, 10, FALSE), 1)</f>
        <v>1.1903698146880654E-4</v>
      </c>
      <c r="H13" s="7">
        <f>$B13 * IFERROR(VLOOKUP("buildings|NOx|Non-fatal heart attacks", US_national_yearly!$D:$AM, 16, FALSE) / VLOOKUP("buildings|NOx|Non-fatal heart attacks", US_national_yearly!$D:$AM, 10, FALSE), 1)</f>
        <v>1.2182623848359889E-4</v>
      </c>
      <c r="I13" s="7">
        <f>$B13 * IFERROR(VLOOKUP("buildings|NOx|Non-fatal heart attacks", US_national_yearly!$D:$AM, 17, FALSE) / VLOOKUP("buildings|NOx|Non-fatal heart attacks", US_national_yearly!$D:$AM, 10, FALSE), 1)</f>
        <v>1.2402676176378628E-4</v>
      </c>
      <c r="J13" s="7">
        <f>$B13 * IFERROR(VLOOKUP("buildings|NOx|Non-fatal heart attacks", US_national_yearly!$D:$AM, 18, FALSE) / VLOOKUP("buildings|NOx|Non-fatal heart attacks", US_national_yearly!$D:$AM, 10, FALSE), 1)</f>
        <v>1.2622728504397366E-4</v>
      </c>
      <c r="K13" s="7">
        <f>$B13 * IFERROR(VLOOKUP("buildings|NOx|Non-fatal heart attacks", US_national_yearly!$D:$AM, 19, FALSE) / VLOOKUP("buildings|NOx|Non-fatal heart attacks", US_national_yearly!$D:$AM, 10, FALSE), 1)</f>
        <v>1.2842780832416113E-4</v>
      </c>
      <c r="L13" s="7">
        <f>$B13 * IFERROR(VLOOKUP("buildings|NOx|Non-fatal heart attacks", US_national_yearly!$D:$AM, 20, FALSE) / VLOOKUP("buildings|NOx|Non-fatal heart attacks", US_national_yearly!$D:$AM, 10, FALSE), 1)</f>
        <v>1.3062833160434843E-4</v>
      </c>
      <c r="M13" s="7">
        <f>$B13 * IFERROR(VLOOKUP("buildings|NOx|Non-fatal heart attacks", US_national_yearly!$D:$AM, 21, FALSE) / VLOOKUP("buildings|NOx|Non-fatal heart attacks", US_national_yearly!$D:$AM, 10, FALSE), 1)</f>
        <v>1.3282885488453589E-4</v>
      </c>
      <c r="N13" s="7">
        <f>$B13 * IFERROR(VLOOKUP("buildings|NOx|Non-fatal heart attacks", US_national_yearly!$D:$AM, 22, FALSE) / VLOOKUP("buildings|NOx|Non-fatal heart attacks", US_national_yearly!$D:$AM, 10, FALSE), 1)</f>
        <v>1.3415319650127958E-4</v>
      </c>
      <c r="O13" s="7">
        <f>$B13 * IFERROR(VLOOKUP("buildings|NOx|Non-fatal heart attacks", US_national_yearly!$D:$AM, 23, FALSE) / VLOOKUP("buildings|NOx|Non-fatal heart attacks", US_national_yearly!$D:$AM, 10, FALSE), 1)</f>
        <v>1.3547753811802324E-4</v>
      </c>
      <c r="P13" s="7">
        <f>$B13 * IFERROR(VLOOKUP("buildings|NOx|Non-fatal heart attacks", US_national_yearly!$D:$AM, 24, FALSE) / VLOOKUP("buildings|NOx|Non-fatal heart attacks", US_national_yearly!$D:$AM, 10, FALSE), 1)</f>
        <v>1.3680187973476692E-4</v>
      </c>
      <c r="Q13" s="7">
        <f>$B13 * IFERROR(VLOOKUP("buildings|NOx|Non-fatal heart attacks", US_national_yearly!$D:$AM, 25, FALSE) / VLOOKUP("buildings|NOx|Non-fatal heart attacks", US_national_yearly!$D:$AM, 10, FALSE), 1)</f>
        <v>1.3812622135151061E-4</v>
      </c>
      <c r="R13" s="7">
        <f>$B13 * IFERROR(VLOOKUP("buildings|NOx|Non-fatal heart attacks", US_national_yearly!$D:$AM, 26, FALSE) / VLOOKUP("buildings|NOx|Non-fatal heart attacks", US_national_yearly!$D:$AM, 10, FALSE), 1)</f>
        <v>1.3945056296825429E-4</v>
      </c>
      <c r="S13" s="7">
        <f>$B13 * IFERROR(VLOOKUP("buildings|NOx|Non-fatal heart attacks", US_national_yearly!$D:$AM, 27, FALSE) / VLOOKUP("buildings|NOx|Non-fatal heart attacks", US_national_yearly!$D:$AM, 10, FALSE), 1)</f>
        <v>1.4005239575302865E-4</v>
      </c>
      <c r="T13" s="7">
        <f>$B13 * IFERROR(VLOOKUP("buildings|NOx|Non-fatal heart attacks", US_national_yearly!$D:$AM, 28, FALSE) / VLOOKUP("buildings|NOx|Non-fatal heart attacks", US_national_yearly!$D:$AM, 10, FALSE), 1)</f>
        <v>1.4065422853780303E-4</v>
      </c>
      <c r="U13" s="7">
        <f>$B13 * IFERROR(VLOOKUP("buildings|NOx|Non-fatal heart attacks", US_national_yearly!$D:$AM, 29, FALSE) / VLOOKUP("buildings|NOx|Non-fatal heart attacks", US_national_yearly!$D:$AM, 10, FALSE), 1)</f>
        <v>1.4125606132257739E-4</v>
      </c>
      <c r="V13" s="7">
        <f>$B13 * IFERROR(VLOOKUP("buildings|NOx|Non-fatal heart attacks", US_national_yearly!$D:$AM, 30, FALSE) / VLOOKUP("buildings|NOx|Non-fatal heart attacks", US_national_yearly!$D:$AM, 10, FALSE), 1)</f>
        <v>1.4185789410735175E-4</v>
      </c>
      <c r="W13" s="7">
        <f>$B13 * IFERROR(VLOOKUP("buildings|NOx|Non-fatal heart attacks", US_national_yearly!$D:$AM, 31, FALSE) / VLOOKUP("buildings|NOx|Non-fatal heart attacks", US_national_yearly!$D:$AM, 10, FALSE), 1)</f>
        <v>1.4245972689212613E-4</v>
      </c>
      <c r="X13" s="7">
        <f>$B13 * IFERROR(VLOOKUP("buildings|NOx|Non-fatal heart attacks", US_national_yearly!$D:$AM, 32, FALSE) / VLOOKUP("buildings|NOx|Non-fatal heart attacks", US_national_yearly!$D:$AM, 10, FALSE), 1)</f>
        <v>1.4286230401699452E-4</v>
      </c>
      <c r="Y13" s="7">
        <f>$B13 * IFERROR(VLOOKUP("buildings|NOx|Non-fatal heart attacks", US_national_yearly!$D:$AM, 33, FALSE) / VLOOKUP("buildings|NOx|Non-fatal heart attacks", US_national_yearly!$D:$AM, 10, FALSE), 1)</f>
        <v>1.4326488114186294E-4</v>
      </c>
      <c r="Z13" s="7">
        <f>$B13 * IFERROR(VLOOKUP("buildings|NOx|Non-fatal heart attacks", US_national_yearly!$D:$AM, 34, FALSE) / VLOOKUP("buildings|NOx|Non-fatal heart attacks", US_national_yearly!$D:$AM, 10, FALSE), 1)</f>
        <v>1.4366745826673138E-4</v>
      </c>
      <c r="AA13" s="7">
        <f>$B13 * IFERROR(VLOOKUP("buildings|NOx|Non-fatal heart attacks", US_national_yearly!$D:$AM, 35, FALSE) / VLOOKUP("buildings|NOx|Non-fatal heart attacks", US_national_yearly!$D:$AM, 10, FALSE), 1)</f>
        <v>1.4407003539159977E-4</v>
      </c>
      <c r="AB13" s="7">
        <f>$B13 * IFERROR(VLOOKUP("buildings|NOx|Non-fatal heart attacks", US_national_yearly!$D:$AM, 36, FALSE) / VLOOKUP("buildings|NOx|Non-fatal heart attacks", US_national_yearly!$D:$AM, 10, FALSE), 1)</f>
        <v>1.4447261251646819E-4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7.1059634959898851E-2</v>
      </c>
      <c r="C14" s="7">
        <f>$B14 * IFERROR(VLOOKUP("buildings|NOx|Minor restricted activity days", US_national_yearly!$D:$AM, 11, FALSE) / VLOOKUP("buildings|NOx|Minor restricted activity days", US_national_yearly!$D:$AM, 10, FALSE), 1)</f>
        <v>7.1169902708256891E-2</v>
      </c>
      <c r="D14" s="7">
        <f>$B14 * IFERROR(VLOOKUP("buildings|NOx|Minor restricted activity days", US_national_yearly!$D:$AM, 12, FALSE) / VLOOKUP("buildings|NOx|Minor restricted activity days", US_national_yearly!$D:$AM, 10, FALSE), 1)</f>
        <v>7.128017045661493E-2</v>
      </c>
      <c r="E14" s="7">
        <f>$B14 * IFERROR(VLOOKUP("buildings|NOx|Minor restricted activity days", US_national_yearly!$D:$AM, 13, FALSE) / VLOOKUP("buildings|NOx|Minor restricted activity days", US_national_yearly!$D:$AM, 10, FALSE), 1)</f>
        <v>7.139043820497297E-2</v>
      </c>
      <c r="F14" s="7">
        <f>$B14 * IFERROR(VLOOKUP("buildings|NOx|Minor restricted activity days", US_national_yearly!$D:$AM, 14, FALSE) / VLOOKUP("buildings|NOx|Minor restricted activity days", US_national_yearly!$D:$AM, 10, FALSE), 1)</f>
        <v>7.1500705953331009E-2</v>
      </c>
      <c r="G14" s="7">
        <f>$B14 * IFERROR(VLOOKUP("buildings|NOx|Minor restricted activity days", US_national_yearly!$D:$AM, 15, FALSE) / VLOOKUP("buildings|NOx|Minor restricted activity days", US_national_yearly!$D:$AM, 10, FALSE), 1)</f>
        <v>7.1698802154605806E-2</v>
      </c>
      <c r="H14" s="7">
        <f>$B14 * IFERROR(VLOOKUP("buildings|NOx|Minor restricted activity days", US_national_yearly!$D:$AM, 16, FALSE) / VLOOKUP("buildings|NOx|Minor restricted activity days", US_national_yearly!$D:$AM, 10, FALSE), 1)</f>
        <v>7.1896898355880604E-2</v>
      </c>
      <c r="I14" s="7">
        <f>$B14 * IFERROR(VLOOKUP("buildings|NOx|Minor restricted activity days", US_national_yearly!$D:$AM, 17, FALSE) / VLOOKUP("buildings|NOx|Minor restricted activity days", US_national_yearly!$D:$AM, 10, FALSE), 1)</f>
        <v>7.2283129431234938E-2</v>
      </c>
      <c r="J14" s="7">
        <f>$B14 * IFERROR(VLOOKUP("buildings|NOx|Minor restricted activity days", US_national_yearly!$D:$AM, 18, FALSE) / VLOOKUP("buildings|NOx|Minor restricted activity days", US_national_yearly!$D:$AM, 10, FALSE), 1)</f>
        <v>7.2669360506589273E-2</v>
      </c>
      <c r="K14" s="7">
        <f>$B14 * IFERROR(VLOOKUP("buildings|NOx|Minor restricted activity days", US_national_yearly!$D:$AM, 19, FALSE) / VLOOKUP("buildings|NOx|Minor restricted activity days", US_national_yearly!$D:$AM, 10, FALSE), 1)</f>
        <v>7.3055591581943607E-2</v>
      </c>
      <c r="L14" s="7">
        <f>$B14 * IFERROR(VLOOKUP("buildings|NOx|Minor restricted activity days", US_national_yearly!$D:$AM, 20, FALSE) / VLOOKUP("buildings|NOx|Minor restricted activity days", US_national_yearly!$D:$AM, 10, FALSE), 1)</f>
        <v>7.3441822657297942E-2</v>
      </c>
      <c r="M14" s="7">
        <f>$B14 * IFERROR(VLOOKUP("buildings|NOx|Minor restricted activity days", US_national_yearly!$D:$AM, 21, FALSE) / VLOOKUP("buildings|NOx|Minor restricted activity days", US_national_yearly!$D:$AM, 10, FALSE), 1)</f>
        <v>7.3828053732652277E-2</v>
      </c>
      <c r="N14" s="7">
        <f>$B14 * IFERROR(VLOOKUP("buildings|NOx|Minor restricted activity days", US_national_yearly!$D:$AM, 22, FALSE) / VLOOKUP("buildings|NOx|Minor restricted activity days", US_national_yearly!$D:$AM, 10, FALSE), 1)</f>
        <v>7.4380599108999537E-2</v>
      </c>
      <c r="O14" s="7">
        <f>$B14 * IFERROR(VLOOKUP("buildings|NOx|Minor restricted activity days", US_national_yearly!$D:$AM, 23, FALSE) / VLOOKUP("buildings|NOx|Minor restricted activity days", US_national_yearly!$D:$AM, 10, FALSE), 1)</f>
        <v>7.493314448534677E-2</v>
      </c>
      <c r="P14" s="7">
        <f>$B14 * IFERROR(VLOOKUP("buildings|NOx|Minor restricted activity days", US_national_yearly!$D:$AM, 24, FALSE) / VLOOKUP("buildings|NOx|Minor restricted activity days", US_national_yearly!$D:$AM, 10, FALSE), 1)</f>
        <v>7.548568986169403E-2</v>
      </c>
      <c r="Q14" s="7">
        <f>$B14 * IFERROR(VLOOKUP("buildings|NOx|Minor restricted activity days", US_national_yearly!$D:$AM, 25, FALSE) / VLOOKUP("buildings|NOx|Minor restricted activity days", US_national_yearly!$D:$AM, 10, FALSE), 1)</f>
        <v>7.6038235238041263E-2</v>
      </c>
      <c r="R14" s="7">
        <f>$B14 * IFERROR(VLOOKUP("buildings|NOx|Minor restricted activity days", US_national_yearly!$D:$AM, 26, FALSE) / VLOOKUP("buildings|NOx|Minor restricted activity days", US_national_yearly!$D:$AM, 10, FALSE), 1)</f>
        <v>7.6590780614388509E-2</v>
      </c>
      <c r="S14" s="7">
        <f>$B14 * IFERROR(VLOOKUP("buildings|NOx|Minor restricted activity days", US_national_yearly!$D:$AM, 27, FALSE) / VLOOKUP("buildings|NOx|Minor restricted activity days", US_national_yearly!$D:$AM, 10, FALSE), 1)</f>
        <v>7.7143166927924237E-2</v>
      </c>
      <c r="T14" s="7">
        <f>$B14 * IFERROR(VLOOKUP("buildings|NOx|Minor restricted activity days", US_national_yearly!$D:$AM, 28, FALSE) / VLOOKUP("buildings|NOx|Minor restricted activity days", US_national_yearly!$D:$AM, 10, FALSE), 1)</f>
        <v>7.7695553241459978E-2</v>
      </c>
      <c r="U14" s="7">
        <f>$B14 * IFERROR(VLOOKUP("buildings|NOx|Minor restricted activity days", US_national_yearly!$D:$AM, 29, FALSE) / VLOOKUP("buildings|NOx|Minor restricted activity days", US_national_yearly!$D:$AM, 10, FALSE), 1)</f>
        <v>7.8247939554995732E-2</v>
      </c>
      <c r="V14" s="7">
        <f>$B14 * IFERROR(VLOOKUP("buildings|NOx|Minor restricted activity days", US_national_yearly!$D:$AM, 30, FALSE) / VLOOKUP("buildings|NOx|Minor restricted activity days", US_national_yearly!$D:$AM, 10, FALSE), 1)</f>
        <v>7.8800325868531473E-2</v>
      </c>
      <c r="W14" s="7">
        <f>$B14 * IFERROR(VLOOKUP("buildings|NOx|Minor restricted activity days", US_national_yearly!$D:$AM, 31, FALSE) / VLOOKUP("buildings|NOx|Minor restricted activity days", US_national_yearly!$D:$AM, 10, FALSE), 1)</f>
        <v>7.93527121820672E-2</v>
      </c>
      <c r="X14" s="7">
        <f>$B14 * IFERROR(VLOOKUP("buildings|NOx|Minor restricted activity days", US_national_yearly!$D:$AM, 32, FALSE) / VLOOKUP("buildings|NOx|Minor restricted activity days", US_national_yearly!$D:$AM, 10, FALSE), 1)</f>
        <v>7.9819887977733081E-2</v>
      </c>
      <c r="Y14" s="7">
        <f>$B14 * IFERROR(VLOOKUP("buildings|NOx|Minor restricted activity days", US_national_yearly!$D:$AM, 33, FALSE) / VLOOKUP("buildings|NOx|Minor restricted activity days", US_national_yearly!$D:$AM, 10, FALSE), 1)</f>
        <v>8.0287063773398989E-2</v>
      </c>
      <c r="Z14" s="7">
        <f>$B14 * IFERROR(VLOOKUP("buildings|NOx|Minor restricted activity days", US_national_yearly!$D:$AM, 34, FALSE) / VLOOKUP("buildings|NOx|Minor restricted activity days", US_national_yearly!$D:$AM, 10, FALSE), 1)</f>
        <v>8.0754239569064842E-2</v>
      </c>
      <c r="AA14" s="7">
        <f>$B14 * IFERROR(VLOOKUP("buildings|NOx|Minor restricted activity days", US_national_yearly!$D:$AM, 35, FALSE) / VLOOKUP("buildings|NOx|Minor restricted activity days", US_national_yearly!$D:$AM, 10, FALSE), 1)</f>
        <v>8.1221415364730737E-2</v>
      </c>
      <c r="AB14" s="7">
        <f>$B14 * IFERROR(VLOOKUP("buildings|NOx|Minor restricted activity days", US_national_yearly!$D:$AM, 36, FALSE) / VLOOKUP("buildings|NOx|Minor restricted activity days", US_national_yearly!$D:$AM, 10, FALSE), 1)</f>
        <v>8.1688591160396617E-2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1.1894295286470031E-2</v>
      </c>
      <c r="C15" s="7">
        <f>$B15 * IFERROR(VLOOKUP("buildings|NOx|Work loss days", US_national_yearly!$D:$AM, 11, FALSE) / VLOOKUP("buildings|NOx|Work loss days", US_national_yearly!$D:$AM, 10, FALSE), 1)</f>
        <v>1.192095914524471E-2</v>
      </c>
      <c r="D15" s="7">
        <f>$B15 * IFERROR(VLOOKUP("buildings|NOx|Work loss days", US_national_yearly!$D:$AM, 12, FALSE) / VLOOKUP("buildings|NOx|Work loss days", US_national_yearly!$D:$AM, 10, FALSE), 1)</f>
        <v>1.1947623004019388E-2</v>
      </c>
      <c r="E15" s="7">
        <f>$B15 * IFERROR(VLOOKUP("buildings|NOx|Work loss days", US_national_yearly!$D:$AM, 13, FALSE) / VLOOKUP("buildings|NOx|Work loss days", US_national_yearly!$D:$AM, 10, FALSE), 1)</f>
        <v>1.1974286862794066E-2</v>
      </c>
      <c r="F15" s="7">
        <f>$B15 * IFERROR(VLOOKUP("buildings|NOx|Work loss days", US_national_yearly!$D:$AM, 14, FALSE) / VLOOKUP("buildings|NOx|Work loss days", US_national_yearly!$D:$AM, 10, FALSE), 1)</f>
        <v>1.2000950721568746E-2</v>
      </c>
      <c r="G15" s="7">
        <f>$B15 * IFERROR(VLOOKUP("buildings|NOx|Work loss days", US_national_yearly!$D:$AM, 15, FALSE) / VLOOKUP("buildings|NOx|Work loss days", US_national_yearly!$D:$AM, 10, FALSE), 1)</f>
        <v>1.2039789621294936E-2</v>
      </c>
      <c r="H15" s="7">
        <f>$B15 * IFERROR(VLOOKUP("buildings|NOx|Work loss days", US_national_yearly!$D:$AM, 16, FALSE) / VLOOKUP("buildings|NOx|Work loss days", US_national_yearly!$D:$AM, 10, FALSE), 1)</f>
        <v>1.2078628521021127E-2</v>
      </c>
      <c r="I15" s="7">
        <f>$B15 * IFERROR(VLOOKUP("buildings|NOx|Work loss days", US_national_yearly!$D:$AM, 17, FALSE) / VLOOKUP("buildings|NOx|Work loss days", US_national_yearly!$D:$AM, 10, FALSE), 1)</f>
        <v>1.2141442728621573E-2</v>
      </c>
      <c r="J15" s="7">
        <f>$B15 * IFERROR(VLOOKUP("buildings|NOx|Work loss days", US_national_yearly!$D:$AM, 18, FALSE) / VLOOKUP("buildings|NOx|Work loss days", US_national_yearly!$D:$AM, 10, FALSE), 1)</f>
        <v>1.2204256936222017E-2</v>
      </c>
      <c r="K15" s="7">
        <f>$B15 * IFERROR(VLOOKUP("buildings|NOx|Work loss days", US_national_yearly!$D:$AM, 19, FALSE) / VLOOKUP("buildings|NOx|Work loss days", US_national_yearly!$D:$AM, 10, FALSE), 1)</f>
        <v>1.2267071143822462E-2</v>
      </c>
      <c r="L15" s="7">
        <f>$B15 * IFERROR(VLOOKUP("buildings|NOx|Work loss days", US_national_yearly!$D:$AM, 20, FALSE) / VLOOKUP("buildings|NOx|Work loss days", US_national_yearly!$D:$AM, 10, FALSE), 1)</f>
        <v>1.2329885351422907E-2</v>
      </c>
      <c r="M15" s="7">
        <f>$B15 * IFERROR(VLOOKUP("buildings|NOx|Work loss days", US_national_yearly!$D:$AM, 21, FALSE) / VLOOKUP("buildings|NOx|Work loss days", US_national_yearly!$D:$AM, 10, FALSE), 1)</f>
        <v>1.239269955902335E-2</v>
      </c>
      <c r="N15" s="7">
        <f>$B15 * IFERROR(VLOOKUP("buildings|NOx|Work loss days", US_national_yearly!$D:$AM, 22, FALSE) / VLOOKUP("buildings|NOx|Work loss days", US_national_yearly!$D:$AM, 10, FALSE), 1)</f>
        <v>1.2474420946722549E-2</v>
      </c>
      <c r="O15" s="7">
        <f>$B15 * IFERROR(VLOOKUP("buildings|NOx|Work loss days", US_national_yearly!$D:$AM, 23, FALSE) / VLOOKUP("buildings|NOx|Work loss days", US_national_yearly!$D:$AM, 10, FALSE), 1)</f>
        <v>1.2556142334421748E-2</v>
      </c>
      <c r="P15" s="7">
        <f>$B15 * IFERROR(VLOOKUP("buildings|NOx|Work loss days", US_national_yearly!$D:$AM, 24, FALSE) / VLOOKUP("buildings|NOx|Work loss days", US_national_yearly!$D:$AM, 10, FALSE), 1)</f>
        <v>1.2637863722120947E-2</v>
      </c>
      <c r="Q15" s="7">
        <f>$B15 * IFERROR(VLOOKUP("buildings|NOx|Work loss days", US_national_yearly!$D:$AM, 25, FALSE) / VLOOKUP("buildings|NOx|Work loss days", US_national_yearly!$D:$AM, 10, FALSE), 1)</f>
        <v>1.271958510982015E-2</v>
      </c>
      <c r="R15" s="7">
        <f>$B15 * IFERROR(VLOOKUP("buildings|NOx|Work loss days", US_national_yearly!$D:$AM, 26, FALSE) / VLOOKUP("buildings|NOx|Work loss days", US_national_yearly!$D:$AM, 10, FALSE), 1)</f>
        <v>1.2801306497519349E-2</v>
      </c>
      <c r="S15" s="7">
        <f>$B15 * IFERROR(VLOOKUP("buildings|NOx|Work loss days", US_national_yearly!$D:$AM, 27, FALSE) / VLOOKUP("buildings|NOx|Work loss days", US_national_yearly!$D:$AM, 10, FALSE), 1)</f>
        <v>1.289237066254522E-2</v>
      </c>
      <c r="T15" s="7">
        <f>$B15 * IFERROR(VLOOKUP("buildings|NOx|Work loss days", US_national_yearly!$D:$AM, 28, FALSE) / VLOOKUP("buildings|NOx|Work loss days", US_national_yearly!$D:$AM, 10, FALSE), 1)</f>
        <v>1.2983434827571095E-2</v>
      </c>
      <c r="U15" s="7">
        <f>$B15 * IFERROR(VLOOKUP("buildings|NOx|Work loss days", US_national_yearly!$D:$AM, 29, FALSE) / VLOOKUP("buildings|NOx|Work loss days", US_national_yearly!$D:$AM, 10, FALSE), 1)</f>
        <v>1.3074498992596969E-2</v>
      </c>
      <c r="V15" s="7">
        <f>$B15 * IFERROR(VLOOKUP("buildings|NOx|Work loss days", US_national_yearly!$D:$AM, 30, FALSE) / VLOOKUP("buildings|NOx|Work loss days", US_national_yearly!$D:$AM, 10, FALSE), 1)</f>
        <v>1.3165563157622842E-2</v>
      </c>
      <c r="W15" s="7">
        <f>$B15 * IFERROR(VLOOKUP("buildings|NOx|Work loss days", US_national_yearly!$D:$AM, 31, FALSE) / VLOOKUP("buildings|NOx|Work loss days", US_national_yearly!$D:$AM, 10, FALSE), 1)</f>
        <v>1.3256627322648713E-2</v>
      </c>
      <c r="X15" s="7">
        <f>$B15 * IFERROR(VLOOKUP("buildings|NOx|Work loss days", US_national_yearly!$D:$AM, 32, FALSE) / VLOOKUP("buildings|NOx|Work loss days", US_national_yearly!$D:$AM, 10, FALSE), 1)</f>
        <v>1.3335690044585369E-2</v>
      </c>
      <c r="Y15" s="7">
        <f>$B15 * IFERROR(VLOOKUP("buildings|NOx|Work loss days", US_national_yearly!$D:$AM, 33, FALSE) / VLOOKUP("buildings|NOx|Work loss days", US_national_yearly!$D:$AM, 10, FALSE), 1)</f>
        <v>1.3414752766522025E-2</v>
      </c>
      <c r="Z15" s="7">
        <f>$B15 * IFERROR(VLOOKUP("buildings|NOx|Work loss days", US_national_yearly!$D:$AM, 34, FALSE) / VLOOKUP("buildings|NOx|Work loss days", US_national_yearly!$D:$AM, 10, FALSE), 1)</f>
        <v>1.3493815488458679E-2</v>
      </c>
      <c r="AA15" s="7">
        <f>$B15 * IFERROR(VLOOKUP("buildings|NOx|Work loss days", US_national_yearly!$D:$AM, 35, FALSE) / VLOOKUP("buildings|NOx|Work loss days", US_national_yearly!$D:$AM, 10, FALSE), 1)</f>
        <v>1.3572878210395335E-2</v>
      </c>
      <c r="AB15" s="7">
        <f>$B15 * IFERROR(VLOOKUP("buildings|NOx|Work loss days", US_national_yearly!$D:$AM, 36, FALSE) / VLOOKUP("buildings|NOx|Work loss days", US_national_yearly!$D:$AM, 10, FALSE), 1)</f>
        <v>1.3651940932331991E-2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2.5228175475355935E-5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2.5969886076087044E-5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2.6711596676818159E-5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2.7453307277549267E-5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2.8195017878280372E-5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2.8899629459039575E-5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2.9604241039798774E-5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3.0197102118580037E-5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3.07899631973613E-5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3.1382824276142559E-5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3.1975685354923819E-5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3.2568546433705071E-5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3.2939401290172686E-5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3.3310256146640294E-5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3.3681111003107908E-5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3.4051965859575523E-5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3.442282071604313E-5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3.4592274851880218E-5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3.4761728987717293E-5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3.4931183123554381E-5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3.5100637259391455E-5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3.5270091395228543E-5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3.5364543419594272E-5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3.5458995443960007E-5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3.5553447468325736E-5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3.5647899492691471E-5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3.57423515170572E-5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1.0681463480704655E-3</v>
      </c>
      <c r="C2" s="7">
        <f>$B2 * IFERROR(VLOOKUP("buildings|SO2|Premature mortality", US_national_yearly!$D:$AM, 11, FALSE) / VLOOKUP("buildings|SO2|Premature mortality", US_national_yearly!$D:$AM, 10, FALSE), 1)</f>
        <v>1.0816780659074034E-3</v>
      </c>
      <c r="D2" s="7">
        <f>$B2 * IFERROR(VLOOKUP("buildings|SO2|Premature mortality", US_national_yearly!$D:$AM, 12, FALSE) / VLOOKUP("buildings|SO2|Premature mortality", US_national_yearly!$D:$AM, 10, FALSE), 1)</f>
        <v>1.0952097837443409E-3</v>
      </c>
      <c r="E2" s="7">
        <f>$B2 * IFERROR(VLOOKUP("buildings|SO2|Premature mortality", US_national_yearly!$D:$AM, 13, FALSE) / VLOOKUP("buildings|SO2|Premature mortality", US_national_yearly!$D:$AM, 10, FALSE), 1)</f>
        <v>1.1087415015812788E-3</v>
      </c>
      <c r="F2" s="7">
        <f>$B2 * IFERROR(VLOOKUP("buildings|SO2|Premature mortality", US_national_yearly!$D:$AM, 14, FALSE) / VLOOKUP("buildings|SO2|Premature mortality", US_national_yearly!$D:$AM, 10, FALSE), 1)</f>
        <v>1.1222732194182167E-3</v>
      </c>
      <c r="G2" s="7">
        <f>$B2 * IFERROR(VLOOKUP("buildings|SO2|Premature mortality", US_national_yearly!$D:$AM, 15, FALSE) / VLOOKUP("buildings|SO2|Premature mortality", US_national_yearly!$D:$AM, 10, FALSE), 1)</f>
        <v>1.1483460940076727E-3</v>
      </c>
      <c r="H2" s="7">
        <f>$B2 * IFERROR(VLOOKUP("buildings|SO2|Premature mortality", US_national_yearly!$D:$AM, 16, FALSE) / VLOOKUP("buildings|SO2|Premature mortality", US_national_yearly!$D:$AM, 10, FALSE), 1)</f>
        <v>1.1744189685971289E-3</v>
      </c>
      <c r="I2" s="7">
        <f>$B2 * IFERROR(VLOOKUP("buildings|SO2|Premature mortality", US_national_yearly!$D:$AM, 17, FALSE) / VLOOKUP("buildings|SO2|Premature mortality", US_national_yearly!$D:$AM, 10, FALSE), 1)</f>
        <v>1.1916582035174409E-3</v>
      </c>
      <c r="J2" s="7">
        <f>$B2 * IFERROR(VLOOKUP("buildings|SO2|Premature mortality", US_national_yearly!$D:$AM, 18, FALSE) / VLOOKUP("buildings|SO2|Premature mortality", US_national_yearly!$D:$AM, 10, FALSE), 1)</f>
        <v>1.2088974384377525E-3</v>
      </c>
      <c r="K2" s="7">
        <f>$B2 * IFERROR(VLOOKUP("buildings|SO2|Premature mortality", US_national_yearly!$D:$AM, 19, FALSE) / VLOOKUP("buildings|SO2|Premature mortality", US_national_yearly!$D:$AM, 10, FALSE), 1)</f>
        <v>1.2261366733580643E-3</v>
      </c>
      <c r="L2" s="7">
        <f>$B2 * IFERROR(VLOOKUP("buildings|SO2|Premature mortality", US_national_yearly!$D:$AM, 20, FALSE) / VLOOKUP("buildings|SO2|Premature mortality", US_national_yearly!$D:$AM, 10, FALSE), 1)</f>
        <v>1.243375908278376E-3</v>
      </c>
      <c r="M2" s="7">
        <f>$B2 * IFERROR(VLOOKUP("buildings|SO2|Premature mortality", US_national_yearly!$D:$AM, 21, FALSE) / VLOOKUP("buildings|SO2|Premature mortality", US_national_yearly!$D:$AM, 10, FALSE), 1)</f>
        <v>1.2606151431986878E-3</v>
      </c>
      <c r="N2" s="7">
        <f>$B2 * IFERROR(VLOOKUP("buildings|SO2|Premature mortality", US_national_yearly!$D:$AM, 22, FALSE) / VLOOKUP("buildings|SO2|Premature mortality", US_national_yearly!$D:$AM, 10, FALSE), 1)</f>
        <v>1.2740818279778419E-3</v>
      </c>
      <c r="O2" s="7">
        <f>$B2 * IFERROR(VLOOKUP("buildings|SO2|Premature mortality", US_national_yearly!$D:$AM, 23, FALSE) / VLOOKUP("buildings|SO2|Premature mortality", US_national_yearly!$D:$AM, 10, FALSE), 1)</f>
        <v>1.2875485127569952E-3</v>
      </c>
      <c r="P2" s="7">
        <f>$B2 * IFERROR(VLOOKUP("buildings|SO2|Premature mortality", US_national_yearly!$D:$AM, 24, FALSE) / VLOOKUP("buildings|SO2|Premature mortality", US_national_yearly!$D:$AM, 10, FALSE), 1)</f>
        <v>1.3010151975361491E-3</v>
      </c>
      <c r="Q2" s="7">
        <f>$B2 * IFERROR(VLOOKUP("buildings|SO2|Premature mortality", US_national_yearly!$D:$AM, 25, FALSE) / VLOOKUP("buildings|SO2|Premature mortality", US_national_yearly!$D:$AM, 10, FALSE), 1)</f>
        <v>1.3144818823153028E-3</v>
      </c>
      <c r="R2" s="7">
        <f>$B2 * IFERROR(VLOOKUP("buildings|SO2|Premature mortality", US_national_yearly!$D:$AM, 26, FALSE) / VLOOKUP("buildings|SO2|Premature mortality", US_national_yearly!$D:$AM, 10, FALSE), 1)</f>
        <v>1.3279485670944565E-3</v>
      </c>
      <c r="S2" s="7">
        <f>$B2 * IFERROR(VLOOKUP("buildings|SO2|Premature mortality", US_national_yearly!$D:$AM, 27, FALSE) / VLOOKUP("buildings|SO2|Premature mortality", US_national_yearly!$D:$AM, 10, FALSE), 1)</f>
        <v>1.3351560905069798E-3</v>
      </c>
      <c r="T2" s="7">
        <f>$B2 * IFERROR(VLOOKUP("buildings|SO2|Premature mortality", US_national_yearly!$D:$AM, 28, FALSE) / VLOOKUP("buildings|SO2|Premature mortality", US_national_yearly!$D:$AM, 10, FALSE), 1)</f>
        <v>1.3423636139195034E-3</v>
      </c>
      <c r="U2" s="7">
        <f>$B2 * IFERROR(VLOOKUP("buildings|SO2|Premature mortality", US_national_yearly!$D:$AM, 29, FALSE) / VLOOKUP("buildings|SO2|Premature mortality", US_national_yearly!$D:$AM, 10, FALSE), 1)</f>
        <v>1.3495711373320268E-3</v>
      </c>
      <c r="V2" s="7">
        <f>$B2 * IFERROR(VLOOKUP("buildings|SO2|Premature mortality", US_national_yearly!$D:$AM, 30, FALSE) / VLOOKUP("buildings|SO2|Premature mortality", US_national_yearly!$D:$AM, 10, FALSE), 1)</f>
        <v>1.3567786607445503E-3</v>
      </c>
      <c r="W2" s="7">
        <f>$B2 * IFERROR(VLOOKUP("buildings|SO2|Premature mortality", US_national_yearly!$D:$AM, 31, FALSE) / VLOOKUP("buildings|SO2|Premature mortality", US_national_yearly!$D:$AM, 10, FALSE), 1)</f>
        <v>1.3639861841570737E-3</v>
      </c>
      <c r="X2" s="7">
        <f>$B2 * IFERROR(VLOOKUP("buildings|SO2|Premature mortality", US_national_yearly!$D:$AM, 32, FALSE) / VLOOKUP("buildings|SO2|Premature mortality", US_national_yearly!$D:$AM, 10, FALSE), 1)</f>
        <v>1.3654425720587367E-3</v>
      </c>
      <c r="Y2" s="7">
        <f>$B2 * IFERROR(VLOOKUP("buildings|SO2|Premature mortality", US_national_yearly!$D:$AM, 33, FALSE) / VLOOKUP("buildings|SO2|Premature mortality", US_national_yearly!$D:$AM, 10, FALSE), 1)</f>
        <v>1.3668989599603994E-3</v>
      </c>
      <c r="Z2" s="7">
        <f>$B2 * IFERROR(VLOOKUP("buildings|SO2|Premature mortality", US_national_yearly!$D:$AM, 34, FALSE) / VLOOKUP("buildings|SO2|Premature mortality", US_national_yearly!$D:$AM, 10, FALSE), 1)</f>
        <v>1.368355347862062E-3</v>
      </c>
      <c r="AA2" s="7">
        <f>$B2 * IFERROR(VLOOKUP("buildings|SO2|Premature mortality", US_national_yearly!$D:$AM, 35, FALSE) / VLOOKUP("buildings|SO2|Premature mortality", US_national_yearly!$D:$AM, 10, FALSE), 1)</f>
        <v>1.369811735763725E-3</v>
      </c>
      <c r="AB2" s="7">
        <f>$B2 * IFERROR(VLOOKUP("buildings|SO2|Premature mortality", US_national_yearly!$D:$AM, 36, FALSE) / VLOOKUP("buildings|SO2|Premature mortality", US_national_yearly!$D:$AM, 10, FALSE), 1)</f>
        <v>1.3712681236653877E-3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1.9383321608890537E-6</v>
      </c>
      <c r="C3" s="7">
        <f>$B3 * IFERROR(VLOOKUP("buildings|SO2|Infant mortality", US_national_yearly!$D:$AM, 11, FALSE) / VLOOKUP("buildings|SO2|Infant mortality", US_national_yearly!$D:$AM, 10, FALSE), 1)</f>
        <v>1.9217179266421884E-6</v>
      </c>
      <c r="D3" s="7">
        <f>$B3 * IFERROR(VLOOKUP("buildings|SO2|Infant mortality", US_national_yearly!$D:$AM, 12, FALSE) / VLOOKUP("buildings|SO2|Infant mortality", US_national_yearly!$D:$AM, 10, FALSE), 1)</f>
        <v>1.9051036923953226E-6</v>
      </c>
      <c r="E3" s="7">
        <f>$B3 * IFERROR(VLOOKUP("buildings|SO2|Infant mortality", US_national_yearly!$D:$AM, 13, FALSE) / VLOOKUP("buildings|SO2|Infant mortality", US_national_yearly!$D:$AM, 10, FALSE), 1)</f>
        <v>1.8884894581484574E-6</v>
      </c>
      <c r="F3" s="7">
        <f>$B3 * IFERROR(VLOOKUP("buildings|SO2|Infant mortality", US_national_yearly!$D:$AM, 14, FALSE) / VLOOKUP("buildings|SO2|Infant mortality", US_national_yearly!$D:$AM, 10, FALSE), 1)</f>
        <v>1.8718752239015921E-6</v>
      </c>
      <c r="G3" s="7">
        <f>$B3 * IFERROR(VLOOKUP("buildings|SO2|Infant mortality", US_national_yearly!$D:$AM, 15, FALSE) / VLOOKUP("buildings|SO2|Infant mortality", US_national_yearly!$D:$AM, 10, FALSE), 1)</f>
        <v>1.2465947415180641E-6</v>
      </c>
      <c r="H3" s="7">
        <f>$B3 * IFERROR(VLOOKUP("buildings|SO2|Infant mortality", US_national_yearly!$D:$AM, 16, FALSE) / VLOOKUP("buildings|SO2|Infant mortality", US_national_yearly!$D:$AM, 10, FALSE), 1)</f>
        <v>6.213142591345363E-7</v>
      </c>
      <c r="I3" s="7">
        <f>$B3 * IFERROR(VLOOKUP("buildings|SO2|Infant mortality", US_national_yearly!$D:$AM, 17, FALSE) / VLOOKUP("buildings|SO2|Infant mortality", US_national_yearly!$D:$AM, 10, FALSE), 1)</f>
        <v>6.1741606486101454E-7</v>
      </c>
      <c r="J3" s="7">
        <f>$B3 * IFERROR(VLOOKUP("buildings|SO2|Infant mortality", US_national_yearly!$D:$AM, 18, FALSE) / VLOOKUP("buildings|SO2|Infant mortality", US_national_yearly!$D:$AM, 10, FALSE), 1)</f>
        <v>6.1351787058749269E-7</v>
      </c>
      <c r="K3" s="7">
        <f>$B3 * IFERROR(VLOOKUP("buildings|SO2|Infant mortality", US_national_yearly!$D:$AM, 19, FALSE) / VLOOKUP("buildings|SO2|Infant mortality", US_national_yearly!$D:$AM, 10, FALSE), 1)</f>
        <v>6.0961967631397094E-7</v>
      </c>
      <c r="L3" s="7">
        <f>$B3 * IFERROR(VLOOKUP("buildings|SO2|Infant mortality", US_national_yearly!$D:$AM, 20, FALSE) / VLOOKUP("buildings|SO2|Infant mortality", US_national_yearly!$D:$AM, 10, FALSE), 1)</f>
        <v>6.0572148204044898E-7</v>
      </c>
      <c r="M3" s="7">
        <f>$B3 * IFERROR(VLOOKUP("buildings|SO2|Infant mortality", US_national_yearly!$D:$AM, 21, FALSE) / VLOOKUP("buildings|SO2|Infant mortality", US_national_yearly!$D:$AM, 10, FALSE), 1)</f>
        <v>6.0182328776692723E-7</v>
      </c>
      <c r="N3" s="7">
        <f>$B3 * IFERROR(VLOOKUP("buildings|SO2|Infant mortality", US_national_yearly!$D:$AM, 22, FALSE) / VLOOKUP("buildings|SO2|Infant mortality", US_national_yearly!$D:$AM, 10, FALSE), 1)</f>
        <v>5.9937953407049592E-7</v>
      </c>
      <c r="O3" s="7">
        <f>$B3 * IFERROR(VLOOKUP("buildings|SO2|Infant mortality", US_national_yearly!$D:$AM, 23, FALSE) / VLOOKUP("buildings|SO2|Infant mortality", US_national_yearly!$D:$AM, 10, FALSE), 1)</f>
        <v>5.9693578037406451E-7</v>
      </c>
      <c r="P3" s="7">
        <f>$B3 * IFERROR(VLOOKUP("buildings|SO2|Infant mortality", US_national_yearly!$D:$AM, 24, FALSE) / VLOOKUP("buildings|SO2|Infant mortality", US_national_yearly!$D:$AM, 10, FALSE), 1)</f>
        <v>5.944920266776331E-7</v>
      </c>
      <c r="Q3" s="7">
        <f>$B3 * IFERROR(VLOOKUP("buildings|SO2|Infant mortality", US_national_yearly!$D:$AM, 25, FALSE) / VLOOKUP("buildings|SO2|Infant mortality", US_national_yearly!$D:$AM, 10, FALSE), 1)</f>
        <v>5.9204827298120179E-7</v>
      </c>
      <c r="R3" s="7">
        <f>$B3 * IFERROR(VLOOKUP("buildings|SO2|Infant mortality", US_national_yearly!$D:$AM, 26, FALSE) / VLOOKUP("buildings|SO2|Infant mortality", US_national_yearly!$D:$AM, 10, FALSE), 1)</f>
        <v>5.8960451928477038E-7</v>
      </c>
      <c r="S3" s="7">
        <f>$B3 * IFERROR(VLOOKUP("buildings|SO2|Infant mortality", US_national_yearly!$D:$AM, 27, FALSE) / VLOOKUP("buildings|SO2|Infant mortality", US_national_yearly!$D:$AM, 10, FALSE), 1)</f>
        <v>5.8653593938772536E-7</v>
      </c>
      <c r="T3" s="7">
        <f>$B3 * IFERROR(VLOOKUP("buildings|SO2|Infant mortality", US_national_yearly!$D:$AM, 28, FALSE) / VLOOKUP("buildings|SO2|Infant mortality", US_national_yearly!$D:$AM, 10, FALSE), 1)</f>
        <v>5.8346735949068023E-7</v>
      </c>
      <c r="U3" s="7">
        <f>$B3 * IFERROR(VLOOKUP("buildings|SO2|Infant mortality", US_national_yearly!$D:$AM, 29, FALSE) / VLOOKUP("buildings|SO2|Infant mortality", US_national_yearly!$D:$AM, 10, FALSE), 1)</f>
        <v>5.8039877959363521E-7</v>
      </c>
      <c r="V3" s="7">
        <f>$B3 * IFERROR(VLOOKUP("buildings|SO2|Infant mortality", US_national_yearly!$D:$AM, 30, FALSE) / VLOOKUP("buildings|SO2|Infant mortality", US_national_yearly!$D:$AM, 10, FALSE), 1)</f>
        <v>5.7733019969659018E-7</v>
      </c>
      <c r="W3" s="7">
        <f>$B3 * IFERROR(VLOOKUP("buildings|SO2|Infant mortality", US_national_yearly!$D:$AM, 31, FALSE) / VLOOKUP("buildings|SO2|Infant mortality", US_national_yearly!$D:$AM, 10, FALSE), 1)</f>
        <v>5.7426161979954506E-7</v>
      </c>
      <c r="X3" s="7">
        <f>$B3 * IFERROR(VLOOKUP("buildings|SO2|Infant mortality", US_national_yearly!$D:$AM, 32, FALSE) / VLOOKUP("buildings|SO2|Infant mortality", US_national_yearly!$D:$AM, 10, FALSE), 1)</f>
        <v>5.7091024433064345E-7</v>
      </c>
      <c r="Y3" s="7">
        <f>$B3 * IFERROR(VLOOKUP("buildings|SO2|Infant mortality", US_national_yearly!$D:$AM, 33, FALSE) / VLOOKUP("buildings|SO2|Infant mortality", US_national_yearly!$D:$AM, 10, FALSE), 1)</f>
        <v>5.6755886886174173E-7</v>
      </c>
      <c r="Z3" s="7">
        <f>$B3 * IFERROR(VLOOKUP("buildings|SO2|Infant mortality", US_national_yearly!$D:$AM, 34, FALSE) / VLOOKUP("buildings|SO2|Infant mortality", US_national_yearly!$D:$AM, 10, FALSE), 1)</f>
        <v>5.6420749339284012E-7</v>
      </c>
      <c r="AA3" s="7">
        <f>$B3 * IFERROR(VLOOKUP("buildings|SO2|Infant mortality", US_national_yearly!$D:$AM, 35, FALSE) / VLOOKUP("buildings|SO2|Infant mortality", US_national_yearly!$D:$AM, 10, FALSE), 1)</f>
        <v>5.608561179239383E-7</v>
      </c>
      <c r="AB3" s="7">
        <f>$B3 * IFERROR(VLOOKUP("buildings|SO2|Infant mortality", US_national_yearly!$D:$AM, 36, FALSE) / VLOOKUP("buildings|SO2|Infant mortality", US_national_yearly!$D:$AM, 10, FALSE), 1)</f>
        <v>5.5750474245503669E-7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1.9758509404471849E-3</v>
      </c>
      <c r="C6" s="7">
        <f>$B6 * IFERROR(VLOOKUP("buildings|SO2|Asthma symptoms cough", US_national_yearly!$D:$AM, 11, FALSE) / VLOOKUP("buildings|SO2|Asthma symptoms cough", US_national_yearly!$D:$AM, 10, FALSE), 1)</f>
        <v>1.9758509404471849E-3</v>
      </c>
      <c r="D6" s="7">
        <f>$B6 * IFERROR(VLOOKUP("buildings|SO2|Asthma symptoms cough", US_national_yearly!$D:$AM, 12, FALSE) / VLOOKUP("buildings|SO2|Asthma symptoms cough", US_national_yearly!$D:$AM, 10, FALSE), 1)</f>
        <v>1.9758509404471849E-3</v>
      </c>
      <c r="E6" s="7">
        <f>$B6 * IFERROR(VLOOKUP("buildings|SO2|Asthma symptoms cough", US_national_yearly!$D:$AM, 13, FALSE) / VLOOKUP("buildings|SO2|Asthma symptoms cough", US_national_yearly!$D:$AM, 10, FALSE), 1)</f>
        <v>1.9758509404471849E-3</v>
      </c>
      <c r="F6" s="7">
        <f>$B6 * IFERROR(VLOOKUP("buildings|SO2|Asthma symptoms cough", US_national_yearly!$D:$AM, 14, FALSE) / VLOOKUP("buildings|SO2|Asthma symptoms cough", US_national_yearly!$D:$AM, 10, FALSE), 1)</f>
        <v>1.9758509404471849E-3</v>
      </c>
      <c r="G6" s="7">
        <f>$B6 * IFERROR(VLOOKUP("buildings|SO2|Asthma symptoms cough", US_national_yearly!$D:$AM, 15, FALSE) / VLOOKUP("buildings|SO2|Asthma symptoms cough", US_national_yearly!$D:$AM, 10, FALSE), 1)</f>
        <v>1.9758509404471849E-3</v>
      </c>
      <c r="H6" s="7">
        <f>$B6 * IFERROR(VLOOKUP("buildings|SO2|Asthma symptoms cough", US_national_yearly!$D:$AM, 16, FALSE) / VLOOKUP("buildings|SO2|Asthma symptoms cough", US_national_yearly!$D:$AM, 10, FALSE), 1)</f>
        <v>1.9758509404471849E-3</v>
      </c>
      <c r="I6" s="7">
        <f>$B6 * IFERROR(VLOOKUP("buildings|SO2|Asthma symptoms cough", US_national_yearly!$D:$AM, 17, FALSE) / VLOOKUP("buildings|SO2|Asthma symptoms cough", US_national_yearly!$D:$AM, 10, FALSE), 1)</f>
        <v>1.9758509404471849E-3</v>
      </c>
      <c r="J6" s="7">
        <f>$B6 * IFERROR(VLOOKUP("buildings|SO2|Asthma symptoms cough", US_national_yearly!$D:$AM, 18, FALSE) / VLOOKUP("buildings|SO2|Asthma symptoms cough", US_national_yearly!$D:$AM, 10, FALSE), 1)</f>
        <v>1.9758509404471849E-3</v>
      </c>
      <c r="K6" s="7">
        <f>$B6 * IFERROR(VLOOKUP("buildings|SO2|Asthma symptoms cough", US_national_yearly!$D:$AM, 19, FALSE) / VLOOKUP("buildings|SO2|Asthma symptoms cough", US_national_yearly!$D:$AM, 10, FALSE), 1)</f>
        <v>1.9758509404471849E-3</v>
      </c>
      <c r="L6" s="7">
        <f>$B6 * IFERROR(VLOOKUP("buildings|SO2|Asthma symptoms cough", US_national_yearly!$D:$AM, 20, FALSE) / VLOOKUP("buildings|SO2|Asthma symptoms cough", US_national_yearly!$D:$AM, 10, FALSE), 1)</f>
        <v>1.9758509404471849E-3</v>
      </c>
      <c r="M6" s="7">
        <f>$B6 * IFERROR(VLOOKUP("buildings|SO2|Asthma symptoms cough", US_national_yearly!$D:$AM, 21, FALSE) / VLOOKUP("buildings|SO2|Asthma symptoms cough", US_national_yearly!$D:$AM, 10, FALSE), 1)</f>
        <v>1.9758509404471849E-3</v>
      </c>
      <c r="N6" s="7">
        <f>$B6 * IFERROR(VLOOKUP("buildings|SO2|Asthma symptoms cough", US_national_yearly!$D:$AM, 22, FALSE) / VLOOKUP("buildings|SO2|Asthma symptoms cough", US_national_yearly!$D:$AM, 10, FALSE), 1)</f>
        <v>1.9758509404471849E-3</v>
      </c>
      <c r="O6" s="7">
        <f>$B6 * IFERROR(VLOOKUP("buildings|SO2|Asthma symptoms cough", US_national_yearly!$D:$AM, 23, FALSE) / VLOOKUP("buildings|SO2|Asthma symptoms cough", US_national_yearly!$D:$AM, 10, FALSE), 1)</f>
        <v>1.9758509404471849E-3</v>
      </c>
      <c r="P6" s="7">
        <f>$B6 * IFERROR(VLOOKUP("buildings|SO2|Asthma symptoms cough", US_national_yearly!$D:$AM, 24, FALSE) / VLOOKUP("buildings|SO2|Asthma symptoms cough", US_national_yearly!$D:$AM, 10, FALSE), 1)</f>
        <v>1.9758509404471849E-3</v>
      </c>
      <c r="Q6" s="7">
        <f>$B6 * IFERROR(VLOOKUP("buildings|SO2|Asthma symptoms cough", US_national_yearly!$D:$AM, 25, FALSE) / VLOOKUP("buildings|SO2|Asthma symptoms cough", US_national_yearly!$D:$AM, 10, FALSE), 1)</f>
        <v>1.9758509404471849E-3</v>
      </c>
      <c r="R6" s="7">
        <f>$B6 * IFERROR(VLOOKUP("buildings|SO2|Asthma symptoms cough", US_national_yearly!$D:$AM, 26, FALSE) / VLOOKUP("buildings|SO2|Asthma symptoms cough", US_national_yearly!$D:$AM, 10, FALSE), 1)</f>
        <v>1.9758509404471849E-3</v>
      </c>
      <c r="S6" s="7">
        <f>$B6 * IFERROR(VLOOKUP("buildings|SO2|Asthma symptoms cough", US_national_yearly!$D:$AM, 27, FALSE) / VLOOKUP("buildings|SO2|Asthma symptoms cough", US_national_yearly!$D:$AM, 10, FALSE), 1)</f>
        <v>1.9758509404471849E-3</v>
      </c>
      <c r="T6" s="7">
        <f>$B6 * IFERROR(VLOOKUP("buildings|SO2|Asthma symptoms cough", US_national_yearly!$D:$AM, 28, FALSE) / VLOOKUP("buildings|SO2|Asthma symptoms cough", US_national_yearly!$D:$AM, 10, FALSE), 1)</f>
        <v>1.9758509404471849E-3</v>
      </c>
      <c r="U6" s="7">
        <f>$B6 * IFERROR(VLOOKUP("buildings|SO2|Asthma symptoms cough", US_national_yearly!$D:$AM, 29, FALSE) / VLOOKUP("buildings|SO2|Asthma symptoms cough", US_national_yearly!$D:$AM, 10, FALSE), 1)</f>
        <v>1.9758509404471849E-3</v>
      </c>
      <c r="V6" s="7">
        <f>$B6 * IFERROR(VLOOKUP("buildings|SO2|Asthma symptoms cough", US_national_yearly!$D:$AM, 30, FALSE) / VLOOKUP("buildings|SO2|Asthma symptoms cough", US_national_yearly!$D:$AM, 10, FALSE), 1)</f>
        <v>1.9758509404471849E-3</v>
      </c>
      <c r="W6" s="7">
        <f>$B6 * IFERROR(VLOOKUP("buildings|SO2|Asthma symptoms cough", US_national_yearly!$D:$AM, 31, FALSE) / VLOOKUP("buildings|SO2|Asthma symptoms cough", US_national_yearly!$D:$AM, 10, FALSE), 1)</f>
        <v>1.9758509404471849E-3</v>
      </c>
      <c r="X6" s="7">
        <f>$B6 * IFERROR(VLOOKUP("buildings|SO2|Asthma symptoms cough", US_national_yearly!$D:$AM, 32, FALSE) / VLOOKUP("buildings|SO2|Asthma symptoms cough", US_national_yearly!$D:$AM, 10, FALSE), 1)</f>
        <v>1.9758509404471849E-3</v>
      </c>
      <c r="Y6" s="7">
        <f>$B6 * IFERROR(VLOOKUP("buildings|SO2|Asthma symptoms cough", US_national_yearly!$D:$AM, 33, FALSE) / VLOOKUP("buildings|SO2|Asthma symptoms cough", US_national_yearly!$D:$AM, 10, FALSE), 1)</f>
        <v>1.9758509404471849E-3</v>
      </c>
      <c r="Z6" s="7">
        <f>$B6 * IFERROR(VLOOKUP("buildings|SO2|Asthma symptoms cough", US_national_yearly!$D:$AM, 34, FALSE) / VLOOKUP("buildings|SO2|Asthma symptoms cough", US_national_yearly!$D:$AM, 10, FALSE), 1)</f>
        <v>1.9758509404471849E-3</v>
      </c>
      <c r="AA6" s="7">
        <f>$B6 * IFERROR(VLOOKUP("buildings|SO2|Asthma symptoms cough", US_national_yearly!$D:$AM, 35, FALSE) / VLOOKUP("buildings|SO2|Asthma symptoms cough", US_national_yearly!$D:$AM, 10, FALSE), 1)</f>
        <v>1.9758509404471849E-3</v>
      </c>
      <c r="AB6" s="7">
        <f>$B6 * IFERROR(VLOOKUP("buildings|SO2|Asthma symptoms cough", US_national_yearly!$D:$AM, 36, FALSE) / VLOOKUP("buildings|SO2|Asthma symptoms cough", US_national_yearly!$D:$AM, 10, FALSE), 1)</f>
        <v>1.9758509404471849E-3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2.6607727623452196E-3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2.6607727623452196E-3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2.6607727623452196E-3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2.6607727623452196E-3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2.6607727623452196E-3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2.6607727623452196E-3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2.6607727623452196E-3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2.6607727623452196E-3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2.6607727623452196E-3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2.6607727623452196E-3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2.6607727623452196E-3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2.6607727623452196E-3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2.6607727623452196E-3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2.6607727623452196E-3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2.6607727623452196E-3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2.6607727623452196E-3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2.6607727623452196E-3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2.6607727623452196E-3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2.6607727623452196E-3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2.6607727623452196E-3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2.6607727623452196E-3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2.6607727623452196E-3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2.6607727623452196E-3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2.6607727623452196E-3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2.6607727623452196E-3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2.6607727623452196E-3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2.6607727623452196E-3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4.0652000628085992E-3</v>
      </c>
      <c r="C8" s="7">
        <f>$B8 * IFERROR(VLOOKUP("buildings|SO2|Asthma symptoms wheeze", US_national_yearly!$D:$AM, 11, FALSE) / VLOOKUP("buildings|SO2|Asthma symptoms wheeze", US_national_yearly!$D:$AM, 10, FALSE), 1)</f>
        <v>4.0652000628085992E-3</v>
      </c>
      <c r="D8" s="7">
        <f>$B8 * IFERROR(VLOOKUP("buildings|SO2|Asthma symptoms wheeze", US_national_yearly!$D:$AM, 12, FALSE) / VLOOKUP("buildings|SO2|Asthma symptoms wheeze", US_national_yearly!$D:$AM, 10, FALSE), 1)</f>
        <v>4.0652000628085992E-3</v>
      </c>
      <c r="E8" s="7">
        <f>$B8 * IFERROR(VLOOKUP("buildings|SO2|Asthma symptoms wheeze", US_national_yearly!$D:$AM, 13, FALSE) / VLOOKUP("buildings|SO2|Asthma symptoms wheeze", US_national_yearly!$D:$AM, 10, FALSE), 1)</f>
        <v>4.0652000628085992E-3</v>
      </c>
      <c r="F8" s="7">
        <f>$B8 * IFERROR(VLOOKUP("buildings|SO2|Asthma symptoms wheeze", US_national_yearly!$D:$AM, 14, FALSE) / VLOOKUP("buildings|SO2|Asthma symptoms wheeze", US_national_yearly!$D:$AM, 10, FALSE), 1)</f>
        <v>4.0652000628085992E-3</v>
      </c>
      <c r="G8" s="7">
        <f>$B8 * IFERROR(VLOOKUP("buildings|SO2|Asthma symptoms wheeze", US_national_yearly!$D:$AM, 15, FALSE) / VLOOKUP("buildings|SO2|Asthma symptoms wheeze", US_national_yearly!$D:$AM, 10, FALSE), 1)</f>
        <v>4.0652000628085992E-3</v>
      </c>
      <c r="H8" s="7">
        <f>$B8 * IFERROR(VLOOKUP("buildings|SO2|Asthma symptoms wheeze", US_national_yearly!$D:$AM, 16, FALSE) / VLOOKUP("buildings|SO2|Asthma symptoms wheeze", US_national_yearly!$D:$AM, 10, FALSE), 1)</f>
        <v>4.0652000628085992E-3</v>
      </c>
      <c r="I8" s="7">
        <f>$B8 * IFERROR(VLOOKUP("buildings|SO2|Asthma symptoms wheeze", US_national_yearly!$D:$AM, 17, FALSE) / VLOOKUP("buildings|SO2|Asthma symptoms wheeze", US_national_yearly!$D:$AM, 10, FALSE), 1)</f>
        <v>4.0652000628085992E-3</v>
      </c>
      <c r="J8" s="7">
        <f>$B8 * IFERROR(VLOOKUP("buildings|SO2|Asthma symptoms wheeze", US_national_yearly!$D:$AM, 18, FALSE) / VLOOKUP("buildings|SO2|Asthma symptoms wheeze", US_national_yearly!$D:$AM, 10, FALSE), 1)</f>
        <v>4.0652000628085992E-3</v>
      </c>
      <c r="K8" s="7">
        <f>$B8 * IFERROR(VLOOKUP("buildings|SO2|Asthma symptoms wheeze", US_national_yearly!$D:$AM, 19, FALSE) / VLOOKUP("buildings|SO2|Asthma symptoms wheeze", US_national_yearly!$D:$AM, 10, FALSE), 1)</f>
        <v>4.0652000628085992E-3</v>
      </c>
      <c r="L8" s="7">
        <f>$B8 * IFERROR(VLOOKUP("buildings|SO2|Asthma symptoms wheeze", US_national_yearly!$D:$AM, 20, FALSE) / VLOOKUP("buildings|SO2|Asthma symptoms wheeze", US_national_yearly!$D:$AM, 10, FALSE), 1)</f>
        <v>4.0652000628085992E-3</v>
      </c>
      <c r="M8" s="7">
        <f>$B8 * IFERROR(VLOOKUP("buildings|SO2|Asthma symptoms wheeze", US_national_yearly!$D:$AM, 21, FALSE) / VLOOKUP("buildings|SO2|Asthma symptoms wheeze", US_national_yearly!$D:$AM, 10, FALSE), 1)</f>
        <v>4.0652000628085992E-3</v>
      </c>
      <c r="N8" s="7">
        <f>$B8 * IFERROR(VLOOKUP("buildings|SO2|Asthma symptoms wheeze", US_national_yearly!$D:$AM, 22, FALSE) / VLOOKUP("buildings|SO2|Asthma symptoms wheeze", US_national_yearly!$D:$AM, 10, FALSE), 1)</f>
        <v>4.0652000628085992E-3</v>
      </c>
      <c r="O8" s="7">
        <f>$B8 * IFERROR(VLOOKUP("buildings|SO2|Asthma symptoms wheeze", US_national_yearly!$D:$AM, 23, FALSE) / VLOOKUP("buildings|SO2|Asthma symptoms wheeze", US_national_yearly!$D:$AM, 10, FALSE), 1)</f>
        <v>4.0652000628085992E-3</v>
      </c>
      <c r="P8" s="7">
        <f>$B8 * IFERROR(VLOOKUP("buildings|SO2|Asthma symptoms wheeze", US_national_yearly!$D:$AM, 24, FALSE) / VLOOKUP("buildings|SO2|Asthma symptoms wheeze", US_national_yearly!$D:$AM, 10, FALSE), 1)</f>
        <v>4.0652000628085992E-3</v>
      </c>
      <c r="Q8" s="7">
        <f>$B8 * IFERROR(VLOOKUP("buildings|SO2|Asthma symptoms wheeze", US_national_yearly!$D:$AM, 25, FALSE) / VLOOKUP("buildings|SO2|Asthma symptoms wheeze", US_national_yearly!$D:$AM, 10, FALSE), 1)</f>
        <v>4.0652000628085992E-3</v>
      </c>
      <c r="R8" s="7">
        <f>$B8 * IFERROR(VLOOKUP("buildings|SO2|Asthma symptoms wheeze", US_national_yearly!$D:$AM, 26, FALSE) / VLOOKUP("buildings|SO2|Asthma symptoms wheeze", US_national_yearly!$D:$AM, 10, FALSE), 1)</f>
        <v>4.0652000628085992E-3</v>
      </c>
      <c r="S8" s="7">
        <f>$B8 * IFERROR(VLOOKUP("buildings|SO2|Asthma symptoms wheeze", US_national_yearly!$D:$AM, 27, FALSE) / VLOOKUP("buildings|SO2|Asthma symptoms wheeze", US_national_yearly!$D:$AM, 10, FALSE), 1)</f>
        <v>4.0652000628085992E-3</v>
      </c>
      <c r="T8" s="7">
        <f>$B8 * IFERROR(VLOOKUP("buildings|SO2|Asthma symptoms wheeze", US_national_yearly!$D:$AM, 28, FALSE) / VLOOKUP("buildings|SO2|Asthma symptoms wheeze", US_national_yearly!$D:$AM, 10, FALSE), 1)</f>
        <v>4.0652000628085992E-3</v>
      </c>
      <c r="U8" s="7">
        <f>$B8 * IFERROR(VLOOKUP("buildings|SO2|Asthma symptoms wheeze", US_national_yearly!$D:$AM, 29, FALSE) / VLOOKUP("buildings|SO2|Asthma symptoms wheeze", US_national_yearly!$D:$AM, 10, FALSE), 1)</f>
        <v>4.0652000628085992E-3</v>
      </c>
      <c r="V8" s="7">
        <f>$B8 * IFERROR(VLOOKUP("buildings|SO2|Asthma symptoms wheeze", US_national_yearly!$D:$AM, 30, FALSE) / VLOOKUP("buildings|SO2|Asthma symptoms wheeze", US_national_yearly!$D:$AM, 10, FALSE), 1)</f>
        <v>4.0652000628085992E-3</v>
      </c>
      <c r="W8" s="7">
        <f>$B8 * IFERROR(VLOOKUP("buildings|SO2|Asthma symptoms wheeze", US_national_yearly!$D:$AM, 31, FALSE) / VLOOKUP("buildings|SO2|Asthma symptoms wheeze", US_national_yearly!$D:$AM, 10, FALSE), 1)</f>
        <v>4.0652000628085992E-3</v>
      </c>
      <c r="X8" s="7">
        <f>$B8 * IFERROR(VLOOKUP("buildings|SO2|Asthma symptoms wheeze", US_national_yearly!$D:$AM, 32, FALSE) / VLOOKUP("buildings|SO2|Asthma symptoms wheeze", US_national_yearly!$D:$AM, 10, FALSE), 1)</f>
        <v>4.0652000628085992E-3</v>
      </c>
      <c r="Y8" s="7">
        <f>$B8 * IFERROR(VLOOKUP("buildings|SO2|Asthma symptoms wheeze", US_national_yearly!$D:$AM, 33, FALSE) / VLOOKUP("buildings|SO2|Asthma symptoms wheeze", US_national_yearly!$D:$AM, 10, FALSE), 1)</f>
        <v>4.0652000628085992E-3</v>
      </c>
      <c r="Z8" s="7">
        <f>$B8 * IFERROR(VLOOKUP("buildings|SO2|Asthma symptoms wheeze", US_national_yearly!$D:$AM, 34, FALSE) / VLOOKUP("buildings|SO2|Asthma symptoms wheeze", US_national_yearly!$D:$AM, 10, FALSE), 1)</f>
        <v>4.0652000628085992E-3</v>
      </c>
      <c r="AA8" s="7">
        <f>$B8 * IFERROR(VLOOKUP("buildings|SO2|Asthma symptoms wheeze", US_national_yearly!$D:$AM, 35, FALSE) / VLOOKUP("buildings|SO2|Asthma symptoms wheeze", US_national_yearly!$D:$AM, 10, FALSE), 1)</f>
        <v>4.0652000628085992E-3</v>
      </c>
      <c r="AB8" s="7">
        <f>$B8 * IFERROR(VLOOKUP("buildings|SO2|Asthma symptoms wheeze", US_national_yearly!$D:$AM, 36, FALSE) / VLOOKUP("buildings|SO2|Asthma symptoms wheeze", US_national_yearly!$D:$AM, 10, FALSE), 1)</f>
        <v>4.0652000628085992E-3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7.8369505307712565E-5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7.8832385623172087E-5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7.9295265938631609E-5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7.9758146254091131E-5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8.022102656955064E-5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8.0725507796962205E-5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8.1229989024373769E-5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8.1726454206620296E-5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8.222291938886685E-5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8.2719384571113377E-5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8.3215849753359917E-5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8.3712314935606457E-5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8.4074816703865244E-5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8.4437318472124016E-5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8.4799820240382803E-5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8.5162322008641575E-5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8.5524823776900362E-5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8.5870473468084891E-5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8.6216123159269447E-5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8.6561772850453976E-5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8.6907422541638506E-5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8.7253072232823062E-5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8.7581529624202581E-5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8.7909987015582128E-5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8.8238444406961647E-5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8.856690179834118E-5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8.8895359189720713E-5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3.1037462880747585E-4</v>
      </c>
      <c r="C13" s="7">
        <f>$B13 * IFERROR(VLOOKUP("buildings|SO2|Non-fatal heart attacks", US_national_yearly!$D:$AM, 11, FALSE) / VLOOKUP("buildings|SO2|Non-fatal heart attacks", US_national_yearly!$D:$AM, 10, FALSE), 1)</f>
        <v>3.1948904637232477E-4</v>
      </c>
      <c r="D13" s="7">
        <f>$B13 * IFERROR(VLOOKUP("buildings|SO2|Non-fatal heart attacks", US_national_yearly!$D:$AM, 12, FALSE) / VLOOKUP("buildings|SO2|Non-fatal heart attacks", US_national_yearly!$D:$AM, 10, FALSE), 1)</f>
        <v>3.2860346393717357E-4</v>
      </c>
      <c r="E13" s="7">
        <f>$B13 * IFERROR(VLOOKUP("buildings|SO2|Non-fatal heart attacks", US_national_yearly!$D:$AM, 13, FALSE) / VLOOKUP("buildings|SO2|Non-fatal heart attacks", US_national_yearly!$D:$AM, 10, FALSE), 1)</f>
        <v>3.3771788150202244E-4</v>
      </c>
      <c r="F13" s="7">
        <f>$B13 * IFERROR(VLOOKUP("buildings|SO2|Non-fatal heart attacks", US_national_yearly!$D:$AM, 14, FALSE) / VLOOKUP("buildings|SO2|Non-fatal heart attacks", US_national_yearly!$D:$AM, 10, FALSE), 1)</f>
        <v>3.4683229906687135E-4</v>
      </c>
      <c r="G13" s="7">
        <f>$B13 * IFERROR(VLOOKUP("buildings|SO2|Non-fatal heart attacks", US_national_yearly!$D:$AM, 15, FALSE) / VLOOKUP("buildings|SO2|Non-fatal heart attacks", US_national_yearly!$D:$AM, 10, FALSE), 1)</f>
        <v>3.5542866480645118E-4</v>
      </c>
      <c r="H13" s="7">
        <f>$B13 * IFERROR(VLOOKUP("buildings|SO2|Non-fatal heart attacks", US_national_yearly!$D:$AM, 16, FALSE) / VLOOKUP("buildings|SO2|Non-fatal heart attacks", US_national_yearly!$D:$AM, 10, FALSE), 1)</f>
        <v>3.6402503054603112E-4</v>
      </c>
      <c r="I13" s="7">
        <f>$B13 * IFERROR(VLOOKUP("buildings|SO2|Non-fatal heart attacks", US_national_yearly!$D:$AM, 17, FALSE) / VLOOKUP("buildings|SO2|Non-fatal heart attacks", US_national_yearly!$D:$AM, 10, FALSE), 1)</f>
        <v>3.7094453516686645E-4</v>
      </c>
      <c r="J13" s="7">
        <f>$B13 * IFERROR(VLOOKUP("buildings|SO2|Non-fatal heart attacks", US_national_yearly!$D:$AM, 18, FALSE) / VLOOKUP("buildings|SO2|Non-fatal heart attacks", US_national_yearly!$D:$AM, 10, FALSE), 1)</f>
        <v>3.7786403978770183E-4</v>
      </c>
      <c r="K13" s="7">
        <f>$B13 * IFERROR(VLOOKUP("buildings|SO2|Non-fatal heart attacks", US_national_yearly!$D:$AM, 19, FALSE) / VLOOKUP("buildings|SO2|Non-fatal heart attacks", US_national_yearly!$D:$AM, 10, FALSE), 1)</f>
        <v>3.8478354440853722E-4</v>
      </c>
      <c r="L13" s="7">
        <f>$B13 * IFERROR(VLOOKUP("buildings|SO2|Non-fatal heart attacks", US_national_yearly!$D:$AM, 20, FALSE) / VLOOKUP("buildings|SO2|Non-fatal heart attacks", US_national_yearly!$D:$AM, 10, FALSE), 1)</f>
        <v>3.9170304902937271E-4</v>
      </c>
      <c r="M13" s="7">
        <f>$B13 * IFERROR(VLOOKUP("buildings|SO2|Non-fatal heart attacks", US_national_yearly!$D:$AM, 21, FALSE) / VLOOKUP("buildings|SO2|Non-fatal heart attacks", US_national_yearly!$D:$AM, 10, FALSE), 1)</f>
        <v>3.986225536502081E-4</v>
      </c>
      <c r="N13" s="7">
        <f>$B13 * IFERROR(VLOOKUP("buildings|SO2|Non-fatal heart attacks", US_national_yearly!$D:$AM, 22, FALSE) / VLOOKUP("buildings|SO2|Non-fatal heart attacks", US_national_yearly!$D:$AM, 10, FALSE), 1)</f>
        <v>4.0311363380808547E-4</v>
      </c>
      <c r="O13" s="7">
        <f>$B13 * IFERROR(VLOOKUP("buildings|SO2|Non-fatal heart attacks", US_national_yearly!$D:$AM, 23, FALSE) / VLOOKUP("buildings|SO2|Non-fatal heart attacks", US_national_yearly!$D:$AM, 10, FALSE), 1)</f>
        <v>4.076047139659629E-4</v>
      </c>
      <c r="P13" s="7">
        <f>$B13 * IFERROR(VLOOKUP("buildings|SO2|Non-fatal heart attacks", US_national_yearly!$D:$AM, 24, FALSE) / VLOOKUP("buildings|SO2|Non-fatal heart attacks", US_national_yearly!$D:$AM, 10, FALSE), 1)</f>
        <v>4.1209579412384027E-4</v>
      </c>
      <c r="Q13" s="7">
        <f>$B13 * IFERROR(VLOOKUP("buildings|SO2|Non-fatal heart attacks", US_national_yearly!$D:$AM, 25, FALSE) / VLOOKUP("buildings|SO2|Non-fatal heart attacks", US_national_yearly!$D:$AM, 10, FALSE), 1)</f>
        <v>4.1658687428171765E-4</v>
      </c>
      <c r="R13" s="7">
        <f>$B13 * IFERROR(VLOOKUP("buildings|SO2|Non-fatal heart attacks", US_national_yearly!$D:$AM, 26, FALSE) / VLOOKUP("buildings|SO2|Non-fatal heart attacks", US_national_yearly!$D:$AM, 10, FALSE), 1)</f>
        <v>4.2107795443959507E-4</v>
      </c>
      <c r="S13" s="7">
        <f>$B13 * IFERROR(VLOOKUP("buildings|SO2|Non-fatal heart attacks", US_national_yearly!$D:$AM, 27, FALSE) / VLOOKUP("buildings|SO2|Non-fatal heart attacks", US_national_yearly!$D:$AM, 10, FALSE), 1)</f>
        <v>4.2342318914444818E-4</v>
      </c>
      <c r="T13" s="7">
        <f>$B13 * IFERROR(VLOOKUP("buildings|SO2|Non-fatal heart attacks", US_national_yearly!$D:$AM, 28, FALSE) / VLOOKUP("buildings|SO2|Non-fatal heart attacks", US_national_yearly!$D:$AM, 10, FALSE), 1)</f>
        <v>4.2576842384930129E-4</v>
      </c>
      <c r="U13" s="7">
        <f>$B13 * IFERROR(VLOOKUP("buildings|SO2|Non-fatal heart attacks", US_national_yearly!$D:$AM, 29, FALSE) / VLOOKUP("buildings|SO2|Non-fatal heart attacks", US_national_yearly!$D:$AM, 10, FALSE), 1)</f>
        <v>4.2811365855415423E-4</v>
      </c>
      <c r="V13" s="7">
        <f>$B13 * IFERROR(VLOOKUP("buildings|SO2|Non-fatal heart attacks", US_national_yearly!$D:$AM, 30, FALSE) / VLOOKUP("buildings|SO2|Non-fatal heart attacks", US_national_yearly!$D:$AM, 10, FALSE), 1)</f>
        <v>4.3045889325900733E-4</v>
      </c>
      <c r="W13" s="7">
        <f>$B13 * IFERROR(VLOOKUP("buildings|SO2|Non-fatal heart attacks", US_national_yearly!$D:$AM, 31, FALSE) / VLOOKUP("buildings|SO2|Non-fatal heart attacks", US_national_yearly!$D:$AM, 10, FALSE), 1)</f>
        <v>4.3280412796386039E-4</v>
      </c>
      <c r="X13" s="7">
        <f>$B13 * IFERROR(VLOOKUP("buildings|SO2|Non-fatal heart attacks", US_national_yearly!$D:$AM, 32, FALSE) / VLOOKUP("buildings|SO2|Non-fatal heart attacks", US_national_yearly!$D:$AM, 10, FALSE), 1)</f>
        <v>4.3457542143412846E-4</v>
      </c>
      <c r="Y13" s="7">
        <f>$B13 * IFERROR(VLOOKUP("buildings|SO2|Non-fatal heart attacks", US_national_yearly!$D:$AM, 33, FALSE) / VLOOKUP("buildings|SO2|Non-fatal heart attacks", US_national_yearly!$D:$AM, 10, FALSE), 1)</f>
        <v>4.3634671490439653E-4</v>
      </c>
      <c r="Z13" s="7">
        <f>$B13 * IFERROR(VLOOKUP("buildings|SO2|Non-fatal heart attacks", US_national_yearly!$D:$AM, 34, FALSE) / VLOOKUP("buildings|SO2|Non-fatal heart attacks", US_national_yearly!$D:$AM, 10, FALSE), 1)</f>
        <v>4.381180083746645E-4</v>
      </c>
      <c r="AA13" s="7">
        <f>$B13 * IFERROR(VLOOKUP("buildings|SO2|Non-fatal heart attacks", US_national_yearly!$D:$AM, 35, FALSE) / VLOOKUP("buildings|SO2|Non-fatal heart attacks", US_national_yearly!$D:$AM, 10, FALSE), 1)</f>
        <v>4.3988930184493257E-4</v>
      </c>
      <c r="AB13" s="7">
        <f>$B13 * IFERROR(VLOOKUP("buildings|SO2|Non-fatal heart attacks", US_national_yearly!$D:$AM, 36, FALSE) / VLOOKUP("buildings|SO2|Non-fatal heart attacks", US_national_yearly!$D:$AM, 10, FALSE), 1)</f>
        <v>4.4166059531520059E-4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0.26005130290169853</v>
      </c>
      <c r="C14" s="7">
        <f>$B14 * IFERROR(VLOOKUP("buildings|SO2|Minor restricted activity days", US_national_yearly!$D:$AM, 11, FALSE) / VLOOKUP("buildings|SO2|Minor restricted activity days", US_national_yearly!$D:$AM, 10, FALSE), 1)</f>
        <v>0.2607096090759381</v>
      </c>
      <c r="D14" s="7">
        <f>$B14 * IFERROR(VLOOKUP("buildings|SO2|Minor restricted activity days", US_national_yearly!$D:$AM, 12, FALSE) / VLOOKUP("buildings|SO2|Minor restricted activity days", US_national_yearly!$D:$AM, 10, FALSE), 1)</f>
        <v>0.26136791525017766</v>
      </c>
      <c r="E14" s="7">
        <f>$B14 * IFERROR(VLOOKUP("buildings|SO2|Minor restricted activity days", US_national_yearly!$D:$AM, 13, FALSE) / VLOOKUP("buildings|SO2|Minor restricted activity days", US_national_yearly!$D:$AM, 10, FALSE), 1)</f>
        <v>0.26202622142441728</v>
      </c>
      <c r="F14" s="7">
        <f>$B14 * IFERROR(VLOOKUP("buildings|SO2|Minor restricted activity days", US_national_yearly!$D:$AM, 14, FALSE) / VLOOKUP("buildings|SO2|Minor restricted activity days", US_national_yearly!$D:$AM, 10, FALSE), 1)</f>
        <v>0.26268452759865679</v>
      </c>
      <c r="G14" s="7">
        <f>$B14 * IFERROR(VLOOKUP("buildings|SO2|Minor restricted activity days", US_national_yearly!$D:$AM, 15, FALSE) / VLOOKUP("buildings|SO2|Minor restricted activity days", US_national_yearly!$D:$AM, 10, FALSE), 1)</f>
        <v>0.26365249851140238</v>
      </c>
      <c r="H14" s="7">
        <f>$B14 * IFERROR(VLOOKUP("buildings|SO2|Minor restricted activity days", US_national_yearly!$D:$AM, 16, FALSE) / VLOOKUP("buildings|SO2|Minor restricted activity days", US_national_yearly!$D:$AM, 10, FALSE), 1)</f>
        <v>0.26462046942414791</v>
      </c>
      <c r="I14" s="7">
        <f>$B14 * IFERROR(VLOOKUP("buildings|SO2|Minor restricted activity days", US_national_yearly!$D:$AM, 17, FALSE) / VLOOKUP("buildings|SO2|Minor restricted activity days", US_national_yearly!$D:$AM, 10, FALSE), 1)</f>
        <v>0.26626902130086033</v>
      </c>
      <c r="J14" s="7">
        <f>$B14 * IFERROR(VLOOKUP("buildings|SO2|Minor restricted activity days", US_national_yearly!$D:$AM, 18, FALSE) / VLOOKUP("buildings|SO2|Minor restricted activity days", US_national_yearly!$D:$AM, 10, FALSE), 1)</f>
        <v>0.26791757317757287</v>
      </c>
      <c r="K14" s="7">
        <f>$B14 * IFERROR(VLOOKUP("buildings|SO2|Minor restricted activity days", US_national_yearly!$D:$AM, 19, FALSE) / VLOOKUP("buildings|SO2|Minor restricted activity days", US_national_yearly!$D:$AM, 10, FALSE), 1)</f>
        <v>0.26956612505428529</v>
      </c>
      <c r="L14" s="7">
        <f>$B14 * IFERROR(VLOOKUP("buildings|SO2|Minor restricted activity days", US_national_yearly!$D:$AM, 20, FALSE) / VLOOKUP("buildings|SO2|Minor restricted activity days", US_national_yearly!$D:$AM, 10, FALSE), 1)</f>
        <v>0.27121467693099771</v>
      </c>
      <c r="M14" s="7">
        <f>$B14 * IFERROR(VLOOKUP("buildings|SO2|Minor restricted activity days", US_national_yearly!$D:$AM, 21, FALSE) / VLOOKUP("buildings|SO2|Minor restricted activity days", US_national_yearly!$D:$AM, 10, FALSE), 1)</f>
        <v>0.27286322880771019</v>
      </c>
      <c r="N14" s="7">
        <f>$B14 * IFERROR(VLOOKUP("buildings|SO2|Minor restricted activity days", US_national_yearly!$D:$AM, 22, FALSE) / VLOOKUP("buildings|SO2|Minor restricted activity days", US_national_yearly!$D:$AM, 10, FALSE), 1)</f>
        <v>0.27511753686905205</v>
      </c>
      <c r="O14" s="7">
        <f>$B14 * IFERROR(VLOOKUP("buildings|SO2|Minor restricted activity days", US_national_yearly!$D:$AM, 23, FALSE) / VLOOKUP("buildings|SO2|Minor restricted activity days", US_national_yearly!$D:$AM, 10, FALSE), 1)</f>
        <v>0.27737184493039391</v>
      </c>
      <c r="P14" s="7">
        <f>$B14 * IFERROR(VLOOKUP("buildings|SO2|Minor restricted activity days", US_national_yearly!$D:$AM, 24, FALSE) / VLOOKUP("buildings|SO2|Minor restricted activity days", US_national_yearly!$D:$AM, 10, FALSE), 1)</f>
        <v>0.27962615299173571</v>
      </c>
      <c r="Q14" s="7">
        <f>$B14 * IFERROR(VLOOKUP("buildings|SO2|Minor restricted activity days", US_national_yearly!$D:$AM, 25, FALSE) / VLOOKUP("buildings|SO2|Minor restricted activity days", US_national_yearly!$D:$AM, 10, FALSE), 1)</f>
        <v>0.28188046105307757</v>
      </c>
      <c r="R14" s="7">
        <f>$B14 * IFERROR(VLOOKUP("buildings|SO2|Minor restricted activity days", US_national_yearly!$D:$AM, 26, FALSE) / VLOOKUP("buildings|SO2|Minor restricted activity days", US_national_yearly!$D:$AM, 10, FALSE), 1)</f>
        <v>0.28413476911441948</v>
      </c>
      <c r="S14" s="7">
        <f>$B14 * IFERROR(VLOOKUP("buildings|SO2|Minor restricted activity days", US_national_yearly!$D:$AM, 27, FALSE) / VLOOKUP("buildings|SO2|Minor restricted activity days", US_national_yearly!$D:$AM, 10, FALSE), 1)</f>
        <v>0.28643288982936743</v>
      </c>
      <c r="T14" s="7">
        <f>$B14 * IFERROR(VLOOKUP("buildings|SO2|Minor restricted activity days", US_national_yearly!$D:$AM, 28, FALSE) / VLOOKUP("buildings|SO2|Minor restricted activity days", US_national_yearly!$D:$AM, 10, FALSE), 1)</f>
        <v>0.28873101054431538</v>
      </c>
      <c r="U14" s="7">
        <f>$B14 * IFERROR(VLOOKUP("buildings|SO2|Minor restricted activity days", US_national_yearly!$D:$AM, 29, FALSE) / VLOOKUP("buildings|SO2|Minor restricted activity days", US_national_yearly!$D:$AM, 10, FALSE), 1)</f>
        <v>0.29102913125926333</v>
      </c>
      <c r="V14" s="7">
        <f>$B14 * IFERROR(VLOOKUP("buildings|SO2|Minor restricted activity days", US_national_yearly!$D:$AM, 30, FALSE) / VLOOKUP("buildings|SO2|Minor restricted activity days", US_national_yearly!$D:$AM, 10, FALSE), 1)</f>
        <v>0.29332725197421133</v>
      </c>
      <c r="W14" s="7">
        <f>$B14 * IFERROR(VLOOKUP("buildings|SO2|Minor restricted activity days", US_national_yearly!$D:$AM, 31, FALSE) / VLOOKUP("buildings|SO2|Minor restricted activity days", US_national_yearly!$D:$AM, 10, FALSE), 1)</f>
        <v>0.29562537268915934</v>
      </c>
      <c r="X14" s="7">
        <f>$B14 * IFERROR(VLOOKUP("buildings|SO2|Minor restricted activity days", US_national_yearly!$D:$AM, 32, FALSE) / VLOOKUP("buildings|SO2|Minor restricted activity days", US_national_yearly!$D:$AM, 10, FALSE), 1)</f>
        <v>0.29764643686347136</v>
      </c>
      <c r="Y14" s="7">
        <f>$B14 * IFERROR(VLOOKUP("buildings|SO2|Minor restricted activity days", US_national_yearly!$D:$AM, 33, FALSE) / VLOOKUP("buildings|SO2|Minor restricted activity days", US_national_yearly!$D:$AM, 10, FALSE), 1)</f>
        <v>0.29966750103778339</v>
      </c>
      <c r="Z14" s="7">
        <f>$B14 * IFERROR(VLOOKUP("buildings|SO2|Minor restricted activity days", US_national_yearly!$D:$AM, 34, FALSE) / VLOOKUP("buildings|SO2|Minor restricted activity days", US_national_yearly!$D:$AM, 10, FALSE), 1)</f>
        <v>0.30168856521209542</v>
      </c>
      <c r="AA14" s="7">
        <f>$B14 * IFERROR(VLOOKUP("buildings|SO2|Minor restricted activity days", US_national_yearly!$D:$AM, 35, FALSE) / VLOOKUP("buildings|SO2|Minor restricted activity days", US_national_yearly!$D:$AM, 10, FALSE), 1)</f>
        <v>0.30370962938640744</v>
      </c>
      <c r="AB14" s="7">
        <f>$B14 * IFERROR(VLOOKUP("buildings|SO2|Minor restricted activity days", US_national_yearly!$D:$AM, 36, FALSE) / VLOOKUP("buildings|SO2|Minor restricted activity days", US_national_yearly!$D:$AM, 10, FALSE), 1)</f>
        <v>0.30573069356071947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4.3503729358737968E-2</v>
      </c>
      <c r="C15" s="7">
        <f>$B15 * IFERROR(VLOOKUP("buildings|SO2|Work loss days", US_national_yearly!$D:$AM, 11, FALSE) / VLOOKUP("buildings|SO2|Work loss days", US_national_yearly!$D:$AM, 10, FALSE), 1)</f>
        <v>4.3645072266952155E-2</v>
      </c>
      <c r="D15" s="7">
        <f>$B15 * IFERROR(VLOOKUP("buildings|SO2|Work loss days", US_national_yearly!$D:$AM, 12, FALSE) / VLOOKUP("buildings|SO2|Work loss days", US_national_yearly!$D:$AM, 10, FALSE), 1)</f>
        <v>4.3786415175166342E-2</v>
      </c>
      <c r="E15" s="7">
        <f>$B15 * IFERROR(VLOOKUP("buildings|SO2|Work loss days", US_national_yearly!$D:$AM, 13, FALSE) / VLOOKUP("buildings|SO2|Work loss days", US_national_yearly!$D:$AM, 10, FALSE), 1)</f>
        <v>4.3927758083380529E-2</v>
      </c>
      <c r="F15" s="7">
        <f>$B15 * IFERROR(VLOOKUP("buildings|SO2|Work loss days", US_national_yearly!$D:$AM, 14, FALSE) / VLOOKUP("buildings|SO2|Work loss days", US_national_yearly!$D:$AM, 10, FALSE), 1)</f>
        <v>4.4069100991594702E-2</v>
      </c>
      <c r="G15" s="7">
        <f>$B15 * IFERROR(VLOOKUP("buildings|SO2|Work loss days", US_national_yearly!$D:$AM, 15, FALSE) / VLOOKUP("buildings|SO2|Work loss days", US_national_yearly!$D:$AM, 10, FALSE), 1)</f>
        <v>4.4253702651444057E-2</v>
      </c>
      <c r="H15" s="7">
        <f>$B15 * IFERROR(VLOOKUP("buildings|SO2|Work loss days", US_national_yearly!$D:$AM, 16, FALSE) / VLOOKUP("buildings|SO2|Work loss days", US_national_yearly!$D:$AM, 10, FALSE), 1)</f>
        <v>4.443830431129342E-2</v>
      </c>
      <c r="I15" s="7">
        <f>$B15 * IFERROR(VLOOKUP("buildings|SO2|Work loss days", US_national_yearly!$D:$AM, 17, FALSE) / VLOOKUP("buildings|SO2|Work loss days", US_national_yearly!$D:$AM, 10, FALSE), 1)</f>
        <v>4.4708202270547975E-2</v>
      </c>
      <c r="J15" s="7">
        <f>$B15 * IFERROR(VLOOKUP("buildings|SO2|Work loss days", US_national_yearly!$D:$AM, 18, FALSE) / VLOOKUP("buildings|SO2|Work loss days", US_national_yearly!$D:$AM, 10, FALSE), 1)</f>
        <v>4.4978100229802517E-2</v>
      </c>
      <c r="K15" s="7">
        <f>$B15 * IFERROR(VLOOKUP("buildings|SO2|Work loss days", US_national_yearly!$D:$AM, 19, FALSE) / VLOOKUP("buildings|SO2|Work loss days", US_national_yearly!$D:$AM, 10, FALSE), 1)</f>
        <v>4.5247998189057073E-2</v>
      </c>
      <c r="L15" s="7">
        <f>$B15 * IFERROR(VLOOKUP("buildings|SO2|Work loss days", US_national_yearly!$D:$AM, 20, FALSE) / VLOOKUP("buildings|SO2|Work loss days", US_national_yearly!$D:$AM, 10, FALSE), 1)</f>
        <v>4.5517896148311615E-2</v>
      </c>
      <c r="M15" s="7">
        <f>$B15 * IFERROR(VLOOKUP("buildings|SO2|Work loss days", US_national_yearly!$D:$AM, 21, FALSE) / VLOOKUP("buildings|SO2|Work loss days", US_national_yearly!$D:$AM, 10, FALSE), 1)</f>
        <v>4.5787794107566157E-2</v>
      </c>
      <c r="N15" s="7">
        <f>$B15 * IFERROR(VLOOKUP("buildings|SO2|Work loss days", US_national_yearly!$D:$AM, 22, FALSE) / VLOOKUP("buildings|SO2|Work loss days", US_national_yearly!$D:$AM, 10, FALSE), 1)</f>
        <v>4.6126241727195927E-2</v>
      </c>
      <c r="O15" s="7">
        <f>$B15 * IFERROR(VLOOKUP("buildings|SO2|Work loss days", US_national_yearly!$D:$AM, 23, FALSE) / VLOOKUP("buildings|SO2|Work loss days", US_national_yearly!$D:$AM, 10, FALSE), 1)</f>
        <v>4.6464689346825676E-2</v>
      </c>
      <c r="P15" s="7">
        <f>$B15 * IFERROR(VLOOKUP("buildings|SO2|Work loss days", US_national_yearly!$D:$AM, 24, FALSE) / VLOOKUP("buildings|SO2|Work loss days", US_national_yearly!$D:$AM, 10, FALSE), 1)</f>
        <v>4.6803136966455432E-2</v>
      </c>
      <c r="Q15" s="7">
        <f>$B15 * IFERROR(VLOOKUP("buildings|SO2|Work loss days", US_national_yearly!$D:$AM, 25, FALSE) / VLOOKUP("buildings|SO2|Work loss days", US_national_yearly!$D:$AM, 10, FALSE), 1)</f>
        <v>4.7141584586085201E-2</v>
      </c>
      <c r="R15" s="7">
        <f>$B15 * IFERROR(VLOOKUP("buildings|SO2|Work loss days", US_national_yearly!$D:$AM, 26, FALSE) / VLOOKUP("buildings|SO2|Work loss days", US_national_yearly!$D:$AM, 10, FALSE), 1)</f>
        <v>4.7480032205714943E-2</v>
      </c>
      <c r="S15" s="7">
        <f>$B15 * IFERROR(VLOOKUP("buildings|SO2|Work loss days", US_national_yearly!$D:$AM, 27, FALSE) / VLOOKUP("buildings|SO2|Work loss days", US_national_yearly!$D:$AM, 10, FALSE), 1)</f>
        <v>4.785810784299991E-2</v>
      </c>
      <c r="T15" s="7">
        <f>$B15 * IFERROR(VLOOKUP("buildings|SO2|Work loss days", US_national_yearly!$D:$AM, 28, FALSE) / VLOOKUP("buildings|SO2|Work loss days", US_national_yearly!$D:$AM, 10, FALSE), 1)</f>
        <v>4.8236183480284869E-2</v>
      </c>
      <c r="U15" s="7">
        <f>$B15 * IFERROR(VLOOKUP("buildings|SO2|Work loss days", US_national_yearly!$D:$AM, 29, FALSE) / VLOOKUP("buildings|SO2|Work loss days", US_national_yearly!$D:$AM, 10, FALSE), 1)</f>
        <v>4.8614259117569836E-2</v>
      </c>
      <c r="V15" s="7">
        <f>$B15 * IFERROR(VLOOKUP("buildings|SO2|Work loss days", US_national_yearly!$D:$AM, 30, FALSE) / VLOOKUP("buildings|SO2|Work loss days", US_national_yearly!$D:$AM, 10, FALSE), 1)</f>
        <v>4.8992334754854788E-2</v>
      </c>
      <c r="W15" s="7">
        <f>$B15 * IFERROR(VLOOKUP("buildings|SO2|Work loss days", US_national_yearly!$D:$AM, 31, FALSE) / VLOOKUP("buildings|SO2|Work loss days", US_national_yearly!$D:$AM, 10, FALSE), 1)</f>
        <v>4.9370410392139748E-2</v>
      </c>
      <c r="X15" s="7">
        <f>$B15 * IFERROR(VLOOKUP("buildings|SO2|Work loss days", US_national_yearly!$D:$AM, 32, FALSE) / VLOOKUP("buildings|SO2|Work loss days", US_national_yearly!$D:$AM, 10, FALSE), 1)</f>
        <v>4.970987774915301E-2</v>
      </c>
      <c r="Y15" s="7">
        <f>$B15 * IFERROR(VLOOKUP("buildings|SO2|Work loss days", US_national_yearly!$D:$AM, 33, FALSE) / VLOOKUP("buildings|SO2|Work loss days", US_national_yearly!$D:$AM, 10, FALSE), 1)</f>
        <v>5.0049345106166279E-2</v>
      </c>
      <c r="Z15" s="7">
        <f>$B15 * IFERROR(VLOOKUP("buildings|SO2|Work loss days", US_national_yearly!$D:$AM, 34, FALSE) / VLOOKUP("buildings|SO2|Work loss days", US_national_yearly!$D:$AM, 10, FALSE), 1)</f>
        <v>5.0388812463179534E-2</v>
      </c>
      <c r="AA15" s="7">
        <f>$B15 * IFERROR(VLOOKUP("buildings|SO2|Work loss days", US_national_yearly!$D:$AM, 35, FALSE) / VLOOKUP("buildings|SO2|Work loss days", US_national_yearly!$D:$AM, 10, FALSE), 1)</f>
        <v>5.0728279820192797E-2</v>
      </c>
      <c r="AB15" s="7">
        <f>$B15 * IFERROR(VLOOKUP("buildings|SO2|Work loss days", US_national_yearly!$D:$AM, 36, FALSE) / VLOOKUP("buildings|SO2|Work loss days", US_national_yearly!$D:$AM, 10, FALSE), 1)</f>
        <v>5.1067747177206052E-2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7.1436155568922041E-5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7.3597053448264823E-5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7.5757951327607619E-5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7.7918849206950414E-5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8.0079747086293196E-5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8.2149757819714888E-5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8.4219768553136566E-5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8.5993763581696206E-5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8.7767758610255832E-5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8.9541753638815473E-5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9.1315748667375113E-5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9.3089743695934726E-5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9.4280945804779085E-5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9.5472147913623458E-5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9.6663350022467817E-5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9.7854552131312176E-5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9.9045754240156535E-5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9.9672182265386395E-5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1.0029861029061627E-4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1.0092503831584612E-4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1.0155146634107598E-4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1.0217789436630582E-4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1.025985421934847E-4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1.0301919002066355E-4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1.034398378478424E-4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1.0386048567502128E-4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1.0428113350220013E-4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8.5751556182634709E-3</v>
      </c>
      <c r="C2" s="7">
        <f>$B2 * IFERROR(VLOOKUP("industry|PM25|Premature mortality", US_national_yearly!$D:$AM, 11, FALSE) / VLOOKUP("industry|PM25|Premature mortality", US_national_yearly!$D:$AM, 10, FALSE), 1)</f>
        <v>8.6819443284143604E-3</v>
      </c>
      <c r="D2" s="7">
        <f>$B2 * IFERROR(VLOOKUP("industry|PM25|Premature mortality", US_national_yearly!$D:$AM, 12, FALSE) / VLOOKUP("industry|PM25|Premature mortality", US_national_yearly!$D:$AM, 10, FALSE), 1)</f>
        <v>8.7887330385652499E-3</v>
      </c>
      <c r="E2" s="7">
        <f>$B2 * IFERROR(VLOOKUP("industry|PM25|Premature mortality", US_national_yearly!$D:$AM, 13, FALSE) / VLOOKUP("industry|PM25|Premature mortality", US_national_yearly!$D:$AM, 10, FALSE), 1)</f>
        <v>8.8955217487161394E-3</v>
      </c>
      <c r="F2" s="7">
        <f>$B2 * IFERROR(VLOOKUP("industry|PM25|Premature mortality", US_national_yearly!$D:$AM, 14, FALSE) / VLOOKUP("industry|PM25|Premature mortality", US_national_yearly!$D:$AM, 10, FALSE), 1)</f>
        <v>9.0023104588670272E-3</v>
      </c>
      <c r="G2" s="7">
        <f>$B2 * IFERROR(VLOOKUP("industry|PM25|Premature mortality", US_national_yearly!$D:$AM, 15, FALSE) / VLOOKUP("industry|PM25|Premature mortality", US_national_yearly!$D:$AM, 10, FALSE), 1)</f>
        <v>9.2100662357756016E-3</v>
      </c>
      <c r="H2" s="7">
        <f>$B2 * IFERROR(VLOOKUP("industry|PM25|Premature mortality", US_national_yearly!$D:$AM, 16, FALSE) / VLOOKUP("industry|PM25|Premature mortality", US_national_yearly!$D:$AM, 10, FALSE), 1)</f>
        <v>9.4178220126841742E-3</v>
      </c>
      <c r="I2" s="7">
        <f>$B2 * IFERROR(VLOOKUP("industry|PM25|Premature mortality", US_national_yearly!$D:$AM, 17, FALSE) / VLOOKUP("industry|PM25|Premature mortality", US_national_yearly!$D:$AM, 10, FALSE), 1)</f>
        <v>9.5550024615294119E-3</v>
      </c>
      <c r="J2" s="7">
        <f>$B2 * IFERROR(VLOOKUP("industry|PM25|Premature mortality", US_national_yearly!$D:$AM, 18, FALSE) / VLOOKUP("industry|PM25|Premature mortality", US_national_yearly!$D:$AM, 10, FALSE), 1)</f>
        <v>9.6921829103746478E-3</v>
      </c>
      <c r="K2" s="7">
        <f>$B2 * IFERROR(VLOOKUP("industry|PM25|Premature mortality", US_national_yearly!$D:$AM, 19, FALSE) / VLOOKUP("industry|PM25|Premature mortality", US_national_yearly!$D:$AM, 10, FALSE), 1)</f>
        <v>9.8293633592198837E-3</v>
      </c>
      <c r="L2" s="7">
        <f>$B2 * IFERROR(VLOOKUP("industry|PM25|Premature mortality", US_national_yearly!$D:$AM, 20, FALSE) / VLOOKUP("industry|PM25|Premature mortality", US_national_yearly!$D:$AM, 10, FALSE), 1)</f>
        <v>9.9665438080651179E-3</v>
      </c>
      <c r="M2" s="7">
        <f>$B2 * IFERROR(VLOOKUP("industry|PM25|Premature mortality", US_national_yearly!$D:$AM, 21, FALSE) / VLOOKUP("industry|PM25|Premature mortality", US_national_yearly!$D:$AM, 10, FALSE), 1)</f>
        <v>1.0103724256910356E-2</v>
      </c>
      <c r="N2" s="7">
        <f>$B2 * IFERROR(VLOOKUP("industry|PM25|Premature mortality", US_national_yearly!$D:$AM, 22, FALSE) / VLOOKUP("industry|PM25|Premature mortality", US_national_yearly!$D:$AM, 10, FALSE), 1)</f>
        <v>1.0210599555059178E-2</v>
      </c>
      <c r="O2" s="7">
        <f>$B2 * IFERROR(VLOOKUP("industry|PM25|Premature mortality", US_national_yearly!$D:$AM, 23, FALSE) / VLOOKUP("industry|PM25|Premature mortality", US_national_yearly!$D:$AM, 10, FALSE), 1)</f>
        <v>1.0317474853207997E-2</v>
      </c>
      <c r="P2" s="7">
        <f>$B2 * IFERROR(VLOOKUP("industry|PM25|Premature mortality", US_national_yearly!$D:$AM, 24, FALSE) / VLOOKUP("industry|PM25|Premature mortality", US_national_yearly!$D:$AM, 10, FALSE), 1)</f>
        <v>1.0424350151356818E-2</v>
      </c>
      <c r="Q2" s="7">
        <f>$B2 * IFERROR(VLOOKUP("industry|PM25|Premature mortality", US_national_yearly!$D:$AM, 25, FALSE) / VLOOKUP("industry|PM25|Premature mortality", US_national_yearly!$D:$AM, 10, FALSE), 1)</f>
        <v>1.0531225449505641E-2</v>
      </c>
      <c r="R2" s="7">
        <f>$B2 * IFERROR(VLOOKUP("industry|PM25|Premature mortality", US_national_yearly!$D:$AM, 26, FALSE) / VLOOKUP("industry|PM25|Premature mortality", US_national_yearly!$D:$AM, 10, FALSE), 1)</f>
        <v>1.063810074765446E-2</v>
      </c>
      <c r="S2" s="7">
        <f>$B2 * IFERROR(VLOOKUP("industry|PM25|Premature mortality", US_national_yearly!$D:$AM, 27, FALSE) / VLOOKUP("industry|PM25|Premature mortality", US_national_yearly!$D:$AM, 10, FALSE), 1)</f>
        <v>1.0695809444679578E-2</v>
      </c>
      <c r="T2" s="7">
        <f>$B2 * IFERROR(VLOOKUP("industry|PM25|Premature mortality", US_national_yearly!$D:$AM, 28, FALSE) / VLOOKUP("industry|PM25|Premature mortality", US_national_yearly!$D:$AM, 10, FALSE), 1)</f>
        <v>1.0753518141704697E-2</v>
      </c>
      <c r="U2" s="7">
        <f>$B2 * IFERROR(VLOOKUP("industry|PM25|Premature mortality", US_national_yearly!$D:$AM, 29, FALSE) / VLOOKUP("industry|PM25|Premature mortality", US_national_yearly!$D:$AM, 10, FALSE), 1)</f>
        <v>1.0811226838729818E-2</v>
      </c>
      <c r="V2" s="7">
        <f>$B2 * IFERROR(VLOOKUP("industry|PM25|Premature mortality", US_national_yearly!$D:$AM, 30, FALSE) / VLOOKUP("industry|PM25|Premature mortality", US_national_yearly!$D:$AM, 10, FALSE), 1)</f>
        <v>1.0868935535754937E-2</v>
      </c>
      <c r="W2" s="7">
        <f>$B2 * IFERROR(VLOOKUP("industry|PM25|Premature mortality", US_national_yearly!$D:$AM, 31, FALSE) / VLOOKUP("industry|PM25|Premature mortality", US_national_yearly!$D:$AM, 10, FALSE), 1)</f>
        <v>1.0926644232780055E-2</v>
      </c>
      <c r="X2" s="7">
        <f>$B2 * IFERROR(VLOOKUP("industry|PM25|Premature mortality", US_national_yearly!$D:$AM, 32, FALSE) / VLOOKUP("industry|PM25|Premature mortality", US_national_yearly!$D:$AM, 10, FALSE), 1)</f>
        <v>1.0938559055988816E-2</v>
      </c>
      <c r="Y2" s="7">
        <f>$B2 * IFERROR(VLOOKUP("industry|PM25|Premature mortality", US_national_yearly!$D:$AM, 33, FALSE) / VLOOKUP("industry|PM25|Premature mortality", US_national_yearly!$D:$AM, 10, FALSE), 1)</f>
        <v>1.0950473879197583E-2</v>
      </c>
      <c r="Z2" s="7">
        <f>$B2 * IFERROR(VLOOKUP("industry|PM25|Premature mortality", US_national_yearly!$D:$AM, 34, FALSE) / VLOOKUP("industry|PM25|Premature mortality", US_national_yearly!$D:$AM, 10, FALSE), 1)</f>
        <v>1.0962388702406345E-2</v>
      </c>
      <c r="AA2" s="7">
        <f>$B2 * IFERROR(VLOOKUP("industry|PM25|Premature mortality", US_national_yearly!$D:$AM, 35, FALSE) / VLOOKUP("industry|PM25|Premature mortality", US_national_yearly!$D:$AM, 10, FALSE), 1)</f>
        <v>1.0974303525615112E-2</v>
      </c>
      <c r="AB2" s="7">
        <f>$B2 * IFERROR(VLOOKUP("industry|PM25|Premature mortality", US_national_yearly!$D:$AM, 36, FALSE) / VLOOKUP("industry|PM25|Premature mortality", US_national_yearly!$D:$AM, 10, FALSE), 1)</f>
        <v>1.0986218348823875E-2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1.4909258875411771E-5</v>
      </c>
      <c r="C3" s="7">
        <f>$B3 * IFERROR(VLOOKUP("industry|PM25|Infant mortality", US_national_yearly!$D:$AM, 11, FALSE) / VLOOKUP("industry|PM25|Infant mortality", US_national_yearly!$D:$AM, 10, FALSE), 1)</f>
        <v>1.4779446211931313E-5</v>
      </c>
      <c r="D3" s="7">
        <f>$B3 * IFERROR(VLOOKUP("industry|PM25|Infant mortality", US_national_yearly!$D:$AM, 12, FALSE) / VLOOKUP("industry|PM25|Infant mortality", US_national_yearly!$D:$AM, 10, FALSE), 1)</f>
        <v>1.4649633548450852E-5</v>
      </c>
      <c r="E3" s="7">
        <f>$B3 * IFERROR(VLOOKUP("industry|PM25|Infant mortality", US_national_yearly!$D:$AM, 13, FALSE) / VLOOKUP("industry|PM25|Infant mortality", US_national_yearly!$D:$AM, 10, FALSE), 1)</f>
        <v>1.451982088497039E-5</v>
      </c>
      <c r="F3" s="7">
        <f>$B3 * IFERROR(VLOOKUP("industry|PM25|Infant mortality", US_national_yearly!$D:$AM, 14, FALSE) / VLOOKUP("industry|PM25|Infant mortality", US_national_yearly!$D:$AM, 10, FALSE), 1)</f>
        <v>1.4390008221489932E-5</v>
      </c>
      <c r="G3" s="7">
        <f>$B3 * IFERROR(VLOOKUP("industry|PM25|Infant mortality", US_national_yearly!$D:$AM, 15, FALSE) / VLOOKUP("industry|PM25|Infant mortality", US_national_yearly!$D:$AM, 10, FALSE), 1)</f>
        <v>9.5612251555529871E-6</v>
      </c>
      <c r="H3" s="7">
        <f>$B3 * IFERROR(VLOOKUP("industry|PM25|Infant mortality", US_national_yearly!$D:$AM, 16, FALSE) / VLOOKUP("industry|PM25|Infant mortality", US_national_yearly!$D:$AM, 10, FALSE), 1)</f>
        <v>4.7324420896160423E-6</v>
      </c>
      <c r="I3" s="7">
        <f>$B3 * IFERROR(VLOOKUP("industry|PM25|Infant mortality", US_national_yearly!$D:$AM, 17, FALSE) / VLOOKUP("industry|PM25|Infant mortality", US_national_yearly!$D:$AM, 10, FALSE), 1)</f>
        <v>4.7009430198387096E-6</v>
      </c>
      <c r="J3" s="7">
        <f>$B3 * IFERROR(VLOOKUP("industry|PM25|Infant mortality", US_national_yearly!$D:$AM, 18, FALSE) / VLOOKUP("industry|PM25|Infant mortality", US_national_yearly!$D:$AM, 10, FALSE), 1)</f>
        <v>4.669443950061377E-6</v>
      </c>
      <c r="K3" s="7">
        <f>$B3 * IFERROR(VLOOKUP("industry|PM25|Infant mortality", US_national_yearly!$D:$AM, 19, FALSE) / VLOOKUP("industry|PM25|Infant mortality", US_national_yearly!$D:$AM, 10, FALSE), 1)</f>
        <v>4.6379448802840443E-6</v>
      </c>
      <c r="L3" s="7">
        <f>$B3 * IFERROR(VLOOKUP("industry|PM25|Infant mortality", US_national_yearly!$D:$AM, 20, FALSE) / VLOOKUP("industry|PM25|Infant mortality", US_national_yearly!$D:$AM, 10, FALSE), 1)</f>
        <v>4.6064458105067108E-6</v>
      </c>
      <c r="M3" s="7">
        <f>$B3 * IFERROR(VLOOKUP("industry|PM25|Infant mortality", US_national_yearly!$D:$AM, 21, FALSE) / VLOOKUP("industry|PM25|Infant mortality", US_national_yearly!$D:$AM, 10, FALSE), 1)</f>
        <v>4.5749467407293781E-6</v>
      </c>
      <c r="N3" s="7">
        <f>$B3 * IFERROR(VLOOKUP("industry|PM25|Infant mortality", US_national_yearly!$D:$AM, 22, FALSE) / VLOOKUP("industry|PM25|Infant mortality", US_national_yearly!$D:$AM, 10, FALSE), 1)</f>
        <v>4.5548472668592829E-6</v>
      </c>
      <c r="O3" s="7">
        <f>$B3 * IFERROR(VLOOKUP("industry|PM25|Infant mortality", US_national_yearly!$D:$AM, 23, FALSE) / VLOOKUP("industry|PM25|Infant mortality", US_national_yearly!$D:$AM, 10, FALSE), 1)</f>
        <v>4.5347477929891876E-6</v>
      </c>
      <c r="P3" s="7">
        <f>$B3 * IFERROR(VLOOKUP("industry|PM25|Infant mortality", US_national_yearly!$D:$AM, 24, FALSE) / VLOOKUP("industry|PM25|Infant mortality", US_national_yearly!$D:$AM, 10, FALSE), 1)</f>
        <v>4.5146483191190941E-6</v>
      </c>
      <c r="Q3" s="7">
        <f>$B3 * IFERROR(VLOOKUP("industry|PM25|Infant mortality", US_national_yearly!$D:$AM, 25, FALSE) / VLOOKUP("industry|PM25|Infant mortality", US_national_yearly!$D:$AM, 10, FALSE), 1)</f>
        <v>4.4945488452489988E-6</v>
      </c>
      <c r="R3" s="7">
        <f>$B3 * IFERROR(VLOOKUP("industry|PM25|Infant mortality", US_national_yearly!$D:$AM, 26, FALSE) / VLOOKUP("industry|PM25|Infant mortality", US_national_yearly!$D:$AM, 10, FALSE), 1)</f>
        <v>4.4744493713789045E-6</v>
      </c>
      <c r="S3" s="7">
        <f>$B3 * IFERROR(VLOOKUP("industry|PM25|Infant mortality", US_national_yearly!$D:$AM, 27, FALSE) / VLOOKUP("industry|PM25|Infant mortality", US_national_yearly!$D:$AM, 10, FALSE), 1)</f>
        <v>4.4497288333076125E-6</v>
      </c>
      <c r="T3" s="7">
        <f>$B3 * IFERROR(VLOOKUP("industry|PM25|Infant mortality", US_national_yearly!$D:$AM, 28, FALSE) / VLOOKUP("industry|PM25|Infant mortality", US_national_yearly!$D:$AM, 10, FALSE), 1)</f>
        <v>4.4250082952363206E-6</v>
      </c>
      <c r="U3" s="7">
        <f>$B3 * IFERROR(VLOOKUP("industry|PM25|Infant mortality", US_national_yearly!$D:$AM, 29, FALSE) / VLOOKUP("industry|PM25|Infant mortality", US_national_yearly!$D:$AM, 10, FALSE), 1)</f>
        <v>4.4002877571650287E-6</v>
      </c>
      <c r="V3" s="7">
        <f>$B3 * IFERROR(VLOOKUP("industry|PM25|Infant mortality", US_national_yearly!$D:$AM, 30, FALSE) / VLOOKUP("industry|PM25|Infant mortality", US_national_yearly!$D:$AM, 10, FALSE), 1)</f>
        <v>4.3755672190937376E-6</v>
      </c>
      <c r="W3" s="7">
        <f>$B3 * IFERROR(VLOOKUP("industry|PM25|Infant mortality", US_national_yearly!$D:$AM, 31, FALSE) / VLOOKUP("industry|PM25|Infant mortality", US_national_yearly!$D:$AM, 10, FALSE), 1)</f>
        <v>4.3508466810224465E-6</v>
      </c>
      <c r="X3" s="7">
        <f>$B3 * IFERROR(VLOOKUP("industry|PM25|Infant mortality", US_national_yearly!$D:$AM, 32, FALSE) / VLOOKUP("industry|PM25|Infant mortality", US_national_yearly!$D:$AM, 10, FALSE), 1)</f>
        <v>4.3244296885240404E-6</v>
      </c>
      <c r="Y3" s="7">
        <f>$B3 * IFERROR(VLOOKUP("industry|PM25|Infant mortality", US_national_yearly!$D:$AM, 33, FALSE) / VLOOKUP("industry|PM25|Infant mortality", US_national_yearly!$D:$AM, 10, FALSE), 1)</f>
        <v>4.2980126960256343E-6</v>
      </c>
      <c r="Z3" s="7">
        <f>$B3 * IFERROR(VLOOKUP("industry|PM25|Infant mortality", US_national_yearly!$D:$AM, 34, FALSE) / VLOOKUP("industry|PM25|Infant mortality", US_national_yearly!$D:$AM, 10, FALSE), 1)</f>
        <v>4.2715957035272281E-6</v>
      </c>
      <c r="AA3" s="7">
        <f>$B3 * IFERROR(VLOOKUP("industry|PM25|Infant mortality", US_national_yearly!$D:$AM, 35, FALSE) / VLOOKUP("industry|PM25|Infant mortality", US_national_yearly!$D:$AM, 10, FALSE), 1)</f>
        <v>4.245178711028822E-6</v>
      </c>
      <c r="AB3" s="7">
        <f>$B3 * IFERROR(VLOOKUP("industry|PM25|Infant mortality", US_national_yearly!$D:$AM, 36, FALSE) / VLOOKUP("industry|PM25|Infant mortality", US_national_yearly!$D:$AM, 10, FALSE), 1)</f>
        <v>4.218761718530415E-6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1.5172202360689026E-2</v>
      </c>
      <c r="C6" s="7">
        <f>$B6 * IFERROR(VLOOKUP("industry|PM25|Asthma symptoms cough", US_national_yearly!$D:$AM, 11, FALSE) / VLOOKUP("industry|PM25|Asthma symptoms cough", US_national_yearly!$D:$AM, 10, FALSE), 1)</f>
        <v>1.5172202360689026E-2</v>
      </c>
      <c r="D6" s="7">
        <f>$B6 * IFERROR(VLOOKUP("industry|PM25|Asthma symptoms cough", US_national_yearly!$D:$AM, 12, FALSE) / VLOOKUP("industry|PM25|Asthma symptoms cough", US_national_yearly!$D:$AM, 10, FALSE), 1)</f>
        <v>1.5172202360689026E-2</v>
      </c>
      <c r="E6" s="7">
        <f>$B6 * IFERROR(VLOOKUP("industry|PM25|Asthma symptoms cough", US_national_yearly!$D:$AM, 13, FALSE) / VLOOKUP("industry|PM25|Asthma symptoms cough", US_national_yearly!$D:$AM, 10, FALSE), 1)</f>
        <v>1.5172202360689026E-2</v>
      </c>
      <c r="F6" s="7">
        <f>$B6 * IFERROR(VLOOKUP("industry|PM25|Asthma symptoms cough", US_national_yearly!$D:$AM, 14, FALSE) / VLOOKUP("industry|PM25|Asthma symptoms cough", US_national_yearly!$D:$AM, 10, FALSE), 1)</f>
        <v>1.5172202360689026E-2</v>
      </c>
      <c r="G6" s="7">
        <f>$B6 * IFERROR(VLOOKUP("industry|PM25|Asthma symptoms cough", US_national_yearly!$D:$AM, 15, FALSE) / VLOOKUP("industry|PM25|Asthma symptoms cough", US_national_yearly!$D:$AM, 10, FALSE), 1)</f>
        <v>1.5172202360689026E-2</v>
      </c>
      <c r="H6" s="7">
        <f>$B6 * IFERROR(VLOOKUP("industry|PM25|Asthma symptoms cough", US_national_yearly!$D:$AM, 16, FALSE) / VLOOKUP("industry|PM25|Asthma symptoms cough", US_national_yearly!$D:$AM, 10, FALSE), 1)</f>
        <v>1.5172202360689026E-2</v>
      </c>
      <c r="I6" s="7">
        <f>$B6 * IFERROR(VLOOKUP("industry|PM25|Asthma symptoms cough", US_national_yearly!$D:$AM, 17, FALSE) / VLOOKUP("industry|PM25|Asthma symptoms cough", US_national_yearly!$D:$AM, 10, FALSE), 1)</f>
        <v>1.5172202360689026E-2</v>
      </c>
      <c r="J6" s="7">
        <f>$B6 * IFERROR(VLOOKUP("industry|PM25|Asthma symptoms cough", US_national_yearly!$D:$AM, 18, FALSE) / VLOOKUP("industry|PM25|Asthma symptoms cough", US_national_yearly!$D:$AM, 10, FALSE), 1)</f>
        <v>1.5172202360689026E-2</v>
      </c>
      <c r="K6" s="7">
        <f>$B6 * IFERROR(VLOOKUP("industry|PM25|Asthma symptoms cough", US_national_yearly!$D:$AM, 19, FALSE) / VLOOKUP("industry|PM25|Asthma symptoms cough", US_national_yearly!$D:$AM, 10, FALSE), 1)</f>
        <v>1.5172202360689026E-2</v>
      </c>
      <c r="L6" s="7">
        <f>$B6 * IFERROR(VLOOKUP("industry|PM25|Asthma symptoms cough", US_national_yearly!$D:$AM, 20, FALSE) / VLOOKUP("industry|PM25|Asthma symptoms cough", US_national_yearly!$D:$AM, 10, FALSE), 1)</f>
        <v>1.5172202360689026E-2</v>
      </c>
      <c r="M6" s="7">
        <f>$B6 * IFERROR(VLOOKUP("industry|PM25|Asthma symptoms cough", US_national_yearly!$D:$AM, 21, FALSE) / VLOOKUP("industry|PM25|Asthma symptoms cough", US_national_yearly!$D:$AM, 10, FALSE), 1)</f>
        <v>1.5172202360689026E-2</v>
      </c>
      <c r="N6" s="7">
        <f>$B6 * IFERROR(VLOOKUP("industry|PM25|Asthma symptoms cough", US_national_yearly!$D:$AM, 22, FALSE) / VLOOKUP("industry|PM25|Asthma symptoms cough", US_national_yearly!$D:$AM, 10, FALSE), 1)</f>
        <v>1.5172202360689026E-2</v>
      </c>
      <c r="O6" s="7">
        <f>$B6 * IFERROR(VLOOKUP("industry|PM25|Asthma symptoms cough", US_national_yearly!$D:$AM, 23, FALSE) / VLOOKUP("industry|PM25|Asthma symptoms cough", US_national_yearly!$D:$AM, 10, FALSE), 1)</f>
        <v>1.5172202360689026E-2</v>
      </c>
      <c r="P6" s="7">
        <f>$B6 * IFERROR(VLOOKUP("industry|PM25|Asthma symptoms cough", US_national_yearly!$D:$AM, 24, FALSE) / VLOOKUP("industry|PM25|Asthma symptoms cough", US_national_yearly!$D:$AM, 10, FALSE), 1)</f>
        <v>1.5172202360689026E-2</v>
      </c>
      <c r="Q6" s="7">
        <f>$B6 * IFERROR(VLOOKUP("industry|PM25|Asthma symptoms cough", US_national_yearly!$D:$AM, 25, FALSE) / VLOOKUP("industry|PM25|Asthma symptoms cough", US_national_yearly!$D:$AM, 10, FALSE), 1)</f>
        <v>1.5172202360689026E-2</v>
      </c>
      <c r="R6" s="7">
        <f>$B6 * IFERROR(VLOOKUP("industry|PM25|Asthma symptoms cough", US_national_yearly!$D:$AM, 26, FALSE) / VLOOKUP("industry|PM25|Asthma symptoms cough", US_national_yearly!$D:$AM, 10, FALSE), 1)</f>
        <v>1.5172202360689026E-2</v>
      </c>
      <c r="S6" s="7">
        <f>$B6 * IFERROR(VLOOKUP("industry|PM25|Asthma symptoms cough", US_national_yearly!$D:$AM, 27, FALSE) / VLOOKUP("industry|PM25|Asthma symptoms cough", US_national_yearly!$D:$AM, 10, FALSE), 1)</f>
        <v>1.5172202360689026E-2</v>
      </c>
      <c r="T6" s="7">
        <f>$B6 * IFERROR(VLOOKUP("industry|PM25|Asthma symptoms cough", US_national_yearly!$D:$AM, 28, FALSE) / VLOOKUP("industry|PM25|Asthma symptoms cough", US_national_yearly!$D:$AM, 10, FALSE), 1)</f>
        <v>1.5172202360689026E-2</v>
      </c>
      <c r="U6" s="7">
        <f>$B6 * IFERROR(VLOOKUP("industry|PM25|Asthma symptoms cough", US_national_yearly!$D:$AM, 29, FALSE) / VLOOKUP("industry|PM25|Asthma symptoms cough", US_national_yearly!$D:$AM, 10, FALSE), 1)</f>
        <v>1.5172202360689026E-2</v>
      </c>
      <c r="V6" s="7">
        <f>$B6 * IFERROR(VLOOKUP("industry|PM25|Asthma symptoms cough", US_national_yearly!$D:$AM, 30, FALSE) / VLOOKUP("industry|PM25|Asthma symptoms cough", US_national_yearly!$D:$AM, 10, FALSE), 1)</f>
        <v>1.5172202360689026E-2</v>
      </c>
      <c r="W6" s="7">
        <f>$B6 * IFERROR(VLOOKUP("industry|PM25|Asthma symptoms cough", US_national_yearly!$D:$AM, 31, FALSE) / VLOOKUP("industry|PM25|Asthma symptoms cough", US_national_yearly!$D:$AM, 10, FALSE), 1)</f>
        <v>1.5172202360689026E-2</v>
      </c>
      <c r="X6" s="7">
        <f>$B6 * IFERROR(VLOOKUP("industry|PM25|Asthma symptoms cough", US_national_yearly!$D:$AM, 32, FALSE) / VLOOKUP("industry|PM25|Asthma symptoms cough", US_national_yearly!$D:$AM, 10, FALSE), 1)</f>
        <v>1.5172202360689026E-2</v>
      </c>
      <c r="Y6" s="7">
        <f>$B6 * IFERROR(VLOOKUP("industry|PM25|Asthma symptoms cough", US_national_yearly!$D:$AM, 33, FALSE) / VLOOKUP("industry|PM25|Asthma symptoms cough", US_national_yearly!$D:$AM, 10, FALSE), 1)</f>
        <v>1.5172202360689026E-2</v>
      </c>
      <c r="Z6" s="7">
        <f>$B6 * IFERROR(VLOOKUP("industry|PM25|Asthma symptoms cough", US_national_yearly!$D:$AM, 34, FALSE) / VLOOKUP("industry|PM25|Asthma symptoms cough", US_national_yearly!$D:$AM, 10, FALSE), 1)</f>
        <v>1.5172202360689026E-2</v>
      </c>
      <c r="AA6" s="7">
        <f>$B6 * IFERROR(VLOOKUP("industry|PM25|Asthma symptoms cough", US_national_yearly!$D:$AM, 35, FALSE) / VLOOKUP("industry|PM25|Asthma symptoms cough", US_national_yearly!$D:$AM, 10, FALSE), 1)</f>
        <v>1.5172202360689026E-2</v>
      </c>
      <c r="AB6" s="7">
        <f>$B6 * IFERROR(VLOOKUP("industry|PM25|Asthma symptoms cough", US_national_yearly!$D:$AM, 36, FALSE) / VLOOKUP("industry|PM25|Asthma symptoms cough", US_national_yearly!$D:$AM, 10, FALSE), 1)</f>
        <v>1.5172202360689026E-2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2.0430828053804997E-2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2.0430828053804997E-2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2.0430828053804997E-2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2.0430828053804997E-2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2.0430828053804997E-2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2.0430828053804997E-2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2.0430828053804997E-2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2.0430828053804997E-2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2.0430828053804997E-2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2.0430828053804997E-2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2.0430828053804997E-2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2.0430828053804997E-2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2.0430828053804997E-2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2.0430828053804997E-2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2.0430828053804997E-2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2.0430828053804997E-2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2.0430828053804997E-2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2.0430828053804997E-2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2.0430828053804997E-2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2.0430828053804997E-2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2.0430828053804997E-2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2.0430828053804997E-2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2.0430828053804997E-2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2.0430828053804997E-2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2.0430828053804997E-2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2.0430828053804997E-2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2.0430828053804997E-2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3.1217495242909728E-2</v>
      </c>
      <c r="C8" s="7">
        <f>$B8 * IFERROR(VLOOKUP("industry|PM25|Asthma symptoms wheeze", US_national_yearly!$D:$AM, 11, FALSE) / VLOOKUP("industry|PM25|Asthma symptoms wheeze", US_national_yearly!$D:$AM, 10, FALSE), 1)</f>
        <v>3.1217495242909728E-2</v>
      </c>
      <c r="D8" s="7">
        <f>$B8 * IFERROR(VLOOKUP("industry|PM25|Asthma symptoms wheeze", US_national_yearly!$D:$AM, 12, FALSE) / VLOOKUP("industry|PM25|Asthma symptoms wheeze", US_national_yearly!$D:$AM, 10, FALSE), 1)</f>
        <v>3.1217495242909728E-2</v>
      </c>
      <c r="E8" s="7">
        <f>$B8 * IFERROR(VLOOKUP("industry|PM25|Asthma symptoms wheeze", US_national_yearly!$D:$AM, 13, FALSE) / VLOOKUP("industry|PM25|Asthma symptoms wheeze", US_national_yearly!$D:$AM, 10, FALSE), 1)</f>
        <v>3.1217495242909728E-2</v>
      </c>
      <c r="F8" s="7">
        <f>$B8 * IFERROR(VLOOKUP("industry|PM25|Asthma symptoms wheeze", US_national_yearly!$D:$AM, 14, FALSE) / VLOOKUP("industry|PM25|Asthma symptoms wheeze", US_national_yearly!$D:$AM, 10, FALSE), 1)</f>
        <v>3.1217495242909728E-2</v>
      </c>
      <c r="G8" s="7">
        <f>$B8 * IFERROR(VLOOKUP("industry|PM25|Asthma symptoms wheeze", US_national_yearly!$D:$AM, 15, FALSE) / VLOOKUP("industry|PM25|Asthma symptoms wheeze", US_national_yearly!$D:$AM, 10, FALSE), 1)</f>
        <v>3.1217495242909728E-2</v>
      </c>
      <c r="H8" s="7">
        <f>$B8 * IFERROR(VLOOKUP("industry|PM25|Asthma symptoms wheeze", US_national_yearly!$D:$AM, 16, FALSE) / VLOOKUP("industry|PM25|Asthma symptoms wheeze", US_national_yearly!$D:$AM, 10, FALSE), 1)</f>
        <v>3.1217495242909728E-2</v>
      </c>
      <c r="I8" s="7">
        <f>$B8 * IFERROR(VLOOKUP("industry|PM25|Asthma symptoms wheeze", US_national_yearly!$D:$AM, 17, FALSE) / VLOOKUP("industry|PM25|Asthma symptoms wheeze", US_national_yearly!$D:$AM, 10, FALSE), 1)</f>
        <v>3.1217495242909728E-2</v>
      </c>
      <c r="J8" s="7">
        <f>$B8 * IFERROR(VLOOKUP("industry|PM25|Asthma symptoms wheeze", US_national_yearly!$D:$AM, 18, FALSE) / VLOOKUP("industry|PM25|Asthma symptoms wheeze", US_national_yearly!$D:$AM, 10, FALSE), 1)</f>
        <v>3.1217495242909728E-2</v>
      </c>
      <c r="K8" s="7">
        <f>$B8 * IFERROR(VLOOKUP("industry|PM25|Asthma symptoms wheeze", US_national_yearly!$D:$AM, 19, FALSE) / VLOOKUP("industry|PM25|Asthma symptoms wheeze", US_national_yearly!$D:$AM, 10, FALSE), 1)</f>
        <v>3.1217495242909728E-2</v>
      </c>
      <c r="L8" s="7">
        <f>$B8 * IFERROR(VLOOKUP("industry|PM25|Asthma symptoms wheeze", US_national_yearly!$D:$AM, 20, FALSE) / VLOOKUP("industry|PM25|Asthma symptoms wheeze", US_national_yearly!$D:$AM, 10, FALSE), 1)</f>
        <v>3.1217495242909728E-2</v>
      </c>
      <c r="M8" s="7">
        <f>$B8 * IFERROR(VLOOKUP("industry|PM25|Asthma symptoms wheeze", US_national_yearly!$D:$AM, 21, FALSE) / VLOOKUP("industry|PM25|Asthma symptoms wheeze", US_national_yearly!$D:$AM, 10, FALSE), 1)</f>
        <v>3.1217495242909728E-2</v>
      </c>
      <c r="N8" s="7">
        <f>$B8 * IFERROR(VLOOKUP("industry|PM25|Asthma symptoms wheeze", US_national_yearly!$D:$AM, 22, FALSE) / VLOOKUP("industry|PM25|Asthma symptoms wheeze", US_national_yearly!$D:$AM, 10, FALSE), 1)</f>
        <v>3.1217495242909728E-2</v>
      </c>
      <c r="O8" s="7">
        <f>$B8 * IFERROR(VLOOKUP("industry|PM25|Asthma symptoms wheeze", US_national_yearly!$D:$AM, 23, FALSE) / VLOOKUP("industry|PM25|Asthma symptoms wheeze", US_national_yearly!$D:$AM, 10, FALSE), 1)</f>
        <v>3.1217495242909728E-2</v>
      </c>
      <c r="P8" s="7">
        <f>$B8 * IFERROR(VLOOKUP("industry|PM25|Asthma symptoms wheeze", US_national_yearly!$D:$AM, 24, FALSE) / VLOOKUP("industry|PM25|Asthma symptoms wheeze", US_national_yearly!$D:$AM, 10, FALSE), 1)</f>
        <v>3.1217495242909728E-2</v>
      </c>
      <c r="Q8" s="7">
        <f>$B8 * IFERROR(VLOOKUP("industry|PM25|Asthma symptoms wheeze", US_national_yearly!$D:$AM, 25, FALSE) / VLOOKUP("industry|PM25|Asthma symptoms wheeze", US_national_yearly!$D:$AM, 10, FALSE), 1)</f>
        <v>3.1217495242909728E-2</v>
      </c>
      <c r="R8" s="7">
        <f>$B8 * IFERROR(VLOOKUP("industry|PM25|Asthma symptoms wheeze", US_national_yearly!$D:$AM, 26, FALSE) / VLOOKUP("industry|PM25|Asthma symptoms wheeze", US_national_yearly!$D:$AM, 10, FALSE), 1)</f>
        <v>3.1217495242909728E-2</v>
      </c>
      <c r="S8" s="7">
        <f>$B8 * IFERROR(VLOOKUP("industry|PM25|Asthma symptoms wheeze", US_national_yearly!$D:$AM, 27, FALSE) / VLOOKUP("industry|PM25|Asthma symptoms wheeze", US_national_yearly!$D:$AM, 10, FALSE), 1)</f>
        <v>3.1217495242909728E-2</v>
      </c>
      <c r="T8" s="7">
        <f>$B8 * IFERROR(VLOOKUP("industry|PM25|Asthma symptoms wheeze", US_national_yearly!$D:$AM, 28, FALSE) / VLOOKUP("industry|PM25|Asthma symptoms wheeze", US_national_yearly!$D:$AM, 10, FALSE), 1)</f>
        <v>3.1217495242909728E-2</v>
      </c>
      <c r="U8" s="7">
        <f>$B8 * IFERROR(VLOOKUP("industry|PM25|Asthma symptoms wheeze", US_national_yearly!$D:$AM, 29, FALSE) / VLOOKUP("industry|PM25|Asthma symptoms wheeze", US_national_yearly!$D:$AM, 10, FALSE), 1)</f>
        <v>3.1217495242909728E-2</v>
      </c>
      <c r="V8" s="7">
        <f>$B8 * IFERROR(VLOOKUP("industry|PM25|Asthma symptoms wheeze", US_national_yearly!$D:$AM, 30, FALSE) / VLOOKUP("industry|PM25|Asthma symptoms wheeze", US_national_yearly!$D:$AM, 10, FALSE), 1)</f>
        <v>3.1217495242909728E-2</v>
      </c>
      <c r="W8" s="7">
        <f>$B8 * IFERROR(VLOOKUP("industry|PM25|Asthma symptoms wheeze", US_national_yearly!$D:$AM, 31, FALSE) / VLOOKUP("industry|PM25|Asthma symptoms wheeze", US_national_yearly!$D:$AM, 10, FALSE), 1)</f>
        <v>3.1217495242909728E-2</v>
      </c>
      <c r="X8" s="7">
        <f>$B8 * IFERROR(VLOOKUP("industry|PM25|Asthma symptoms wheeze", US_national_yearly!$D:$AM, 32, FALSE) / VLOOKUP("industry|PM25|Asthma symptoms wheeze", US_national_yearly!$D:$AM, 10, FALSE), 1)</f>
        <v>3.1217495242909728E-2</v>
      </c>
      <c r="Y8" s="7">
        <f>$B8 * IFERROR(VLOOKUP("industry|PM25|Asthma symptoms wheeze", US_national_yearly!$D:$AM, 33, FALSE) / VLOOKUP("industry|PM25|Asthma symptoms wheeze", US_national_yearly!$D:$AM, 10, FALSE), 1)</f>
        <v>3.1217495242909728E-2</v>
      </c>
      <c r="Z8" s="7">
        <f>$B8 * IFERROR(VLOOKUP("industry|PM25|Asthma symptoms wheeze", US_national_yearly!$D:$AM, 34, FALSE) / VLOOKUP("industry|PM25|Asthma symptoms wheeze", US_national_yearly!$D:$AM, 10, FALSE), 1)</f>
        <v>3.1217495242909728E-2</v>
      </c>
      <c r="AA8" s="7">
        <f>$B8 * IFERROR(VLOOKUP("industry|PM25|Asthma symptoms wheeze", US_national_yearly!$D:$AM, 35, FALSE) / VLOOKUP("industry|PM25|Asthma symptoms wheeze", US_national_yearly!$D:$AM, 10, FALSE), 1)</f>
        <v>3.1217495242909728E-2</v>
      </c>
      <c r="AB8" s="7">
        <f>$B8 * IFERROR(VLOOKUP("industry|PM25|Asthma symptoms wheeze", US_national_yearly!$D:$AM, 36, FALSE) / VLOOKUP("industry|PM25|Asthma symptoms wheeze", US_national_yearly!$D:$AM, 10, FALSE), 1)</f>
        <v>3.1217495242909728E-2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7.5941700590680431E-4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7.6372864430124721E-4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7.680402826956901E-4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7.7235192109013299E-4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7.766635594845761E-4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7.8132525385780926E-4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7.8598694823104264E-4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7.904091518152746E-4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7.9483135539950645E-4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7.9925355898373819E-4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8.0367576256797004E-4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8.08097966152202E-4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8.1122566687088019E-4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8.1435336758955816E-4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8.1748106830823635E-4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8.2060876902691443E-4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8.2373646974559262E-4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8.2668644449273296E-4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8.2963641923987331E-4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8.3258639398701387E-4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8.3553636873415433E-4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8.3848634348129478E-4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8.4132674027704419E-4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8.441671370727936E-4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8.4700753386854322E-4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8.4984793066429285E-4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8.5268832746004226E-4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2.9200274488574113E-3</v>
      </c>
      <c r="C13" s="7">
        <f>$B13 * IFERROR(VLOOKUP("industry|PM25|Non-fatal heart attacks", US_national_yearly!$D:$AM, 11, FALSE) / VLOOKUP("industry|PM25|Non-fatal heart attacks", US_national_yearly!$D:$AM, 10, FALSE), 1)</f>
        <v>3.0050302135421116E-3</v>
      </c>
      <c r="D13" s="7">
        <f>$B13 * IFERROR(VLOOKUP("industry|PM25|Non-fatal heart attacks", US_national_yearly!$D:$AM, 12, FALSE) / VLOOKUP("industry|PM25|Non-fatal heart attacks", US_national_yearly!$D:$AM, 10, FALSE), 1)</f>
        <v>3.0900329782268116E-3</v>
      </c>
      <c r="E13" s="7">
        <f>$B13 * IFERROR(VLOOKUP("industry|PM25|Non-fatal heart attacks", US_national_yearly!$D:$AM, 13, FALSE) / VLOOKUP("industry|PM25|Non-fatal heart attacks", US_national_yearly!$D:$AM, 10, FALSE), 1)</f>
        <v>3.1750357429115119E-3</v>
      </c>
      <c r="F13" s="7">
        <f>$B13 * IFERROR(VLOOKUP("industry|PM25|Non-fatal heart attacks", US_national_yearly!$D:$AM, 14, FALSE) / VLOOKUP("industry|PM25|Non-fatal heart attacks", US_national_yearly!$D:$AM, 10, FALSE), 1)</f>
        <v>3.2600385075962123E-3</v>
      </c>
      <c r="G13" s="7">
        <f>$B13 * IFERROR(VLOOKUP("industry|PM25|Non-fatal heart attacks", US_national_yearly!$D:$AM, 15, FALSE) / VLOOKUP("industry|PM25|Non-fatal heart attacks", US_national_yearly!$D:$AM, 10, FALSE), 1)</f>
        <v>3.340287094277368E-3</v>
      </c>
      <c r="H13" s="7">
        <f>$B13 * IFERROR(VLOOKUP("industry|PM25|Non-fatal heart attacks", US_national_yearly!$D:$AM, 16, FALSE) / VLOOKUP("industry|PM25|Non-fatal heart attacks", US_national_yearly!$D:$AM, 10, FALSE), 1)</f>
        <v>3.4205356809585245E-3</v>
      </c>
      <c r="I13" s="7">
        <f>$B13 * IFERROR(VLOOKUP("industry|PM25|Non-fatal heart attacks", US_national_yearly!$D:$AM, 17, FALSE) / VLOOKUP("industry|PM25|Non-fatal heart attacks", US_national_yearly!$D:$AM, 10, FALSE), 1)</f>
        <v>3.4853371558179027E-3</v>
      </c>
      <c r="J13" s="7">
        <f>$B13 * IFERROR(VLOOKUP("industry|PM25|Non-fatal heart attacks", US_national_yearly!$D:$AM, 18, FALSE) / VLOOKUP("industry|PM25|Non-fatal heart attacks", US_national_yearly!$D:$AM, 10, FALSE), 1)</f>
        <v>3.5501386306772804E-3</v>
      </c>
      <c r="K13" s="7">
        <f>$B13 * IFERROR(VLOOKUP("industry|PM25|Non-fatal heart attacks", US_national_yearly!$D:$AM, 19, FALSE) / VLOOKUP("industry|PM25|Non-fatal heart attacks", US_national_yearly!$D:$AM, 10, FALSE), 1)</f>
        <v>3.6149401055366576E-3</v>
      </c>
      <c r="L13" s="7">
        <f>$B13 * IFERROR(VLOOKUP("industry|PM25|Non-fatal heart attacks", US_national_yearly!$D:$AM, 20, FALSE) / VLOOKUP("industry|PM25|Non-fatal heart attacks", US_national_yearly!$D:$AM, 10, FALSE), 1)</f>
        <v>3.6797415803960353E-3</v>
      </c>
      <c r="M13" s="7">
        <f>$B13 * IFERROR(VLOOKUP("industry|PM25|Non-fatal heart attacks", US_national_yearly!$D:$AM, 21, FALSE) / VLOOKUP("industry|PM25|Non-fatal heart attacks", US_national_yearly!$D:$AM, 10, FALSE), 1)</f>
        <v>3.7445430552554126E-3</v>
      </c>
      <c r="N13" s="7">
        <f>$B13 * IFERROR(VLOOKUP("industry|PM25|Non-fatal heart attacks", US_national_yearly!$D:$AM, 22, FALSE) / VLOOKUP("industry|PM25|Non-fatal heart attacks", US_national_yearly!$D:$AM, 10, FALSE), 1)</f>
        <v>3.7864408176061441E-3</v>
      </c>
      <c r="O13" s="7">
        <f>$B13 * IFERROR(VLOOKUP("industry|PM25|Non-fatal heart attacks", US_national_yearly!$D:$AM, 23, FALSE) / VLOOKUP("industry|PM25|Non-fatal heart attacks", US_national_yearly!$D:$AM, 10, FALSE), 1)</f>
        <v>3.8283385799568752E-3</v>
      </c>
      <c r="P13" s="7">
        <f>$B13 * IFERROR(VLOOKUP("industry|PM25|Non-fatal heart attacks", US_national_yearly!$D:$AM, 24, FALSE) / VLOOKUP("industry|PM25|Non-fatal heart attacks", US_national_yearly!$D:$AM, 10, FALSE), 1)</f>
        <v>3.8702363423076067E-3</v>
      </c>
      <c r="Q13" s="7">
        <f>$B13 * IFERROR(VLOOKUP("industry|PM25|Non-fatal heart attacks", US_national_yearly!$D:$AM, 25, FALSE) / VLOOKUP("industry|PM25|Non-fatal heart attacks", US_national_yearly!$D:$AM, 10, FALSE), 1)</f>
        <v>3.912134104658337E-3</v>
      </c>
      <c r="R13" s="7">
        <f>$B13 * IFERROR(VLOOKUP("industry|PM25|Non-fatal heart attacks", US_national_yearly!$D:$AM, 26, FALSE) / VLOOKUP("industry|PM25|Non-fatal heart attacks", US_national_yearly!$D:$AM, 10, FALSE), 1)</f>
        <v>3.9540318670090689E-3</v>
      </c>
      <c r="S13" s="7">
        <f>$B13 * IFERROR(VLOOKUP("industry|PM25|Non-fatal heart attacks", US_national_yearly!$D:$AM, 27, FALSE) / VLOOKUP("industry|PM25|Non-fatal heart attacks", US_national_yearly!$D:$AM, 10, FALSE), 1)</f>
        <v>3.976409620658419E-3</v>
      </c>
      <c r="T13" s="7">
        <f>$B13 * IFERROR(VLOOKUP("industry|PM25|Non-fatal heart attacks", US_national_yearly!$D:$AM, 28, FALSE) / VLOOKUP("industry|PM25|Non-fatal heart attacks", US_national_yearly!$D:$AM, 10, FALSE), 1)</f>
        <v>3.9987873743077698E-3</v>
      </c>
      <c r="U13" s="7">
        <f>$B13 * IFERROR(VLOOKUP("industry|PM25|Non-fatal heart attacks", US_national_yearly!$D:$AM, 29, FALSE) / VLOOKUP("industry|PM25|Non-fatal heart attacks", US_national_yearly!$D:$AM, 10, FALSE), 1)</f>
        <v>4.0211651279571207E-3</v>
      </c>
      <c r="V13" s="7">
        <f>$B13 * IFERROR(VLOOKUP("industry|PM25|Non-fatal heart attacks", US_national_yearly!$D:$AM, 30, FALSE) / VLOOKUP("industry|PM25|Non-fatal heart attacks", US_national_yearly!$D:$AM, 10, FALSE), 1)</f>
        <v>4.0435428816064708E-3</v>
      </c>
      <c r="W13" s="7">
        <f>$B13 * IFERROR(VLOOKUP("industry|PM25|Non-fatal heart attacks", US_national_yearly!$D:$AM, 31, FALSE) / VLOOKUP("industry|PM25|Non-fatal heart attacks", US_national_yearly!$D:$AM, 10, FALSE), 1)</f>
        <v>4.0659206352558217E-3</v>
      </c>
      <c r="X13" s="7">
        <f>$B13 * IFERROR(VLOOKUP("industry|PM25|Non-fatal heart attacks", US_national_yearly!$D:$AM, 32, FALSE) / VLOOKUP("industry|PM25|Non-fatal heart attacks", US_national_yearly!$D:$AM, 10, FALSE), 1)</f>
        <v>4.0831916411145225E-3</v>
      </c>
      <c r="Y13" s="7">
        <f>$B13 * IFERROR(VLOOKUP("industry|PM25|Non-fatal heart attacks", US_national_yearly!$D:$AM, 33, FALSE) / VLOOKUP("industry|PM25|Non-fatal heart attacks", US_national_yearly!$D:$AM, 10, FALSE), 1)</f>
        <v>4.1004626469732224E-3</v>
      </c>
      <c r="Z13" s="7">
        <f>$B13 * IFERROR(VLOOKUP("industry|PM25|Non-fatal heart attacks", US_national_yearly!$D:$AM, 34, FALSE) / VLOOKUP("industry|PM25|Non-fatal heart attacks", US_national_yearly!$D:$AM, 10, FALSE), 1)</f>
        <v>4.1177336528319224E-3</v>
      </c>
      <c r="AA13" s="7">
        <f>$B13 * IFERROR(VLOOKUP("industry|PM25|Non-fatal heart attacks", US_national_yearly!$D:$AM, 35, FALSE) / VLOOKUP("industry|PM25|Non-fatal heart attacks", US_national_yearly!$D:$AM, 10, FALSE), 1)</f>
        <v>4.1350046586906232E-3</v>
      </c>
      <c r="AB13" s="7">
        <f>$B13 * IFERROR(VLOOKUP("industry|PM25|Non-fatal heart attacks", US_national_yearly!$D:$AM, 36, FALSE) / VLOOKUP("industry|PM25|Non-fatal heart attacks", US_national_yearly!$D:$AM, 10, FALSE), 1)</f>
        <v>4.1522756645493231E-3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1.9774340577534724</v>
      </c>
      <c r="C14" s="7">
        <f>$B14 * IFERROR(VLOOKUP("industry|PM25|Minor restricted activity days", US_national_yearly!$D:$AM, 11, FALSE) / VLOOKUP("industry|PM25|Minor restricted activity days", US_national_yearly!$D:$AM, 10, FALSE), 1)</f>
        <v>1.9822771215320407</v>
      </c>
      <c r="D14" s="7">
        <f>$B14 * IFERROR(VLOOKUP("industry|PM25|Minor restricted activity days", US_national_yearly!$D:$AM, 12, FALSE) / VLOOKUP("industry|PM25|Minor restricted activity days", US_national_yearly!$D:$AM, 10, FALSE), 1)</f>
        <v>1.9871201853106097</v>
      </c>
      <c r="E14" s="7">
        <f>$B14 * IFERROR(VLOOKUP("industry|PM25|Minor restricted activity days", US_national_yearly!$D:$AM, 13, FALSE) / VLOOKUP("industry|PM25|Minor restricted activity days", US_national_yearly!$D:$AM, 10, FALSE), 1)</f>
        <v>1.9919632490891781</v>
      </c>
      <c r="F14" s="7">
        <f>$B14 * IFERROR(VLOOKUP("industry|PM25|Minor restricted activity days", US_national_yearly!$D:$AM, 14, FALSE) / VLOOKUP("industry|PM25|Minor restricted activity days", US_national_yearly!$D:$AM, 10, FALSE), 1)</f>
        <v>1.9968063128677465</v>
      </c>
      <c r="G14" s="7">
        <f>$B14 * IFERROR(VLOOKUP("industry|PM25|Minor restricted activity days", US_national_yearly!$D:$AM, 15, FALSE) / VLOOKUP("industry|PM25|Minor restricted activity days", US_national_yearly!$D:$AM, 10, FALSE), 1)</f>
        <v>2.0039151433579763</v>
      </c>
      <c r="H14" s="7">
        <f>$B14 * IFERROR(VLOOKUP("industry|PM25|Minor restricted activity days", US_national_yearly!$D:$AM, 16, FALSE) / VLOOKUP("industry|PM25|Minor restricted activity days", US_national_yearly!$D:$AM, 10, FALSE), 1)</f>
        <v>2.011023973848205</v>
      </c>
      <c r="I14" s="7">
        <f>$B14 * IFERROR(VLOOKUP("industry|PM25|Minor restricted activity days", US_national_yearly!$D:$AM, 17, FALSE) / VLOOKUP("industry|PM25|Minor restricted activity days", US_national_yearly!$D:$AM, 10, FALSE), 1)</f>
        <v>2.0231000489759179</v>
      </c>
      <c r="J14" s="7">
        <f>$B14 * IFERROR(VLOOKUP("industry|PM25|Minor restricted activity days", US_national_yearly!$D:$AM, 18, FALSE) / VLOOKUP("industry|PM25|Minor restricted activity days", US_national_yearly!$D:$AM, 10, FALSE), 1)</f>
        <v>2.0351761241036308</v>
      </c>
      <c r="K14" s="7">
        <f>$B14 * IFERROR(VLOOKUP("industry|PM25|Minor restricted activity days", US_national_yearly!$D:$AM, 19, FALSE) / VLOOKUP("industry|PM25|Minor restricted activity days", US_national_yearly!$D:$AM, 10, FALSE), 1)</f>
        <v>2.0472521992313428</v>
      </c>
      <c r="L14" s="7">
        <f>$B14 * IFERROR(VLOOKUP("industry|PM25|Minor restricted activity days", US_national_yearly!$D:$AM, 20, FALSE) / VLOOKUP("industry|PM25|Minor restricted activity days", US_national_yearly!$D:$AM, 10, FALSE), 1)</f>
        <v>2.0593282743590553</v>
      </c>
      <c r="M14" s="7">
        <f>$B14 * IFERROR(VLOOKUP("industry|PM25|Minor restricted activity days", US_national_yearly!$D:$AM, 21, FALSE) / VLOOKUP("industry|PM25|Minor restricted activity days", US_national_yearly!$D:$AM, 10, FALSE), 1)</f>
        <v>2.0714043494867678</v>
      </c>
      <c r="N14" s="7">
        <f>$B14 * IFERROR(VLOOKUP("industry|PM25|Minor restricted activity days", US_national_yearly!$D:$AM, 22, FALSE) / VLOOKUP("industry|PM25|Minor restricted activity days", US_national_yearly!$D:$AM, 10, FALSE), 1)</f>
        <v>2.087901460514114</v>
      </c>
      <c r="O14" s="7">
        <f>$B14 * IFERROR(VLOOKUP("industry|PM25|Minor restricted activity days", US_national_yearly!$D:$AM, 23, FALSE) / VLOOKUP("industry|PM25|Minor restricted activity days", US_national_yearly!$D:$AM, 10, FALSE), 1)</f>
        <v>2.1043985715414619</v>
      </c>
      <c r="P14" s="7">
        <f>$B14 * IFERROR(VLOOKUP("industry|PM25|Minor restricted activity days", US_national_yearly!$D:$AM, 24, FALSE) / VLOOKUP("industry|PM25|Minor restricted activity days", US_national_yearly!$D:$AM, 10, FALSE), 1)</f>
        <v>2.1208956825688081</v>
      </c>
      <c r="Q14" s="7">
        <f>$B14 * IFERROR(VLOOKUP("industry|PM25|Minor restricted activity days", US_national_yearly!$D:$AM, 25, FALSE) / VLOOKUP("industry|PM25|Minor restricted activity days", US_national_yearly!$D:$AM, 10, FALSE), 1)</f>
        <v>2.1373927935961565</v>
      </c>
      <c r="R14" s="7">
        <f>$B14 * IFERROR(VLOOKUP("industry|PM25|Minor restricted activity days", US_national_yearly!$D:$AM, 26, FALSE) / VLOOKUP("industry|PM25|Minor restricted activity days", US_national_yearly!$D:$AM, 10, FALSE), 1)</f>
        <v>2.1538899046235027</v>
      </c>
      <c r="S14" s="7">
        <f>$B14 * IFERROR(VLOOKUP("industry|PM25|Minor restricted activity days", US_national_yearly!$D:$AM, 27, FALSE) / VLOOKUP("industry|PM25|Minor restricted activity days", US_national_yearly!$D:$AM, 10, FALSE), 1)</f>
        <v>2.1705453943686828</v>
      </c>
      <c r="T14" s="7">
        <f>$B14 * IFERROR(VLOOKUP("industry|PM25|Minor restricted activity days", US_national_yearly!$D:$AM, 28, FALSE) / VLOOKUP("industry|PM25|Minor restricted activity days", US_national_yearly!$D:$AM, 10, FALSE), 1)</f>
        <v>2.1872008841138633</v>
      </c>
      <c r="U14" s="7">
        <f>$B14 * IFERROR(VLOOKUP("industry|PM25|Minor restricted activity days", US_national_yearly!$D:$AM, 29, FALSE) / VLOOKUP("industry|PM25|Minor restricted activity days", US_national_yearly!$D:$AM, 10, FALSE), 1)</f>
        <v>2.2038563738590429</v>
      </c>
      <c r="V14" s="7">
        <f>$B14 * IFERROR(VLOOKUP("industry|PM25|Minor restricted activity days", US_national_yearly!$D:$AM, 30, FALSE) / VLOOKUP("industry|PM25|Minor restricted activity days", US_national_yearly!$D:$AM, 10, FALSE), 1)</f>
        <v>2.2205118636042229</v>
      </c>
      <c r="W14" s="7">
        <f>$B14 * IFERROR(VLOOKUP("industry|PM25|Minor restricted activity days", US_national_yearly!$D:$AM, 31, FALSE) / VLOOKUP("industry|PM25|Minor restricted activity days", US_national_yearly!$D:$AM, 10, FALSE), 1)</f>
        <v>2.237167353349403</v>
      </c>
      <c r="X14" s="7">
        <f>$B14 * IFERROR(VLOOKUP("industry|PM25|Minor restricted activity days", US_national_yearly!$D:$AM, 32, FALSE) / VLOOKUP("industry|PM25|Minor restricted activity days", US_national_yearly!$D:$AM, 10, FALSE), 1)</f>
        <v>2.2516403639643094</v>
      </c>
      <c r="Y14" s="7">
        <f>$B14 * IFERROR(VLOOKUP("industry|PM25|Minor restricted activity days", US_national_yearly!$D:$AM, 33, FALSE) / VLOOKUP("industry|PM25|Minor restricted activity days", US_national_yearly!$D:$AM, 10, FALSE), 1)</f>
        <v>2.2661133745792164</v>
      </c>
      <c r="Z14" s="7">
        <f>$B14 * IFERROR(VLOOKUP("industry|PM25|Minor restricted activity days", US_national_yearly!$D:$AM, 34, FALSE) / VLOOKUP("industry|PM25|Minor restricted activity days", US_national_yearly!$D:$AM, 10, FALSE), 1)</f>
        <v>2.2805863851941233</v>
      </c>
      <c r="AA14" s="7">
        <f>$B14 * IFERROR(VLOOKUP("industry|PM25|Minor restricted activity days", US_national_yearly!$D:$AM, 35, FALSE) / VLOOKUP("industry|PM25|Minor restricted activity days", US_national_yearly!$D:$AM, 10, FALSE), 1)</f>
        <v>2.2950593958090302</v>
      </c>
      <c r="AB14" s="7">
        <f>$B14 * IFERROR(VLOOKUP("industry|PM25|Minor restricted activity days", US_national_yearly!$D:$AM, 36, FALSE) / VLOOKUP("industry|PM25|Minor restricted activity days", US_national_yearly!$D:$AM, 10, FALSE), 1)</f>
        <v>2.3095324064239366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0.33110972332325933</v>
      </c>
      <c r="C15" s="7">
        <f>$B15 * IFERROR(VLOOKUP("industry|PM25|Work loss days", US_national_yearly!$D:$AM, 11, FALSE) / VLOOKUP("industry|PM25|Work loss days", US_national_yearly!$D:$AM, 10, FALSE), 1)</f>
        <v>0.33213629640595499</v>
      </c>
      <c r="D15" s="7">
        <f>$B15 * IFERROR(VLOOKUP("industry|PM25|Work loss days", US_national_yearly!$D:$AM, 12, FALSE) / VLOOKUP("industry|PM25|Work loss days", US_national_yearly!$D:$AM, 10, FALSE), 1)</f>
        <v>0.3331628694886507</v>
      </c>
      <c r="E15" s="7">
        <f>$B15 * IFERROR(VLOOKUP("industry|PM25|Work loss days", US_national_yearly!$D:$AM, 13, FALSE) / VLOOKUP("industry|PM25|Work loss days", US_national_yearly!$D:$AM, 10, FALSE), 1)</f>
        <v>0.33418944257134631</v>
      </c>
      <c r="F15" s="7">
        <f>$B15 * IFERROR(VLOOKUP("industry|PM25|Work loss days", US_national_yearly!$D:$AM, 14, FALSE) / VLOOKUP("industry|PM25|Work loss days", US_national_yearly!$D:$AM, 10, FALSE), 1)</f>
        <v>0.33521601565404197</v>
      </c>
      <c r="G15" s="7">
        <f>$B15 * IFERROR(VLOOKUP("industry|PM25|Work loss days", US_national_yearly!$D:$AM, 15, FALSE) / VLOOKUP("industry|PM25|Work loss days", US_national_yearly!$D:$AM, 10, FALSE), 1)</f>
        <v>0.33655625176184117</v>
      </c>
      <c r="H15" s="7">
        <f>$B15 * IFERROR(VLOOKUP("industry|PM25|Work loss days", US_national_yearly!$D:$AM, 16, FALSE) / VLOOKUP("industry|PM25|Work loss days", US_national_yearly!$D:$AM, 10, FALSE), 1)</f>
        <v>0.33789648786964044</v>
      </c>
      <c r="I15" s="7">
        <f>$B15 * IFERROR(VLOOKUP("industry|PM25|Work loss days", US_national_yearly!$D:$AM, 17, FALSE) / VLOOKUP("industry|PM25|Work loss days", US_national_yearly!$D:$AM, 10, FALSE), 1)</f>
        <v>0.3398590200801182</v>
      </c>
      <c r="J15" s="7">
        <f>$B15 * IFERROR(VLOOKUP("industry|PM25|Work loss days", US_national_yearly!$D:$AM, 18, FALSE) / VLOOKUP("industry|PM25|Work loss days", US_national_yearly!$D:$AM, 10, FALSE), 1)</f>
        <v>0.34182155229059591</v>
      </c>
      <c r="K15" s="7">
        <f>$B15 * IFERROR(VLOOKUP("industry|PM25|Work loss days", US_national_yearly!$D:$AM, 19, FALSE) / VLOOKUP("industry|PM25|Work loss days", US_national_yearly!$D:$AM, 10, FALSE), 1)</f>
        <v>0.34378408450107362</v>
      </c>
      <c r="L15" s="7">
        <f>$B15 * IFERROR(VLOOKUP("industry|PM25|Work loss days", US_national_yearly!$D:$AM, 20, FALSE) / VLOOKUP("industry|PM25|Work loss days", US_national_yearly!$D:$AM, 10, FALSE), 1)</f>
        <v>0.34574661671155138</v>
      </c>
      <c r="M15" s="7">
        <f>$B15 * IFERROR(VLOOKUP("industry|PM25|Work loss days", US_national_yearly!$D:$AM, 21, FALSE) / VLOOKUP("industry|PM25|Work loss days", US_national_yearly!$D:$AM, 10, FALSE), 1)</f>
        <v>0.34770914892202909</v>
      </c>
      <c r="N15" s="7">
        <f>$B15 * IFERROR(VLOOKUP("industry|PM25|Work loss days", US_national_yearly!$D:$AM, 22, FALSE) / VLOOKUP("industry|PM25|Work loss days", US_national_yearly!$D:$AM, 10, FALSE), 1)</f>
        <v>0.35018560697382267</v>
      </c>
      <c r="O15" s="7">
        <f>$B15 * IFERROR(VLOOKUP("industry|PM25|Work loss days", US_national_yearly!$D:$AM, 23, FALSE) / VLOOKUP("industry|PM25|Work loss days", US_national_yearly!$D:$AM, 10, FALSE), 1)</f>
        <v>0.3526620650256162</v>
      </c>
      <c r="P15" s="7">
        <f>$B15 * IFERROR(VLOOKUP("industry|PM25|Work loss days", US_national_yearly!$D:$AM, 24, FALSE) / VLOOKUP("industry|PM25|Work loss days", US_national_yearly!$D:$AM, 10, FALSE), 1)</f>
        <v>0.35513852307740967</v>
      </c>
      <c r="Q15" s="7">
        <f>$B15 * IFERROR(VLOOKUP("industry|PM25|Work loss days", US_national_yearly!$D:$AM, 25, FALSE) / VLOOKUP("industry|PM25|Work loss days", US_national_yearly!$D:$AM, 10, FALSE), 1)</f>
        <v>0.35761498112920326</v>
      </c>
      <c r="R15" s="7">
        <f>$B15 * IFERROR(VLOOKUP("industry|PM25|Work loss days", US_national_yearly!$D:$AM, 26, FALSE) / VLOOKUP("industry|PM25|Work loss days", US_national_yearly!$D:$AM, 10, FALSE), 1)</f>
        <v>0.36009143918099673</v>
      </c>
      <c r="S15" s="7">
        <f>$B15 * IFERROR(VLOOKUP("industry|PM25|Work loss days", US_national_yearly!$D:$AM, 27, FALSE) / VLOOKUP("industry|PM25|Work loss days", US_national_yearly!$D:$AM, 10, FALSE), 1)</f>
        <v>0.3628374800767532</v>
      </c>
      <c r="T15" s="7">
        <f>$B15 * IFERROR(VLOOKUP("industry|PM25|Work loss days", US_national_yearly!$D:$AM, 28, FALSE) / VLOOKUP("industry|PM25|Work loss days", US_national_yearly!$D:$AM, 10, FALSE), 1)</f>
        <v>0.36558352097250962</v>
      </c>
      <c r="U15" s="7">
        <f>$B15 * IFERROR(VLOOKUP("industry|PM25|Work loss days", US_national_yearly!$D:$AM, 29, FALSE) / VLOOKUP("industry|PM25|Work loss days", US_national_yearly!$D:$AM, 10, FALSE), 1)</f>
        <v>0.36832956186826604</v>
      </c>
      <c r="V15" s="7">
        <f>$B15 * IFERROR(VLOOKUP("industry|PM25|Work loss days", US_national_yearly!$D:$AM, 30, FALSE) / VLOOKUP("industry|PM25|Work loss days", US_national_yearly!$D:$AM, 10, FALSE), 1)</f>
        <v>0.37107560276402246</v>
      </c>
      <c r="W15" s="7">
        <f>$B15 * IFERROR(VLOOKUP("industry|PM25|Work loss days", US_national_yearly!$D:$AM, 31, FALSE) / VLOOKUP("industry|PM25|Work loss days", US_national_yearly!$D:$AM, 10, FALSE), 1)</f>
        <v>0.37382164365977899</v>
      </c>
      <c r="X15" s="7">
        <f>$B15 * IFERROR(VLOOKUP("industry|PM25|Work loss days", US_national_yearly!$D:$AM, 32, FALSE) / VLOOKUP("industry|PM25|Work loss days", US_national_yearly!$D:$AM, 10, FALSE), 1)</f>
        <v>0.37626186207268197</v>
      </c>
      <c r="Y15" s="7">
        <f>$B15 * IFERROR(VLOOKUP("industry|PM25|Work loss days", US_national_yearly!$D:$AM, 33, FALSE) / VLOOKUP("industry|PM25|Work loss days", US_national_yearly!$D:$AM, 10, FALSE), 1)</f>
        <v>0.37870208048558507</v>
      </c>
      <c r="Z15" s="7">
        <f>$B15 * IFERROR(VLOOKUP("industry|PM25|Work loss days", US_national_yearly!$D:$AM, 34, FALSE) / VLOOKUP("industry|PM25|Work loss days", US_national_yearly!$D:$AM, 10, FALSE), 1)</f>
        <v>0.38114229889848816</v>
      </c>
      <c r="AA15" s="7">
        <f>$B15 * IFERROR(VLOOKUP("industry|PM25|Work loss days", US_national_yearly!$D:$AM, 35, FALSE) / VLOOKUP("industry|PM25|Work loss days", US_national_yearly!$D:$AM, 10, FALSE), 1)</f>
        <v>0.3835825173113912</v>
      </c>
      <c r="AB15" s="7">
        <f>$B15 * IFERROR(VLOOKUP("industry|PM25|Work loss days", US_national_yearly!$D:$AM, 36, FALSE) / VLOOKUP("industry|PM25|Work loss days", US_national_yearly!$D:$AM, 10, FALSE), 1)</f>
        <v>0.38602273572429424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6.6806075248360304E-4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6.8804287789783758E-4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7.0802500331207212E-4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7.2800712872630666E-4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7.4798925414054109E-4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7.6714068106418403E-4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7.8629210798782676E-4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8.0273528632525772E-4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8.1917846466268858E-4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8.3562164300011977E-4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8.5206482133755074E-4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8.6850799967498171E-4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8.7949210479759839E-4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8.9047620992021475E-4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9.0146031504283132E-4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9.1244442016544789E-4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9.2342852528806436E-4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9.2931354244227607E-4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9.3519855959648768E-4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9.410835767506995E-4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9.46968593904911E-4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9.5285361105912261E-4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9.568948202999133E-4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9.6093602954070356E-4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9.6497723878149404E-4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9.690184480222844E-4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9.7305965726307488E-4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1.0745556757510803E-4</v>
      </c>
      <c r="C2" s="7">
        <f>$B2 * IFERROR(VLOOKUP("industry|NOx|Premature mortality", US_national_yearly!$D:$AM, 11, FALSE) / VLOOKUP("industry|NOx|Premature mortality", US_national_yearly!$D:$AM, 10, FALSE), 1)</f>
        <v>1.0904448484806746E-4</v>
      </c>
      <c r="D2" s="7">
        <f>$B2 * IFERROR(VLOOKUP("industry|NOx|Premature mortality", US_national_yearly!$D:$AM, 12, FALSE) / VLOOKUP("industry|NOx|Premature mortality", US_national_yearly!$D:$AM, 10, FALSE), 1)</f>
        <v>1.1063340212102693E-4</v>
      </c>
      <c r="E2" s="7">
        <f>$B2 * IFERROR(VLOOKUP("industry|NOx|Premature mortality", US_national_yearly!$D:$AM, 13, FALSE) / VLOOKUP("industry|NOx|Premature mortality", US_national_yearly!$D:$AM, 10, FALSE), 1)</f>
        <v>1.1222231939398637E-4</v>
      </c>
      <c r="F2" s="7">
        <f>$B2 * IFERROR(VLOOKUP("industry|NOx|Premature mortality", US_national_yearly!$D:$AM, 14, FALSE) / VLOOKUP("industry|NOx|Premature mortality", US_national_yearly!$D:$AM, 10, FALSE), 1)</f>
        <v>1.1381123666694583E-4</v>
      </c>
      <c r="G2" s="7">
        <f>$B2 * IFERROR(VLOOKUP("industry|NOx|Premature mortality", US_national_yearly!$D:$AM, 15, FALSE) / VLOOKUP("industry|NOx|Premature mortality", US_national_yearly!$D:$AM, 10, FALSE), 1)</f>
        <v>1.1666076035906039E-4</v>
      </c>
      <c r="H2" s="7">
        <f>$B2 * IFERROR(VLOOKUP("industry|NOx|Premature mortality", US_national_yearly!$D:$AM, 16, FALSE) / VLOOKUP("industry|NOx|Premature mortality", US_national_yearly!$D:$AM, 10, FALSE), 1)</f>
        <v>1.1951028405117497E-4</v>
      </c>
      <c r="I2" s="7">
        <f>$B2 * IFERROR(VLOOKUP("industry|NOx|Premature mortality", US_national_yearly!$D:$AM, 17, FALSE) / VLOOKUP("industry|NOx|Premature mortality", US_national_yearly!$D:$AM, 10, FALSE), 1)</f>
        <v>1.213588659523844E-4</v>
      </c>
      <c r="J2" s="7">
        <f>$B2 * IFERROR(VLOOKUP("industry|NOx|Premature mortality", US_national_yearly!$D:$AM, 18, FALSE) / VLOOKUP("industry|NOx|Premature mortality", US_national_yearly!$D:$AM, 10, FALSE), 1)</f>
        <v>1.2320744785359382E-4</v>
      </c>
      <c r="K2" s="7">
        <f>$B2 * IFERROR(VLOOKUP("industry|NOx|Premature mortality", US_national_yearly!$D:$AM, 19, FALSE) / VLOOKUP("industry|NOx|Premature mortality", US_national_yearly!$D:$AM, 10, FALSE), 1)</f>
        <v>1.2505602975480329E-4</v>
      </c>
      <c r="L2" s="7">
        <f>$B2 * IFERROR(VLOOKUP("industry|NOx|Premature mortality", US_national_yearly!$D:$AM, 20, FALSE) / VLOOKUP("industry|NOx|Premature mortality", US_national_yearly!$D:$AM, 10, FALSE), 1)</f>
        <v>1.2690461165601273E-4</v>
      </c>
      <c r="M2" s="7">
        <f>$B2 * IFERROR(VLOOKUP("industry|NOx|Premature mortality", US_national_yearly!$D:$AM, 21, FALSE) / VLOOKUP("industry|NOx|Premature mortality", US_national_yearly!$D:$AM, 10, FALSE), 1)</f>
        <v>1.2875319355722218E-4</v>
      </c>
      <c r="N2" s="7">
        <f>$B2 * IFERROR(VLOOKUP("industry|NOx|Premature mortality", US_national_yearly!$D:$AM, 22, FALSE) / VLOOKUP("industry|NOx|Premature mortality", US_national_yearly!$D:$AM, 10, FALSE), 1)</f>
        <v>1.3012877971400056E-4</v>
      </c>
      <c r="O2" s="7">
        <f>$B2 * IFERROR(VLOOKUP("industry|NOx|Premature mortality", US_national_yearly!$D:$AM, 23, FALSE) / VLOOKUP("industry|NOx|Premature mortality", US_national_yearly!$D:$AM, 10, FALSE), 1)</f>
        <v>1.3150436587077891E-4</v>
      </c>
      <c r="P2" s="7">
        <f>$B2 * IFERROR(VLOOKUP("industry|NOx|Premature mortality", US_national_yearly!$D:$AM, 24, FALSE) / VLOOKUP("industry|NOx|Premature mortality", US_national_yearly!$D:$AM, 10, FALSE), 1)</f>
        <v>1.3287995202755724E-4</v>
      </c>
      <c r="Q2" s="7">
        <f>$B2 * IFERROR(VLOOKUP("industry|NOx|Premature mortality", US_national_yearly!$D:$AM, 25, FALSE) / VLOOKUP("industry|NOx|Premature mortality", US_national_yearly!$D:$AM, 10, FALSE), 1)</f>
        <v>1.3425553818433559E-4</v>
      </c>
      <c r="R2" s="7">
        <f>$B2 * IFERROR(VLOOKUP("industry|NOx|Premature mortality", US_national_yearly!$D:$AM, 26, FALSE) / VLOOKUP("industry|NOx|Premature mortality", US_national_yearly!$D:$AM, 10, FALSE), 1)</f>
        <v>1.3563112434111395E-4</v>
      </c>
      <c r="S2" s="7">
        <f>$B2 * IFERROR(VLOOKUP("industry|NOx|Premature mortality", US_national_yearly!$D:$AM, 27, FALSE) / VLOOKUP("industry|NOx|Premature mortality", US_national_yearly!$D:$AM, 10, FALSE), 1)</f>
        <v>1.3627168030598533E-4</v>
      </c>
      <c r="T2" s="7">
        <f>$B2 * IFERROR(VLOOKUP("industry|NOx|Premature mortality", US_national_yearly!$D:$AM, 28, FALSE) / VLOOKUP("industry|NOx|Premature mortality", US_national_yearly!$D:$AM, 10, FALSE), 1)</f>
        <v>1.3691223627085671E-4</v>
      </c>
      <c r="U2" s="7">
        <f>$B2 * IFERROR(VLOOKUP("industry|NOx|Premature mortality", US_national_yearly!$D:$AM, 29, FALSE) / VLOOKUP("industry|NOx|Premature mortality", US_national_yearly!$D:$AM, 10, FALSE), 1)</f>
        <v>1.375527922357281E-4</v>
      </c>
      <c r="V2" s="7">
        <f>$B2 * IFERROR(VLOOKUP("industry|NOx|Premature mortality", US_national_yearly!$D:$AM, 30, FALSE) / VLOOKUP("industry|NOx|Premature mortality", US_national_yearly!$D:$AM, 10, FALSE), 1)</f>
        <v>1.3819334820059948E-4</v>
      </c>
      <c r="W2" s="7">
        <f>$B2 * IFERROR(VLOOKUP("industry|NOx|Premature mortality", US_national_yearly!$D:$AM, 31, FALSE) / VLOOKUP("industry|NOx|Premature mortality", US_national_yearly!$D:$AM, 10, FALSE), 1)</f>
        <v>1.3883390416547084E-4</v>
      </c>
      <c r="X2" s="7">
        <f>$B2 * IFERROR(VLOOKUP("industry|NOx|Premature mortality", US_national_yearly!$D:$AM, 32, FALSE) / VLOOKUP("industry|NOx|Premature mortality", US_national_yearly!$D:$AM, 10, FALSE), 1)</f>
        <v>1.3888285750091717E-4</v>
      </c>
      <c r="Y2" s="7">
        <f>$B2 * IFERROR(VLOOKUP("industry|NOx|Premature mortality", US_national_yearly!$D:$AM, 33, FALSE) / VLOOKUP("industry|NOx|Premature mortality", US_national_yearly!$D:$AM, 10, FALSE), 1)</f>
        <v>1.3893181083636353E-4</v>
      </c>
      <c r="Z2" s="7">
        <f>$B2 * IFERROR(VLOOKUP("industry|NOx|Premature mortality", US_national_yearly!$D:$AM, 34, FALSE) / VLOOKUP("industry|NOx|Premature mortality", US_national_yearly!$D:$AM, 10, FALSE), 1)</f>
        <v>1.3898076417180987E-4</v>
      </c>
      <c r="AA2" s="7">
        <f>$B2 * IFERROR(VLOOKUP("industry|NOx|Premature mortality", US_national_yearly!$D:$AM, 35, FALSE) / VLOOKUP("industry|NOx|Premature mortality", US_national_yearly!$D:$AM, 10, FALSE), 1)</f>
        <v>1.3902971750725623E-4</v>
      </c>
      <c r="AB2" s="7">
        <f>$B2 * IFERROR(VLOOKUP("industry|NOx|Premature mortality", US_national_yearly!$D:$AM, 36, FALSE) / VLOOKUP("industry|NOx|Premature mortality", US_national_yearly!$D:$AM, 10, FALSE), 1)</f>
        <v>1.3907867084270257E-4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1.81749624690459E-7</v>
      </c>
      <c r="C3" s="7">
        <f>$B3 * IFERROR(VLOOKUP("industry|NOx|Infant mortality", US_national_yearly!$D:$AM, 11, FALSE) / VLOOKUP("industry|NOx|Infant mortality", US_national_yearly!$D:$AM, 10, FALSE), 1)</f>
        <v>1.8000903899279198E-7</v>
      </c>
      <c r="D3" s="7">
        <f>$B3 * IFERROR(VLOOKUP("industry|NOx|Infant mortality", US_national_yearly!$D:$AM, 12, FALSE) / VLOOKUP("industry|NOx|Infant mortality", US_national_yearly!$D:$AM, 10, FALSE), 1)</f>
        <v>1.7826845329512493E-7</v>
      </c>
      <c r="E3" s="7">
        <f>$B3 * IFERROR(VLOOKUP("industry|NOx|Infant mortality", US_national_yearly!$D:$AM, 13, FALSE) / VLOOKUP("industry|NOx|Infant mortality", US_national_yearly!$D:$AM, 10, FALSE), 1)</f>
        <v>1.7652786759745794E-7</v>
      </c>
      <c r="F3" s="7">
        <f>$B3 * IFERROR(VLOOKUP("industry|NOx|Infant mortality", US_national_yearly!$D:$AM, 14, FALSE) / VLOOKUP("industry|NOx|Infant mortality", US_national_yearly!$D:$AM, 10, FALSE), 1)</f>
        <v>1.747872818997909E-7</v>
      </c>
      <c r="G3" s="7">
        <f>$B3 * IFERROR(VLOOKUP("industry|NOx|Infant mortality", US_national_yearly!$D:$AM, 15, FALSE) / VLOOKUP("industry|NOx|Infant mortality", US_national_yearly!$D:$AM, 10, FALSE), 1)</f>
        <v>1.1593434781603857E-7</v>
      </c>
      <c r="H3" s="7">
        <f>$B3 * IFERROR(VLOOKUP("industry|NOx|Infant mortality", US_national_yearly!$D:$AM, 16, FALSE) / VLOOKUP("industry|NOx|Infant mortality", US_national_yearly!$D:$AM, 10, FALSE), 1)</f>
        <v>5.7081413732286263E-8</v>
      </c>
      <c r="I3" s="7">
        <f>$B3 * IFERROR(VLOOKUP("industry|NOx|Infant mortality", US_national_yearly!$D:$AM, 17, FALSE) / VLOOKUP("industry|NOx|Infant mortality", US_national_yearly!$D:$AM, 10, FALSE), 1)</f>
        <v>5.6669881384921281E-8</v>
      </c>
      <c r="J3" s="7">
        <f>$B3 * IFERROR(VLOOKUP("industry|NOx|Infant mortality", US_national_yearly!$D:$AM, 18, FALSE) / VLOOKUP("industry|NOx|Infant mortality", US_national_yearly!$D:$AM, 10, FALSE), 1)</f>
        <v>5.6258349037556311E-8</v>
      </c>
      <c r="K3" s="7">
        <f>$B3 * IFERROR(VLOOKUP("industry|NOx|Infant mortality", US_national_yearly!$D:$AM, 19, FALSE) / VLOOKUP("industry|NOx|Infant mortality", US_national_yearly!$D:$AM, 10, FALSE), 1)</f>
        <v>5.5846816690191335E-8</v>
      </c>
      <c r="L3" s="7">
        <f>$B3 * IFERROR(VLOOKUP("industry|NOx|Infant mortality", US_national_yearly!$D:$AM, 20, FALSE) / VLOOKUP("industry|NOx|Infant mortality", US_national_yearly!$D:$AM, 10, FALSE), 1)</f>
        <v>5.5435284342826346E-8</v>
      </c>
      <c r="M3" s="7">
        <f>$B3 * IFERROR(VLOOKUP("industry|NOx|Infant mortality", US_national_yearly!$D:$AM, 21, FALSE) / VLOOKUP("industry|NOx|Infant mortality", US_national_yearly!$D:$AM, 10, FALSE), 1)</f>
        <v>5.502375199546137E-8</v>
      </c>
      <c r="N3" s="7">
        <f>$B3 * IFERROR(VLOOKUP("industry|NOx|Infant mortality", US_national_yearly!$D:$AM, 22, FALSE) / VLOOKUP("industry|NOx|Infant mortality", US_national_yearly!$D:$AM, 10, FALSE), 1)</f>
        <v>5.4746480062780646E-8</v>
      </c>
      <c r="O3" s="7">
        <f>$B3 * IFERROR(VLOOKUP("industry|NOx|Infant mortality", US_national_yearly!$D:$AM, 23, FALSE) / VLOOKUP("industry|NOx|Infant mortality", US_national_yearly!$D:$AM, 10, FALSE), 1)</f>
        <v>5.4469208130099909E-8</v>
      </c>
      <c r="P3" s="7">
        <f>$B3 * IFERROR(VLOOKUP("industry|NOx|Infant mortality", US_national_yearly!$D:$AM, 24, FALSE) / VLOOKUP("industry|NOx|Infant mortality", US_national_yearly!$D:$AM, 10, FALSE), 1)</f>
        <v>5.4191936197419186E-8</v>
      </c>
      <c r="Q3" s="7">
        <f>$B3 * IFERROR(VLOOKUP("industry|NOx|Infant mortality", US_national_yearly!$D:$AM, 25, FALSE) / VLOOKUP("industry|NOx|Infant mortality", US_national_yearly!$D:$AM, 10, FALSE), 1)</f>
        <v>5.3914664264738462E-8</v>
      </c>
      <c r="R3" s="7">
        <f>$B3 * IFERROR(VLOOKUP("industry|NOx|Infant mortality", US_national_yearly!$D:$AM, 26, FALSE) / VLOOKUP("industry|NOx|Infant mortality", US_national_yearly!$D:$AM, 10, FALSE), 1)</f>
        <v>5.3637392332057739E-8</v>
      </c>
      <c r="S3" s="7">
        <f>$B3 * IFERROR(VLOOKUP("industry|NOx|Infant mortality", US_national_yearly!$D:$AM, 27, FALSE) / VLOOKUP("industry|NOx|Infant mortality", US_national_yearly!$D:$AM, 10, FALSE), 1)</f>
        <v>5.3308136869087952E-8</v>
      </c>
      <c r="T3" s="7">
        <f>$B3 * IFERROR(VLOOKUP("industry|NOx|Infant mortality", US_national_yearly!$D:$AM, 28, FALSE) / VLOOKUP("industry|NOx|Infant mortality", US_national_yearly!$D:$AM, 10, FALSE), 1)</f>
        <v>5.2978881406118171E-8</v>
      </c>
      <c r="U3" s="7">
        <f>$B3 * IFERROR(VLOOKUP("industry|NOx|Infant mortality", US_national_yearly!$D:$AM, 29, FALSE) / VLOOKUP("industry|NOx|Infant mortality", US_national_yearly!$D:$AM, 10, FALSE), 1)</f>
        <v>5.2649625943148384E-8</v>
      </c>
      <c r="V3" s="7">
        <f>$B3 * IFERROR(VLOOKUP("industry|NOx|Infant mortality", US_national_yearly!$D:$AM, 30, FALSE) / VLOOKUP("industry|NOx|Infant mortality", US_national_yearly!$D:$AM, 10, FALSE), 1)</f>
        <v>5.2320370480178597E-8</v>
      </c>
      <c r="W3" s="7">
        <f>$B3 * IFERROR(VLOOKUP("industry|NOx|Infant mortality", US_national_yearly!$D:$AM, 31, FALSE) / VLOOKUP("industry|NOx|Infant mortality", US_national_yearly!$D:$AM, 10, FALSE), 1)</f>
        <v>5.1991115017208823E-8</v>
      </c>
      <c r="X3" s="7">
        <f>$B3 * IFERROR(VLOOKUP("industry|NOx|Infant mortality", US_national_yearly!$D:$AM, 32, FALSE) / VLOOKUP("industry|NOx|Infant mortality", US_national_yearly!$D:$AM, 10, FALSE), 1)</f>
        <v>5.1645360323268151E-8</v>
      </c>
      <c r="Y3" s="7">
        <f>$B3 * IFERROR(VLOOKUP("industry|NOx|Infant mortality", US_national_yearly!$D:$AM, 33, FALSE) / VLOOKUP("industry|NOx|Infant mortality", US_national_yearly!$D:$AM, 10, FALSE), 1)</f>
        <v>5.1299605629327493E-8</v>
      </c>
      <c r="Z3" s="7">
        <f>$B3 * IFERROR(VLOOKUP("industry|NOx|Infant mortality", US_national_yearly!$D:$AM, 34, FALSE) / VLOOKUP("industry|NOx|Infant mortality", US_national_yearly!$D:$AM, 10, FALSE), 1)</f>
        <v>5.0953850935386828E-8</v>
      </c>
      <c r="AA3" s="7">
        <f>$B3 * IFERROR(VLOOKUP("industry|NOx|Infant mortality", US_national_yearly!$D:$AM, 35, FALSE) / VLOOKUP("industry|NOx|Infant mortality", US_national_yearly!$D:$AM, 10, FALSE), 1)</f>
        <v>5.0608096241446162E-8</v>
      </c>
      <c r="AB3" s="7">
        <f>$B3 * IFERROR(VLOOKUP("industry|NOx|Infant mortality", US_national_yearly!$D:$AM, 36, FALSE) / VLOOKUP("industry|NOx|Infant mortality", US_national_yearly!$D:$AM, 10, FALSE), 1)</f>
        <v>5.0262341547505504E-8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1.8383188568089516E-4</v>
      </c>
      <c r="C6" s="7">
        <f>$B6 * IFERROR(VLOOKUP("industry|NOx|Asthma symptoms cough", US_national_yearly!$D:$AM, 11, FALSE) / VLOOKUP("industry|NOx|Asthma symptoms cough", US_national_yearly!$D:$AM, 10, FALSE), 1)</f>
        <v>1.86346768254484E-4</v>
      </c>
      <c r="D6" s="7">
        <f>$B6 * IFERROR(VLOOKUP("industry|NOx|Asthma symptoms cough", US_national_yearly!$D:$AM, 12, FALSE) / VLOOKUP("industry|NOx|Asthma symptoms cough", US_national_yearly!$D:$AM, 10, FALSE), 1)</f>
        <v>1.8886165082807285E-4</v>
      </c>
      <c r="E6" s="7">
        <f>$B6 * IFERROR(VLOOKUP("industry|NOx|Asthma symptoms cough", US_national_yearly!$D:$AM, 13, FALSE) / VLOOKUP("industry|NOx|Asthma symptoms cough", US_national_yearly!$D:$AM, 10, FALSE), 1)</f>
        <v>1.913765334016617E-4</v>
      </c>
      <c r="F6" s="7">
        <f>$B6 * IFERROR(VLOOKUP("industry|NOx|Asthma symptoms cough", US_national_yearly!$D:$AM, 14, FALSE) / VLOOKUP("industry|NOx|Asthma symptoms cough", US_national_yearly!$D:$AM, 10, FALSE), 1)</f>
        <v>1.9389141597525055E-4</v>
      </c>
      <c r="G6" s="7">
        <f>$B6 * IFERROR(VLOOKUP("industry|NOx|Asthma symptoms cough", US_national_yearly!$D:$AM, 15, FALSE) / VLOOKUP("industry|NOx|Asthma symptoms cough", US_national_yearly!$D:$AM, 10, FALSE), 1)</f>
        <v>1.9590796164680279E-4</v>
      </c>
      <c r="H6" s="7">
        <f>$B6 * IFERROR(VLOOKUP("industry|NOx|Asthma symptoms cough", US_national_yearly!$D:$AM, 16, FALSE) / VLOOKUP("industry|NOx|Asthma symptoms cough", US_national_yearly!$D:$AM, 10, FALSE), 1)</f>
        <v>1.9792450731835509E-4</v>
      </c>
      <c r="I6" s="7">
        <f>$B6 * IFERROR(VLOOKUP("industry|NOx|Asthma symptoms cough", US_national_yearly!$D:$AM, 17, FALSE) / VLOOKUP("industry|NOx|Asthma symptoms cough", US_national_yearly!$D:$AM, 10, FALSE), 1)</f>
        <v>1.9862628308886754E-4</v>
      </c>
      <c r="J6" s="7">
        <f>$B6 * IFERROR(VLOOKUP("industry|NOx|Asthma symptoms cough", US_national_yearly!$D:$AM, 18, FALSE) / VLOOKUP("industry|NOx|Asthma symptoms cough", US_national_yearly!$D:$AM, 10, FALSE), 1)</f>
        <v>1.9932805885938002E-4</v>
      </c>
      <c r="K6" s="7">
        <f>$B6 * IFERROR(VLOOKUP("industry|NOx|Asthma symptoms cough", US_national_yearly!$D:$AM, 19, FALSE) / VLOOKUP("industry|NOx|Asthma symptoms cough", US_national_yearly!$D:$AM, 10, FALSE), 1)</f>
        <v>2.0002983462989244E-4</v>
      </c>
      <c r="L6" s="7">
        <f>$B6 * IFERROR(VLOOKUP("industry|NOx|Asthma symptoms cough", US_national_yearly!$D:$AM, 20, FALSE) / VLOOKUP("industry|NOx|Asthma symptoms cough", US_national_yearly!$D:$AM, 10, FALSE), 1)</f>
        <v>2.0073161040040494E-4</v>
      </c>
      <c r="M6" s="7">
        <f>$B6 * IFERROR(VLOOKUP("industry|NOx|Asthma symptoms cough", US_national_yearly!$D:$AM, 21, FALSE) / VLOOKUP("industry|NOx|Asthma symptoms cough", US_national_yearly!$D:$AM, 10, FALSE), 1)</f>
        <v>2.0143338617091742E-4</v>
      </c>
      <c r="N6" s="7">
        <f>$B6 * IFERROR(VLOOKUP("industry|NOx|Asthma symptoms cough", US_national_yearly!$D:$AM, 22, FALSE) / VLOOKUP("industry|NOx|Asthma symptoms cough", US_national_yearly!$D:$AM, 10, FALSE), 1)</f>
        <v>2.0223448237050454E-4</v>
      </c>
      <c r="O6" s="7">
        <f>$B6 * IFERROR(VLOOKUP("industry|NOx|Asthma symptoms cough", US_national_yearly!$D:$AM, 23, FALSE) / VLOOKUP("industry|NOx|Asthma symptoms cough", US_national_yearly!$D:$AM, 10, FALSE), 1)</f>
        <v>2.0303557857009164E-4</v>
      </c>
      <c r="P6" s="7">
        <f>$B6 * IFERROR(VLOOKUP("industry|NOx|Asthma symptoms cough", US_national_yearly!$D:$AM, 24, FALSE) / VLOOKUP("industry|NOx|Asthma symptoms cough", US_national_yearly!$D:$AM, 10, FALSE), 1)</f>
        <v>2.0383667476967876E-4</v>
      </c>
      <c r="Q6" s="7">
        <f>$B6 * IFERROR(VLOOKUP("industry|NOx|Asthma symptoms cough", US_national_yearly!$D:$AM, 25, FALSE) / VLOOKUP("industry|NOx|Asthma symptoms cough", US_national_yearly!$D:$AM, 10, FALSE), 1)</f>
        <v>2.0463777096926589E-4</v>
      </c>
      <c r="R6" s="7">
        <f>$B6 * IFERROR(VLOOKUP("industry|NOx|Asthma symptoms cough", US_national_yearly!$D:$AM, 26, FALSE) / VLOOKUP("industry|NOx|Asthma symptoms cough", US_national_yearly!$D:$AM, 10, FALSE), 1)</f>
        <v>2.0543886716885301E-4</v>
      </c>
      <c r="S6" s="7">
        <f>$B6 * IFERROR(VLOOKUP("industry|NOx|Asthma symptoms cough", US_national_yearly!$D:$AM, 27, FALSE) / VLOOKUP("industry|NOx|Asthma symptoms cough", US_national_yearly!$D:$AM, 10, FALSE), 1)</f>
        <v>2.0647224582101033E-4</v>
      </c>
      <c r="T6" s="7">
        <f>$B6 * IFERROR(VLOOKUP("industry|NOx|Asthma symptoms cough", US_national_yearly!$D:$AM, 28, FALSE) / VLOOKUP("industry|NOx|Asthma symptoms cough", US_national_yearly!$D:$AM, 10, FALSE), 1)</f>
        <v>2.0750562447316765E-4</v>
      </c>
      <c r="U6" s="7">
        <f>$B6 * IFERROR(VLOOKUP("industry|NOx|Asthma symptoms cough", US_national_yearly!$D:$AM, 29, FALSE) / VLOOKUP("industry|NOx|Asthma symptoms cough", US_national_yearly!$D:$AM, 10, FALSE), 1)</f>
        <v>2.0853900312532494E-4</v>
      </c>
      <c r="V6" s="7">
        <f>$B6 * IFERROR(VLOOKUP("industry|NOx|Asthma symptoms cough", US_national_yearly!$D:$AM, 30, FALSE) / VLOOKUP("industry|NOx|Asthma symptoms cough", US_national_yearly!$D:$AM, 10, FALSE), 1)</f>
        <v>2.0957238177748221E-4</v>
      </c>
      <c r="W6" s="7">
        <f>$B6 * IFERROR(VLOOKUP("industry|NOx|Asthma symptoms cough", US_national_yearly!$D:$AM, 31, FALSE) / VLOOKUP("industry|NOx|Asthma symptoms cough", US_national_yearly!$D:$AM, 10, FALSE), 1)</f>
        <v>2.1060576042963958E-4</v>
      </c>
      <c r="X6" s="7">
        <f>$B6 * IFERROR(VLOOKUP("industry|NOx|Asthma symptoms cough", US_national_yearly!$D:$AM, 32, FALSE) / VLOOKUP("industry|NOx|Asthma symptoms cough", US_national_yearly!$D:$AM, 10, FALSE), 1)</f>
        <v>2.1156378190557908E-4</v>
      </c>
      <c r="Y6" s="7">
        <f>$B6 * IFERROR(VLOOKUP("industry|NOx|Asthma symptoms cough", US_national_yearly!$D:$AM, 33, FALSE) / VLOOKUP("industry|NOx|Asthma symptoms cough", US_national_yearly!$D:$AM, 10, FALSE), 1)</f>
        <v>2.1252180338151856E-4</v>
      </c>
      <c r="Z6" s="7">
        <f>$B6 * IFERROR(VLOOKUP("industry|NOx|Asthma symptoms cough", US_national_yearly!$D:$AM, 34, FALSE) / VLOOKUP("industry|NOx|Asthma symptoms cough", US_national_yearly!$D:$AM, 10, FALSE), 1)</f>
        <v>2.1347982485745806E-4</v>
      </c>
      <c r="AA6" s="7">
        <f>$B6 * IFERROR(VLOOKUP("industry|NOx|Asthma symptoms cough", US_national_yearly!$D:$AM, 35, FALSE) / VLOOKUP("industry|NOx|Asthma symptoms cough", US_national_yearly!$D:$AM, 10, FALSE), 1)</f>
        <v>2.1443784633339754E-4</v>
      </c>
      <c r="AB6" s="7">
        <f>$B6 * IFERROR(VLOOKUP("industry|NOx|Asthma symptoms cough", US_national_yearly!$D:$AM, 36, FALSE) / VLOOKUP("industry|NOx|Asthma symptoms cough", US_national_yearly!$D:$AM, 10, FALSE), 1)</f>
        <v>2.1539586780933704E-4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2.4755430990053658E-4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2.5094093685243873E-4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2.5432756380434088E-4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2.5771419075624303E-4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2.6110081770814523E-4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2.6381636712661697E-4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2.6653191654508877E-4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2.6747695180729097E-4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2.6842198706949317E-4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2.6936702233169537E-4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2.7031205759389768E-4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2.7125709285609988E-4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2.7233587640910811E-4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2.734146599621163E-4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2.7449344351512453E-4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2.7557222706813282E-4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2.76651010621141E-4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2.7804259367839967E-4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2.794341767356584E-4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2.8082575979291707E-4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2.8221734285017585E-4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2.8360892590743446E-4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2.8489903041078335E-4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2.8618913491413223E-4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2.8747923941748111E-4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2.8876934392082994E-4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2.9005944842417882E-4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3.7822816065000609E-4</v>
      </c>
      <c r="C8" s="7">
        <f>$B8 * IFERROR(VLOOKUP("industry|NOx|Asthma symptoms wheeze", US_national_yearly!$D:$AM, 11, FALSE) / VLOOKUP("industry|NOx|Asthma symptoms wheeze", US_national_yearly!$D:$AM, 10, FALSE), 1)</f>
        <v>3.8340245023082606E-4</v>
      </c>
      <c r="D8" s="7">
        <f>$B8 * IFERROR(VLOOKUP("industry|NOx|Asthma symptoms wheeze", US_national_yearly!$D:$AM, 12, FALSE) / VLOOKUP("industry|NOx|Asthma symptoms wheeze", US_national_yearly!$D:$AM, 10, FALSE), 1)</f>
        <v>3.885767398116461E-4</v>
      </c>
      <c r="E8" s="7">
        <f>$B8 * IFERROR(VLOOKUP("industry|NOx|Asthma symptoms wheeze", US_national_yearly!$D:$AM, 13, FALSE) / VLOOKUP("industry|NOx|Asthma symptoms wheeze", US_national_yearly!$D:$AM, 10, FALSE), 1)</f>
        <v>3.9375102939246607E-4</v>
      </c>
      <c r="F8" s="7">
        <f>$B8 * IFERROR(VLOOKUP("industry|NOx|Asthma symptoms wheeze", US_national_yearly!$D:$AM, 14, FALSE) / VLOOKUP("industry|NOx|Asthma symptoms wheeze", US_national_yearly!$D:$AM, 10, FALSE), 1)</f>
        <v>3.98925318973286E-4</v>
      </c>
      <c r="G8" s="7">
        <f>$B8 * IFERROR(VLOOKUP("industry|NOx|Asthma symptoms wheeze", US_national_yearly!$D:$AM, 15, FALSE) / VLOOKUP("industry|NOx|Asthma symptoms wheeze", US_national_yearly!$D:$AM, 10, FALSE), 1)</f>
        <v>4.0307429649207043E-4</v>
      </c>
      <c r="H8" s="7">
        <f>$B8 * IFERROR(VLOOKUP("industry|NOx|Asthma symptoms wheeze", US_national_yearly!$D:$AM, 16, FALSE) / VLOOKUP("industry|NOx|Asthma symptoms wheeze", US_national_yearly!$D:$AM, 10, FALSE), 1)</f>
        <v>4.0722327401085466E-4</v>
      </c>
      <c r="I8" s="7">
        <f>$B8 * IFERROR(VLOOKUP("industry|NOx|Asthma symptoms wheeze", US_national_yearly!$D:$AM, 17, FALSE) / VLOOKUP("industry|NOx|Asthma symptoms wheeze", US_national_yearly!$D:$AM, 10, FALSE), 1)</f>
        <v>4.0866715496956879E-4</v>
      </c>
      <c r="J8" s="7">
        <f>$B8 * IFERROR(VLOOKUP("industry|NOx|Asthma symptoms wheeze", US_national_yearly!$D:$AM, 18, FALSE) / VLOOKUP("industry|NOx|Asthma symptoms wheeze", US_national_yearly!$D:$AM, 10, FALSE), 1)</f>
        <v>4.1011103592828281E-4</v>
      </c>
      <c r="K8" s="7">
        <f>$B8 * IFERROR(VLOOKUP("industry|NOx|Asthma symptoms wheeze", US_national_yearly!$D:$AM, 19, FALSE) / VLOOKUP("industry|NOx|Asthma symptoms wheeze", US_national_yearly!$D:$AM, 10, FALSE), 1)</f>
        <v>4.1155491688699695E-4</v>
      </c>
      <c r="L8" s="7">
        <f>$B8 * IFERROR(VLOOKUP("industry|NOx|Asthma symptoms wheeze", US_national_yearly!$D:$AM, 20, FALSE) / VLOOKUP("industry|NOx|Asthma symptoms wheeze", US_national_yearly!$D:$AM, 10, FALSE), 1)</f>
        <v>4.1299879784571092E-4</v>
      </c>
      <c r="M8" s="7">
        <f>$B8 * IFERROR(VLOOKUP("industry|NOx|Asthma symptoms wheeze", US_national_yearly!$D:$AM, 21, FALSE) / VLOOKUP("industry|NOx|Asthma symptoms wheeze", US_national_yearly!$D:$AM, 10, FALSE), 1)</f>
        <v>4.1444267880442505E-4</v>
      </c>
      <c r="N8" s="7">
        <f>$B8 * IFERROR(VLOOKUP("industry|NOx|Asthma symptoms wheeze", US_national_yearly!$D:$AM, 22, FALSE) / VLOOKUP("industry|NOx|Asthma symptoms wheeze", US_national_yearly!$D:$AM, 10, FALSE), 1)</f>
        <v>4.1609090833448693E-4</v>
      </c>
      <c r="O8" s="7">
        <f>$B8 * IFERROR(VLOOKUP("industry|NOx|Asthma symptoms wheeze", US_national_yearly!$D:$AM, 23, FALSE) / VLOOKUP("industry|NOx|Asthma symptoms wheeze", US_national_yearly!$D:$AM, 10, FALSE), 1)</f>
        <v>4.177391378645488E-4</v>
      </c>
      <c r="P8" s="7">
        <f>$B8 * IFERROR(VLOOKUP("industry|NOx|Asthma symptoms wheeze", US_national_yearly!$D:$AM, 24, FALSE) / VLOOKUP("industry|NOx|Asthma symptoms wheeze", US_national_yearly!$D:$AM, 10, FALSE), 1)</f>
        <v>4.1938736739461057E-4</v>
      </c>
      <c r="Q8" s="7">
        <f>$B8 * IFERROR(VLOOKUP("industry|NOx|Asthma symptoms wheeze", US_national_yearly!$D:$AM, 25, FALSE) / VLOOKUP("industry|NOx|Asthma symptoms wheeze", US_national_yearly!$D:$AM, 10, FALSE), 1)</f>
        <v>4.2103559692467245E-4</v>
      </c>
      <c r="R8" s="7">
        <f>$B8 * IFERROR(VLOOKUP("industry|NOx|Asthma symptoms wheeze", US_national_yearly!$D:$AM, 26, FALSE) / VLOOKUP("industry|NOx|Asthma symptoms wheeze", US_national_yearly!$D:$AM, 10, FALSE), 1)</f>
        <v>4.2268382645473432E-4</v>
      </c>
      <c r="S8" s="7">
        <f>$B8 * IFERROR(VLOOKUP("industry|NOx|Asthma symptoms wheeze", US_national_yearly!$D:$AM, 27, FALSE) / VLOOKUP("industry|NOx|Asthma symptoms wheeze", US_national_yearly!$D:$AM, 10, FALSE), 1)</f>
        <v>4.2480996962022461E-4</v>
      </c>
      <c r="T8" s="7">
        <f>$B8 * IFERROR(VLOOKUP("industry|NOx|Asthma symptoms wheeze", US_national_yearly!$D:$AM, 28, FALSE) / VLOOKUP("industry|NOx|Asthma symptoms wheeze", US_national_yearly!$D:$AM, 10, FALSE), 1)</f>
        <v>4.269361127857149E-4</v>
      </c>
      <c r="U8" s="7">
        <f>$B8 * IFERROR(VLOOKUP("industry|NOx|Asthma symptoms wheeze", US_national_yearly!$D:$AM, 29, FALSE) / VLOOKUP("industry|NOx|Asthma symptoms wheeze", US_national_yearly!$D:$AM, 10, FALSE), 1)</f>
        <v>4.2906225595120513E-4</v>
      </c>
      <c r="V8" s="7">
        <f>$B8 * IFERROR(VLOOKUP("industry|NOx|Asthma symptoms wheeze", US_national_yearly!$D:$AM, 30, FALSE) / VLOOKUP("industry|NOx|Asthma symptoms wheeze", US_national_yearly!$D:$AM, 10, FALSE), 1)</f>
        <v>4.3118839911669536E-4</v>
      </c>
      <c r="W8" s="7">
        <f>$B8 * IFERROR(VLOOKUP("industry|NOx|Asthma symptoms wheeze", US_national_yearly!$D:$AM, 31, FALSE) / VLOOKUP("industry|NOx|Asthma symptoms wheeze", US_national_yearly!$D:$AM, 10, FALSE), 1)</f>
        <v>4.3331454228218559E-4</v>
      </c>
      <c r="X8" s="7">
        <f>$B8 * IFERROR(VLOOKUP("industry|NOx|Asthma symptoms wheeze", US_national_yearly!$D:$AM, 32, FALSE) / VLOOKUP("industry|NOx|Asthma symptoms wheeze", US_national_yearly!$D:$AM, 10, FALSE), 1)</f>
        <v>4.3528564049403475E-4</v>
      </c>
      <c r="Y8" s="7">
        <f>$B8 * IFERROR(VLOOKUP("industry|NOx|Asthma symptoms wheeze", US_national_yearly!$D:$AM, 33, FALSE) / VLOOKUP("industry|NOx|Asthma symptoms wheeze", US_national_yearly!$D:$AM, 10, FALSE), 1)</f>
        <v>4.3725673870588381E-4</v>
      </c>
      <c r="Z8" s="7">
        <f>$B8 * IFERROR(VLOOKUP("industry|NOx|Asthma symptoms wheeze", US_national_yearly!$D:$AM, 34, FALSE) / VLOOKUP("industry|NOx|Asthma symptoms wheeze", US_national_yearly!$D:$AM, 10, FALSE), 1)</f>
        <v>4.3922783691773286E-4</v>
      </c>
      <c r="AA8" s="7">
        <f>$B8 * IFERROR(VLOOKUP("industry|NOx|Asthma symptoms wheeze", US_national_yearly!$D:$AM, 35, FALSE) / VLOOKUP("industry|NOx|Asthma symptoms wheeze", US_national_yearly!$D:$AM, 10, FALSE), 1)</f>
        <v>4.4119893512958186E-4</v>
      </c>
      <c r="AB8" s="7">
        <f>$B8 * IFERROR(VLOOKUP("industry|NOx|Asthma symptoms wheeze", US_national_yearly!$D:$AM, 36, FALSE) / VLOOKUP("industry|NOx|Asthma symptoms wheeze", US_national_yearly!$D:$AM, 10, FALSE), 1)</f>
        <v>4.4317003334143123E-4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1.0370185708084284E-5</v>
      </c>
      <c r="C12" s="7">
        <f>$B12 * IFERROR(VLOOKUP("industry|NOx|Respiratory hospital admissions", US_national_yearly!$D:$AM, 11, FALSE) / VLOOKUP("industry|NOx|Respiratory hospital admissions", US_national_yearly!$D:$AM, 10, FALSE), 1)</f>
        <v>1.0630719129640231E-5</v>
      </c>
      <c r="D12" s="7">
        <f>$B12 * IFERROR(VLOOKUP("industry|NOx|Respiratory hospital admissions", US_national_yearly!$D:$AM, 12, FALSE) / VLOOKUP("industry|NOx|Respiratory hospital admissions", US_national_yearly!$D:$AM, 10, FALSE), 1)</f>
        <v>1.0891252551196179E-5</v>
      </c>
      <c r="E12" s="7">
        <f>$B12 * IFERROR(VLOOKUP("industry|NOx|Respiratory hospital admissions", US_national_yearly!$D:$AM, 13, FALSE) / VLOOKUP("industry|NOx|Respiratory hospital admissions", US_national_yearly!$D:$AM, 10, FALSE), 1)</f>
        <v>1.115178597275213E-5</v>
      </c>
      <c r="F12" s="7">
        <f>$B12 * IFERROR(VLOOKUP("industry|NOx|Respiratory hospital admissions", US_national_yearly!$D:$AM, 14, FALSE) / VLOOKUP("industry|NOx|Respiratory hospital admissions", US_national_yearly!$D:$AM, 10, FALSE), 1)</f>
        <v>1.1412319394308075E-5</v>
      </c>
      <c r="G12" s="7">
        <f>$B12 * IFERROR(VLOOKUP("industry|NOx|Respiratory hospital admissions", US_national_yearly!$D:$AM, 15, FALSE) / VLOOKUP("industry|NOx|Respiratory hospital admissions", US_national_yearly!$D:$AM, 10, FALSE), 1)</f>
        <v>1.166153119723008E-5</v>
      </c>
      <c r="H12" s="7">
        <f>$B12 * IFERROR(VLOOKUP("industry|NOx|Respiratory hospital admissions", US_national_yearly!$D:$AM, 16, FALSE) / VLOOKUP("industry|NOx|Respiratory hospital admissions", US_national_yearly!$D:$AM, 10, FALSE), 1)</f>
        <v>1.1910743000152083E-5</v>
      </c>
      <c r="I12" s="7">
        <f>$B12 * IFERROR(VLOOKUP("industry|NOx|Respiratory hospital admissions", US_national_yearly!$D:$AM, 17, FALSE) / VLOOKUP("industry|NOx|Respiratory hospital admissions", US_national_yearly!$D:$AM, 10, FALSE), 1)</f>
        <v>1.2122980691339072E-5</v>
      </c>
      <c r="J12" s="7">
        <f>$B12 * IFERROR(VLOOKUP("industry|NOx|Respiratory hospital admissions", US_national_yearly!$D:$AM, 18, FALSE) / VLOOKUP("industry|NOx|Respiratory hospital admissions", US_national_yearly!$D:$AM, 10, FALSE), 1)</f>
        <v>1.2335218382526058E-5</v>
      </c>
      <c r="K12" s="7">
        <f>$B12 * IFERROR(VLOOKUP("industry|NOx|Respiratory hospital admissions", US_national_yearly!$D:$AM, 19, FALSE) / VLOOKUP("industry|NOx|Respiratory hospital admissions", US_national_yearly!$D:$AM, 10, FALSE), 1)</f>
        <v>1.2547456073713047E-5</v>
      </c>
      <c r="L12" s="7">
        <f>$B12 * IFERROR(VLOOKUP("industry|NOx|Respiratory hospital admissions", US_national_yearly!$D:$AM, 20, FALSE) / VLOOKUP("industry|NOx|Respiratory hospital admissions", US_national_yearly!$D:$AM, 10, FALSE), 1)</f>
        <v>1.2759693764900037E-5</v>
      </c>
      <c r="M12" s="7">
        <f>$B12 * IFERROR(VLOOKUP("industry|NOx|Respiratory hospital admissions", US_national_yearly!$D:$AM, 21, FALSE) / VLOOKUP("industry|NOx|Respiratory hospital admissions", US_national_yearly!$D:$AM, 10, FALSE), 1)</f>
        <v>1.2971931456087023E-5</v>
      </c>
      <c r="N12" s="7">
        <f>$B12 * IFERROR(VLOOKUP("industry|NOx|Respiratory hospital admissions", US_national_yearly!$D:$AM, 22, FALSE) / VLOOKUP("industry|NOx|Respiratory hospital admissions", US_national_yearly!$D:$AM, 10, FALSE), 1)</f>
        <v>1.311417676238833E-5</v>
      </c>
      <c r="O12" s="7">
        <f>$B12 * IFERROR(VLOOKUP("industry|NOx|Respiratory hospital admissions", US_national_yearly!$D:$AM, 23, FALSE) / VLOOKUP("industry|NOx|Respiratory hospital admissions", US_national_yearly!$D:$AM, 10, FALSE), 1)</f>
        <v>1.3256422068689635E-5</v>
      </c>
      <c r="P12" s="7">
        <f>$B12 * IFERROR(VLOOKUP("industry|NOx|Respiratory hospital admissions", US_national_yearly!$D:$AM, 24, FALSE) / VLOOKUP("industry|NOx|Respiratory hospital admissions", US_national_yearly!$D:$AM, 10, FALSE), 1)</f>
        <v>1.3398667374990943E-5</v>
      </c>
      <c r="Q12" s="7">
        <f>$B12 * IFERROR(VLOOKUP("industry|NOx|Respiratory hospital admissions", US_national_yearly!$D:$AM, 25, FALSE) / VLOOKUP("industry|NOx|Respiratory hospital admissions", US_national_yearly!$D:$AM, 10, FALSE), 1)</f>
        <v>1.3540912681292248E-5</v>
      </c>
      <c r="R12" s="7">
        <f>$B12 * IFERROR(VLOOKUP("industry|NOx|Respiratory hospital admissions", US_national_yearly!$D:$AM, 26, FALSE) / VLOOKUP("industry|NOx|Respiratory hospital admissions", US_national_yearly!$D:$AM, 10, FALSE), 1)</f>
        <v>1.3683157987593554E-5</v>
      </c>
      <c r="S12" s="7">
        <f>$B12 * IFERROR(VLOOKUP("industry|NOx|Respiratory hospital admissions", US_national_yearly!$D:$AM, 27, FALSE) / VLOOKUP("industry|NOx|Respiratory hospital admissions", US_national_yearly!$D:$AM, 10, FALSE), 1)</f>
        <v>1.3760384829630744E-5</v>
      </c>
      <c r="T12" s="7">
        <f>$B12 * IFERROR(VLOOKUP("industry|NOx|Respiratory hospital admissions", US_national_yearly!$D:$AM, 28, FALSE) / VLOOKUP("industry|NOx|Respiratory hospital admissions", US_national_yearly!$D:$AM, 10, FALSE), 1)</f>
        <v>1.3837611671667938E-5</v>
      </c>
      <c r="U12" s="7">
        <f>$B12 * IFERROR(VLOOKUP("industry|NOx|Respiratory hospital admissions", US_national_yearly!$D:$AM, 29, FALSE) / VLOOKUP("industry|NOx|Respiratory hospital admissions", US_national_yearly!$D:$AM, 10, FALSE), 1)</f>
        <v>1.391483851370513E-5</v>
      </c>
      <c r="V12" s="7">
        <f>$B12 * IFERROR(VLOOKUP("industry|NOx|Respiratory hospital admissions", US_national_yearly!$D:$AM, 30, FALSE) / VLOOKUP("industry|NOx|Respiratory hospital admissions", US_national_yearly!$D:$AM, 10, FALSE), 1)</f>
        <v>1.399206535574232E-5</v>
      </c>
      <c r="W12" s="7">
        <f>$B12 * IFERROR(VLOOKUP("industry|NOx|Respiratory hospital admissions", US_national_yearly!$D:$AM, 31, FALSE) / VLOOKUP("industry|NOx|Respiratory hospital admissions", US_national_yearly!$D:$AM, 10, FALSE), 1)</f>
        <v>1.4069292197779514E-5</v>
      </c>
      <c r="X12" s="7">
        <f>$B12 * IFERROR(VLOOKUP("industry|NOx|Respiratory hospital admissions", US_national_yearly!$D:$AM, 32, FALSE) / VLOOKUP("industry|NOx|Respiratory hospital admissions", US_national_yearly!$D:$AM, 10, FALSE), 1)</f>
        <v>1.4123139509312397E-5</v>
      </c>
      <c r="Y12" s="7">
        <f>$B12 * IFERROR(VLOOKUP("industry|NOx|Respiratory hospital admissions", US_national_yearly!$D:$AM, 33, FALSE) / VLOOKUP("industry|NOx|Respiratory hospital admissions", US_national_yearly!$D:$AM, 10, FALSE), 1)</f>
        <v>1.417698682084528E-5</v>
      </c>
      <c r="Z12" s="7">
        <f>$B12 * IFERROR(VLOOKUP("industry|NOx|Respiratory hospital admissions", US_national_yearly!$D:$AM, 34, FALSE) / VLOOKUP("industry|NOx|Respiratory hospital admissions", US_national_yearly!$D:$AM, 10, FALSE), 1)</f>
        <v>1.4230834132378165E-5</v>
      </c>
      <c r="AA12" s="7">
        <f>$B12 * IFERROR(VLOOKUP("industry|NOx|Respiratory hospital admissions", US_national_yearly!$D:$AM, 35, FALSE) / VLOOKUP("industry|NOx|Respiratory hospital admissions", US_national_yearly!$D:$AM, 10, FALSE), 1)</f>
        <v>1.4284681443911049E-5</v>
      </c>
      <c r="AB12" s="7">
        <f>$B12 * IFERROR(VLOOKUP("industry|NOx|Respiratory hospital admissions", US_national_yearly!$D:$AM, 36, FALSE) / VLOOKUP("industry|NOx|Respiratory hospital admissions", US_national_yearly!$D:$AM, 10, FALSE), 1)</f>
        <v>1.4338528755443932E-5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3.6739074286581025E-5</v>
      </c>
      <c r="C13" s="7">
        <f>$B13 * IFERROR(VLOOKUP("industry|NOx|Non-fatal heart attacks", US_national_yearly!$D:$AM, 11, FALSE) / VLOOKUP("industry|NOx|Non-fatal heart attacks", US_national_yearly!$D:$AM, 10, FALSE), 1)</f>
        <v>3.7788744845270644E-5</v>
      </c>
      <c r="D13" s="7">
        <f>$B13 * IFERROR(VLOOKUP("industry|NOx|Non-fatal heart attacks", US_national_yearly!$D:$AM, 12, FALSE) / VLOOKUP("industry|NOx|Non-fatal heart attacks", US_national_yearly!$D:$AM, 10, FALSE), 1)</f>
        <v>3.8838415403960263E-5</v>
      </c>
      <c r="E13" s="7">
        <f>$B13 * IFERROR(VLOOKUP("industry|NOx|Non-fatal heart attacks", US_national_yearly!$D:$AM, 13, FALSE) / VLOOKUP("industry|NOx|Non-fatal heart attacks", US_national_yearly!$D:$AM, 10, FALSE), 1)</f>
        <v>3.9888085962649882E-5</v>
      </c>
      <c r="F13" s="7">
        <f>$B13 * IFERROR(VLOOKUP("industry|NOx|Non-fatal heart attacks", US_national_yearly!$D:$AM, 14, FALSE) / VLOOKUP("industry|NOx|Non-fatal heart attacks", US_national_yearly!$D:$AM, 10, FALSE), 1)</f>
        <v>4.0937756521339502E-5</v>
      </c>
      <c r="G13" s="7">
        <f>$B13 * IFERROR(VLOOKUP("industry|NOx|Non-fatal heart attacks", US_national_yearly!$D:$AM, 15, FALSE) / VLOOKUP("industry|NOx|Non-fatal heart attacks", US_national_yearly!$D:$AM, 10, FALSE), 1)</f>
        <v>4.19195042682325E-5</v>
      </c>
      <c r="H13" s="7">
        <f>$B13 * IFERROR(VLOOKUP("industry|NOx|Non-fatal heart attacks", US_national_yearly!$D:$AM, 16, FALSE) / VLOOKUP("industry|NOx|Non-fatal heart attacks", US_national_yearly!$D:$AM, 10, FALSE), 1)</f>
        <v>4.2901252015125492E-5</v>
      </c>
      <c r="I13" s="7">
        <f>$B13 * IFERROR(VLOOKUP("industry|NOx|Non-fatal heart attacks", US_national_yearly!$D:$AM, 17, FALSE) / VLOOKUP("industry|NOx|Non-fatal heart attacks", US_national_yearly!$D:$AM, 10, FALSE), 1)</f>
        <v>4.3677711282413409E-5</v>
      </c>
      <c r="J13" s="7">
        <f>$B13 * IFERROR(VLOOKUP("industry|NOx|Non-fatal heart attacks", US_national_yearly!$D:$AM, 18, FALSE) / VLOOKUP("industry|NOx|Non-fatal heart attacks", US_national_yearly!$D:$AM, 10, FALSE), 1)</f>
        <v>4.445417054970132E-5</v>
      </c>
      <c r="K13" s="7">
        <f>$B13 * IFERROR(VLOOKUP("industry|NOx|Non-fatal heart attacks", US_national_yearly!$D:$AM, 19, FALSE) / VLOOKUP("industry|NOx|Non-fatal heart attacks", US_national_yearly!$D:$AM, 10, FALSE), 1)</f>
        <v>4.5230629816989224E-5</v>
      </c>
      <c r="L13" s="7">
        <f>$B13 * IFERROR(VLOOKUP("industry|NOx|Non-fatal heart attacks", US_national_yearly!$D:$AM, 20, FALSE) / VLOOKUP("industry|NOx|Non-fatal heart attacks", US_national_yearly!$D:$AM, 10, FALSE), 1)</f>
        <v>4.6007089084277154E-5</v>
      </c>
      <c r="M13" s="7">
        <f>$B13 * IFERROR(VLOOKUP("industry|NOx|Non-fatal heart attacks", US_national_yearly!$D:$AM, 21, FALSE) / VLOOKUP("industry|NOx|Non-fatal heart attacks", US_national_yearly!$D:$AM, 10, FALSE), 1)</f>
        <v>4.6783548351565079E-5</v>
      </c>
      <c r="N13" s="7">
        <f>$B13 * IFERROR(VLOOKUP("industry|NOx|Non-fatal heart attacks", US_national_yearly!$D:$AM, 22, FALSE) / VLOOKUP("industry|NOx|Non-fatal heart attacks", US_national_yearly!$D:$AM, 10, FALSE), 1)</f>
        <v>4.7251327793619239E-5</v>
      </c>
      <c r="O13" s="7">
        <f>$B13 * IFERROR(VLOOKUP("industry|NOx|Non-fatal heart attacks", US_national_yearly!$D:$AM, 23, FALSE) / VLOOKUP("industry|NOx|Non-fatal heart attacks", US_national_yearly!$D:$AM, 10, FALSE), 1)</f>
        <v>4.7719107235673393E-5</v>
      </c>
      <c r="P13" s="7">
        <f>$B13 * IFERROR(VLOOKUP("industry|NOx|Non-fatal heart attacks", US_national_yearly!$D:$AM, 24, FALSE) / VLOOKUP("industry|NOx|Non-fatal heart attacks", US_national_yearly!$D:$AM, 10, FALSE), 1)</f>
        <v>4.8186886677727547E-5</v>
      </c>
      <c r="Q13" s="7">
        <f>$B13 * IFERROR(VLOOKUP("industry|NOx|Non-fatal heart attacks", US_national_yearly!$D:$AM, 25, FALSE) / VLOOKUP("industry|NOx|Non-fatal heart attacks", US_national_yearly!$D:$AM, 10, FALSE), 1)</f>
        <v>4.8654666119781701E-5</v>
      </c>
      <c r="R13" s="7">
        <f>$B13 * IFERROR(VLOOKUP("industry|NOx|Non-fatal heart attacks", US_national_yearly!$D:$AM, 26, FALSE) / VLOOKUP("industry|NOx|Non-fatal heart attacks", US_national_yearly!$D:$AM, 10, FALSE), 1)</f>
        <v>4.9122445561835855E-5</v>
      </c>
      <c r="S13" s="7">
        <f>$B13 * IFERROR(VLOOKUP("industry|NOx|Non-fatal heart attacks", US_national_yearly!$D:$AM, 27, FALSE) / VLOOKUP("industry|NOx|Non-fatal heart attacks", US_national_yearly!$D:$AM, 10, FALSE), 1)</f>
        <v>4.9337072100374078E-5</v>
      </c>
      <c r="T13" s="7">
        <f>$B13 * IFERROR(VLOOKUP("industry|NOx|Non-fatal heart attacks", US_national_yearly!$D:$AM, 28, FALSE) / VLOOKUP("industry|NOx|Non-fatal heart attacks", US_national_yearly!$D:$AM, 10, FALSE), 1)</f>
        <v>4.95516986389123E-5</v>
      </c>
      <c r="U13" s="7">
        <f>$B13 * IFERROR(VLOOKUP("industry|NOx|Non-fatal heart attacks", US_national_yearly!$D:$AM, 29, FALSE) / VLOOKUP("industry|NOx|Non-fatal heart attacks", US_national_yearly!$D:$AM, 10, FALSE), 1)</f>
        <v>4.9766325177450516E-5</v>
      </c>
      <c r="V13" s="7">
        <f>$B13 * IFERROR(VLOOKUP("industry|NOx|Non-fatal heart attacks", US_national_yearly!$D:$AM, 30, FALSE) / VLOOKUP("industry|NOx|Non-fatal heart attacks", US_national_yearly!$D:$AM, 10, FALSE), 1)</f>
        <v>4.9980951715988745E-5</v>
      </c>
      <c r="W13" s="7">
        <f>$B13 * IFERROR(VLOOKUP("industry|NOx|Non-fatal heart attacks", US_national_yearly!$D:$AM, 31, FALSE) / VLOOKUP("industry|NOx|Non-fatal heart attacks", US_national_yearly!$D:$AM, 10, FALSE), 1)</f>
        <v>5.0195578254526961E-5</v>
      </c>
      <c r="X13" s="7">
        <f>$B13 * IFERROR(VLOOKUP("industry|NOx|Non-fatal heart attacks", US_national_yearly!$D:$AM, 32, FALSE) / VLOOKUP("industry|NOx|Non-fatal heart attacks", US_national_yearly!$D:$AM, 10, FALSE), 1)</f>
        <v>5.0340427654713592E-5</v>
      </c>
      <c r="Y13" s="7">
        <f>$B13 * IFERROR(VLOOKUP("industry|NOx|Non-fatal heart attacks", US_national_yearly!$D:$AM, 33, FALSE) / VLOOKUP("industry|NOx|Non-fatal heart attacks", US_national_yearly!$D:$AM, 10, FALSE), 1)</f>
        <v>5.0485277054900223E-5</v>
      </c>
      <c r="Z13" s="7">
        <f>$B13 * IFERROR(VLOOKUP("industry|NOx|Non-fatal heart attacks", US_national_yearly!$D:$AM, 34, FALSE) / VLOOKUP("industry|NOx|Non-fatal heart attacks", US_national_yearly!$D:$AM, 10, FALSE), 1)</f>
        <v>5.0630126455086855E-5</v>
      </c>
      <c r="AA13" s="7">
        <f>$B13 * IFERROR(VLOOKUP("industry|NOx|Non-fatal heart attacks", US_national_yearly!$D:$AM, 35, FALSE) / VLOOKUP("industry|NOx|Non-fatal heart attacks", US_national_yearly!$D:$AM, 10, FALSE), 1)</f>
        <v>5.0774975855273486E-5</v>
      </c>
      <c r="AB13" s="7">
        <f>$B13 * IFERROR(VLOOKUP("industry|NOx|Non-fatal heart attacks", US_national_yearly!$D:$AM, 36, FALSE) / VLOOKUP("industry|NOx|Non-fatal heart attacks", US_national_yearly!$D:$AM, 10, FALSE), 1)</f>
        <v>5.0919825255460117E-5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2.3825363903973992E-2</v>
      </c>
      <c r="C14" s="7">
        <f>$B14 * IFERROR(VLOOKUP("industry|NOx|Minor restricted activity days", US_national_yearly!$D:$AM, 11, FALSE) / VLOOKUP("industry|NOx|Minor restricted activity days", US_national_yearly!$D:$AM, 10, FALSE), 1)</f>
        <v>2.3860663019070409E-2</v>
      </c>
      <c r="D14" s="7">
        <f>$B14 * IFERROR(VLOOKUP("industry|NOx|Minor restricted activity days", US_national_yearly!$D:$AM, 12, FALSE) / VLOOKUP("industry|NOx|Minor restricted activity days", US_national_yearly!$D:$AM, 10, FALSE), 1)</f>
        <v>2.389596213416682E-2</v>
      </c>
      <c r="E14" s="7">
        <f>$B14 * IFERROR(VLOOKUP("industry|NOx|Minor restricted activity days", US_national_yearly!$D:$AM, 13, FALSE) / VLOOKUP("industry|NOx|Minor restricted activity days", US_national_yearly!$D:$AM, 10, FALSE), 1)</f>
        <v>2.3931261249263237E-2</v>
      </c>
      <c r="F14" s="7">
        <f>$B14 * IFERROR(VLOOKUP("industry|NOx|Minor restricted activity days", US_national_yearly!$D:$AM, 14, FALSE) / VLOOKUP("industry|NOx|Minor restricted activity days", US_national_yearly!$D:$AM, 10, FALSE), 1)</f>
        <v>2.3966560364359651E-2</v>
      </c>
      <c r="G14" s="7">
        <f>$B14 * IFERROR(VLOOKUP("industry|NOx|Minor restricted activity days", US_national_yearly!$D:$AM, 15, FALSE) / VLOOKUP("industry|NOx|Minor restricted activity days", US_national_yearly!$D:$AM, 10, FALSE), 1)</f>
        <v>2.4030819102281189E-2</v>
      </c>
      <c r="H14" s="7">
        <f>$B14 * IFERROR(VLOOKUP("industry|NOx|Minor restricted activity days", US_national_yearly!$D:$AM, 16, FALSE) / VLOOKUP("industry|NOx|Minor restricted activity days", US_national_yearly!$D:$AM, 10, FALSE), 1)</f>
        <v>2.409507784020273E-2</v>
      </c>
      <c r="I14" s="7">
        <f>$B14 * IFERROR(VLOOKUP("industry|NOx|Minor restricted activity days", US_national_yearly!$D:$AM, 17, FALSE) / VLOOKUP("industry|NOx|Minor restricted activity days", US_national_yearly!$D:$AM, 10, FALSE), 1)</f>
        <v>2.4221580312874448E-2</v>
      </c>
      <c r="J14" s="7">
        <f>$B14 * IFERROR(VLOOKUP("industry|NOx|Minor restricted activity days", US_national_yearly!$D:$AM, 18, FALSE) / VLOOKUP("industry|NOx|Minor restricted activity days", US_national_yearly!$D:$AM, 10, FALSE), 1)</f>
        <v>2.4348082785546163E-2</v>
      </c>
      <c r="K14" s="7">
        <f>$B14 * IFERROR(VLOOKUP("industry|NOx|Minor restricted activity days", US_national_yearly!$D:$AM, 19, FALSE) / VLOOKUP("industry|NOx|Minor restricted activity days", US_national_yearly!$D:$AM, 10, FALSE), 1)</f>
        <v>2.4474585258217871E-2</v>
      </c>
      <c r="L14" s="7">
        <f>$B14 * IFERROR(VLOOKUP("industry|NOx|Minor restricted activity days", US_national_yearly!$D:$AM, 20, FALSE) / VLOOKUP("industry|NOx|Minor restricted activity days", US_national_yearly!$D:$AM, 10, FALSE), 1)</f>
        <v>2.4601087730889589E-2</v>
      </c>
      <c r="M14" s="7">
        <f>$B14 * IFERROR(VLOOKUP("industry|NOx|Minor restricted activity days", US_national_yearly!$D:$AM, 21, FALSE) / VLOOKUP("industry|NOx|Minor restricted activity days", US_national_yearly!$D:$AM, 10, FALSE), 1)</f>
        <v>2.4727590203561304E-2</v>
      </c>
      <c r="N14" s="7">
        <f>$B14 * IFERROR(VLOOKUP("industry|NOx|Minor restricted activity days", US_national_yearly!$D:$AM, 22, FALSE) / VLOOKUP("industry|NOx|Minor restricted activity days", US_national_yearly!$D:$AM, 10, FALSE), 1)</f>
        <v>2.490976222116021E-2</v>
      </c>
      <c r="O14" s="7">
        <f>$B14 * IFERROR(VLOOKUP("industry|NOx|Minor restricted activity days", US_national_yearly!$D:$AM, 23, FALSE) / VLOOKUP("industry|NOx|Minor restricted activity days", US_national_yearly!$D:$AM, 10, FALSE), 1)</f>
        <v>2.5091934238759123E-2</v>
      </c>
      <c r="P14" s="7">
        <f>$B14 * IFERROR(VLOOKUP("industry|NOx|Minor restricted activity days", US_national_yearly!$D:$AM, 24, FALSE) / VLOOKUP("industry|NOx|Minor restricted activity days", US_national_yearly!$D:$AM, 10, FALSE), 1)</f>
        <v>2.5274106256358033E-2</v>
      </c>
      <c r="Q14" s="7">
        <f>$B14 * IFERROR(VLOOKUP("industry|NOx|Minor restricted activity days", US_national_yearly!$D:$AM, 25, FALSE) / VLOOKUP("industry|NOx|Minor restricted activity days", US_national_yearly!$D:$AM, 10, FALSE), 1)</f>
        <v>2.5456278273956939E-2</v>
      </c>
      <c r="R14" s="7">
        <f>$B14 * IFERROR(VLOOKUP("industry|NOx|Minor restricted activity days", US_national_yearly!$D:$AM, 26, FALSE) / VLOOKUP("industry|NOx|Minor restricted activity days", US_national_yearly!$D:$AM, 10, FALSE), 1)</f>
        <v>2.5638450291555853E-2</v>
      </c>
      <c r="S14" s="7">
        <f>$B14 * IFERROR(VLOOKUP("industry|NOx|Minor restricted activity days", US_national_yearly!$D:$AM, 27, FALSE) / VLOOKUP("industry|NOx|Minor restricted activity days", US_national_yearly!$D:$AM, 10, FALSE), 1)</f>
        <v>2.5820817348678665E-2</v>
      </c>
      <c r="T14" s="7">
        <f>$B14 * IFERROR(VLOOKUP("industry|NOx|Minor restricted activity days", US_national_yearly!$D:$AM, 28, FALSE) / VLOOKUP("industry|NOx|Minor restricted activity days", US_national_yearly!$D:$AM, 10, FALSE), 1)</f>
        <v>2.6003184405801481E-2</v>
      </c>
      <c r="U14" s="7">
        <f>$B14 * IFERROR(VLOOKUP("industry|NOx|Minor restricted activity days", US_national_yearly!$D:$AM, 29, FALSE) / VLOOKUP("industry|NOx|Minor restricted activity days", US_national_yearly!$D:$AM, 10, FALSE), 1)</f>
        <v>2.6185551462924297E-2</v>
      </c>
      <c r="V14" s="7">
        <f>$B14 * IFERROR(VLOOKUP("industry|NOx|Minor restricted activity days", US_national_yearly!$D:$AM, 30, FALSE) / VLOOKUP("industry|NOx|Minor restricted activity days", US_national_yearly!$D:$AM, 10, FALSE), 1)</f>
        <v>2.6367918520047117E-2</v>
      </c>
      <c r="W14" s="7">
        <f>$B14 * IFERROR(VLOOKUP("industry|NOx|Minor restricted activity days", US_national_yearly!$D:$AM, 31, FALSE) / VLOOKUP("industry|NOx|Minor restricted activity days", US_national_yearly!$D:$AM, 10, FALSE), 1)</f>
        <v>2.6550285577169933E-2</v>
      </c>
      <c r="X14" s="7">
        <f>$B14 * IFERROR(VLOOKUP("industry|NOx|Minor restricted activity days", US_national_yearly!$D:$AM, 32, FALSE) / VLOOKUP("industry|NOx|Minor restricted activity days", US_national_yearly!$D:$AM, 10, FALSE), 1)</f>
        <v>2.6704255421942016E-2</v>
      </c>
      <c r="Y14" s="7">
        <f>$B14 * IFERROR(VLOOKUP("industry|NOx|Minor restricted activity days", US_national_yearly!$D:$AM, 33, FALSE) / VLOOKUP("industry|NOx|Minor restricted activity days", US_national_yearly!$D:$AM, 10, FALSE), 1)</f>
        <v>2.6858225266714091E-2</v>
      </c>
      <c r="Z14" s="7">
        <f>$B14 * IFERROR(VLOOKUP("industry|NOx|Minor restricted activity days", US_national_yearly!$D:$AM, 34, FALSE) / VLOOKUP("industry|NOx|Minor restricted activity days", US_national_yearly!$D:$AM, 10, FALSE), 1)</f>
        <v>2.7012195111486163E-2</v>
      </c>
      <c r="AA14" s="7">
        <f>$B14 * IFERROR(VLOOKUP("industry|NOx|Minor restricted activity days", US_national_yearly!$D:$AM, 35, FALSE) / VLOOKUP("industry|NOx|Minor restricted activity days", US_national_yearly!$D:$AM, 10, FALSE), 1)</f>
        <v>2.7166164956258246E-2</v>
      </c>
      <c r="AB14" s="7">
        <f>$B14 * IFERROR(VLOOKUP("industry|NOx|Minor restricted activity days", US_national_yearly!$D:$AM, 36, FALSE) / VLOOKUP("industry|NOx|Minor restricted activity days", US_national_yearly!$D:$AM, 10, FALSE), 1)</f>
        <v>2.7320134801030325E-2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3.9864244560940147E-3</v>
      </c>
      <c r="C15" s="7">
        <f>$B15 * IFERROR(VLOOKUP("industry|NOx|Work loss days", US_national_yearly!$D:$AM, 11, FALSE) / VLOOKUP("industry|NOx|Work loss days", US_national_yearly!$D:$AM, 10, FALSE), 1)</f>
        <v>3.9950617497985031E-3</v>
      </c>
      <c r="D15" s="7">
        <f>$B15 * IFERROR(VLOOKUP("industry|NOx|Work loss days", US_national_yearly!$D:$AM, 12, FALSE) / VLOOKUP("industry|NOx|Work loss days", US_national_yearly!$D:$AM, 10, FALSE), 1)</f>
        <v>4.0036990435029897E-3</v>
      </c>
      <c r="E15" s="7">
        <f>$B15 * IFERROR(VLOOKUP("industry|NOx|Work loss days", US_national_yearly!$D:$AM, 13, FALSE) / VLOOKUP("industry|NOx|Work loss days", US_national_yearly!$D:$AM, 10, FALSE), 1)</f>
        <v>4.0123363372074781E-3</v>
      </c>
      <c r="F15" s="7">
        <f>$B15 * IFERROR(VLOOKUP("industry|NOx|Work loss days", US_national_yearly!$D:$AM, 14, FALSE) / VLOOKUP("industry|NOx|Work loss days", US_national_yearly!$D:$AM, 10, FALSE), 1)</f>
        <v>4.0209736309119648E-3</v>
      </c>
      <c r="G15" s="7">
        <f>$B15 * IFERROR(VLOOKUP("industry|NOx|Work loss days", US_national_yearly!$D:$AM, 15, FALSE) / VLOOKUP("industry|NOx|Work loss days", US_national_yearly!$D:$AM, 10, FALSE), 1)</f>
        <v>4.0336078253053595E-3</v>
      </c>
      <c r="H15" s="7">
        <f>$B15 * IFERROR(VLOOKUP("industry|NOx|Work loss days", US_national_yearly!$D:$AM, 16, FALSE) / VLOOKUP("industry|NOx|Work loss days", US_national_yearly!$D:$AM, 10, FALSE), 1)</f>
        <v>4.0462420196987533E-3</v>
      </c>
      <c r="I15" s="7">
        <f>$B15 * IFERROR(VLOOKUP("industry|NOx|Work loss days", US_national_yearly!$D:$AM, 17, FALSE) / VLOOKUP("industry|NOx|Work loss days", US_national_yearly!$D:$AM, 10, FALSE), 1)</f>
        <v>4.0667693821298699E-3</v>
      </c>
      <c r="J15" s="7">
        <f>$B15 * IFERROR(VLOOKUP("industry|NOx|Work loss days", US_national_yearly!$D:$AM, 18, FALSE) / VLOOKUP("industry|NOx|Work loss days", US_national_yearly!$D:$AM, 10, FALSE), 1)</f>
        <v>4.0872967445609856E-3</v>
      </c>
      <c r="K15" s="7">
        <f>$B15 * IFERROR(VLOOKUP("industry|NOx|Work loss days", US_national_yearly!$D:$AM, 19, FALSE) / VLOOKUP("industry|NOx|Work loss days", US_national_yearly!$D:$AM, 10, FALSE), 1)</f>
        <v>4.1078241069921022E-3</v>
      </c>
      <c r="L15" s="7">
        <f>$B15 * IFERROR(VLOOKUP("industry|NOx|Work loss days", US_national_yearly!$D:$AM, 20, FALSE) / VLOOKUP("industry|NOx|Work loss days", US_national_yearly!$D:$AM, 10, FALSE), 1)</f>
        <v>4.128351469423217E-3</v>
      </c>
      <c r="M15" s="7">
        <f>$B15 * IFERROR(VLOOKUP("industry|NOx|Work loss days", US_national_yearly!$D:$AM, 21, FALSE) / VLOOKUP("industry|NOx|Work loss days", US_national_yearly!$D:$AM, 10, FALSE), 1)</f>
        <v>4.1488788318543336E-3</v>
      </c>
      <c r="N15" s="7">
        <f>$B15 * IFERROR(VLOOKUP("industry|NOx|Work loss days", US_national_yearly!$D:$AM, 22, FALSE) / VLOOKUP("industry|NOx|Work loss days", US_national_yearly!$D:$AM, 10, FALSE), 1)</f>
        <v>4.1757239667855502E-3</v>
      </c>
      <c r="O15" s="7">
        <f>$B15 * IFERROR(VLOOKUP("industry|NOx|Work loss days", US_national_yearly!$D:$AM, 23, FALSE) / VLOOKUP("industry|NOx|Work loss days", US_national_yearly!$D:$AM, 10, FALSE), 1)</f>
        <v>4.2025691017167676E-3</v>
      </c>
      <c r="P15" s="7">
        <f>$B15 * IFERROR(VLOOKUP("industry|NOx|Work loss days", US_national_yearly!$D:$AM, 24, FALSE) / VLOOKUP("industry|NOx|Work loss days", US_national_yearly!$D:$AM, 10, FALSE), 1)</f>
        <v>4.2294142366479841E-3</v>
      </c>
      <c r="Q15" s="7">
        <f>$B15 * IFERROR(VLOOKUP("industry|NOx|Work loss days", US_national_yearly!$D:$AM, 25, FALSE) / VLOOKUP("industry|NOx|Work loss days", US_national_yearly!$D:$AM, 10, FALSE), 1)</f>
        <v>4.2562593715791998E-3</v>
      </c>
      <c r="R15" s="7">
        <f>$B15 * IFERROR(VLOOKUP("industry|NOx|Work loss days", US_national_yearly!$D:$AM, 26, FALSE) / VLOOKUP("industry|NOx|Work loss days", US_national_yearly!$D:$AM, 10, FALSE), 1)</f>
        <v>4.2831045065104172E-3</v>
      </c>
      <c r="S15" s="7">
        <f>$B15 * IFERROR(VLOOKUP("industry|NOx|Work loss days", US_national_yearly!$D:$AM, 27, FALSE) / VLOOKUP("industry|NOx|Work loss days", US_national_yearly!$D:$AM, 10, FALSE), 1)</f>
        <v>4.3131157413024788E-3</v>
      </c>
      <c r="T15" s="7">
        <f>$B15 * IFERROR(VLOOKUP("industry|NOx|Work loss days", US_national_yearly!$D:$AM, 28, FALSE) / VLOOKUP("industry|NOx|Work loss days", US_national_yearly!$D:$AM, 10, FALSE), 1)</f>
        <v>4.3431269760945404E-3</v>
      </c>
      <c r="U15" s="7">
        <f>$B15 * IFERROR(VLOOKUP("industry|NOx|Work loss days", US_national_yearly!$D:$AM, 29, FALSE) / VLOOKUP("industry|NOx|Work loss days", US_national_yearly!$D:$AM, 10, FALSE), 1)</f>
        <v>4.3731382108866028E-3</v>
      </c>
      <c r="V15" s="7">
        <f>$B15 * IFERROR(VLOOKUP("industry|NOx|Work loss days", US_national_yearly!$D:$AM, 30, FALSE) / VLOOKUP("industry|NOx|Work loss days", US_national_yearly!$D:$AM, 10, FALSE), 1)</f>
        <v>4.4031494456786635E-3</v>
      </c>
      <c r="W15" s="7">
        <f>$B15 * IFERROR(VLOOKUP("industry|NOx|Work loss days", US_national_yearly!$D:$AM, 31, FALSE) / VLOOKUP("industry|NOx|Work loss days", US_national_yearly!$D:$AM, 10, FALSE), 1)</f>
        <v>4.433160680470726E-3</v>
      </c>
      <c r="X15" s="7">
        <f>$B15 * IFERROR(VLOOKUP("industry|NOx|Work loss days", US_national_yearly!$D:$AM, 32, FALSE) / VLOOKUP("industry|NOx|Work loss days", US_national_yearly!$D:$AM, 10, FALSE), 1)</f>
        <v>4.4591964732945463E-3</v>
      </c>
      <c r="Y15" s="7">
        <f>$B15 * IFERROR(VLOOKUP("industry|NOx|Work loss days", US_national_yearly!$D:$AM, 33, FALSE) / VLOOKUP("industry|NOx|Work loss days", US_national_yearly!$D:$AM, 10, FALSE), 1)</f>
        <v>4.4852322661183665E-3</v>
      </c>
      <c r="Z15" s="7">
        <f>$B15 * IFERROR(VLOOKUP("industry|NOx|Work loss days", US_national_yearly!$D:$AM, 34, FALSE) / VLOOKUP("industry|NOx|Work loss days", US_national_yearly!$D:$AM, 10, FALSE), 1)</f>
        <v>4.5112680589421868E-3</v>
      </c>
      <c r="AA15" s="7">
        <f>$B15 * IFERROR(VLOOKUP("industry|NOx|Work loss days", US_national_yearly!$D:$AM, 35, FALSE) / VLOOKUP("industry|NOx|Work loss days", US_national_yearly!$D:$AM, 10, FALSE), 1)</f>
        <v>4.537303851766007E-3</v>
      </c>
      <c r="AB15" s="7">
        <f>$B15 * IFERROR(VLOOKUP("industry|NOx|Work loss days", US_national_yearly!$D:$AM, 36, FALSE) / VLOOKUP("industry|NOx|Work loss days", US_national_yearly!$D:$AM, 10, FALSE), 1)</f>
        <v>4.5633396445898273E-3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8.7202810796793067E-6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8.9763318253884913E-6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9.2323825710976742E-6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9.4884333168068588E-6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9.7444840625160434E-6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9.9878408746672571E-6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1.0231197686818471E-5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1.0436365088055441E-5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1.0641532489292409E-5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1.0846699890529376E-5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1.1051867291766346E-5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1.1257034693003313E-5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1.1385477928961479E-5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1.1513921164919638E-5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1.1642364400877801E-5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1.1770807636835963E-5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1.1899250872794124E-5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1.1958504263709073E-5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1.2017757654624024E-5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1.2077011045538973E-5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1.2136264436453924E-5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1.2195517827368873E-5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1.2228995579129168E-5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1.2262473330889463E-5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1.2295951082649758E-5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1.232942883441005E-5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1.2362906586170347E-5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4.10427673892781E-3</v>
      </c>
      <c r="C2" s="7">
        <f>$B2 * IFERROR(VLOOKUP("industry|SO2|Premature mortality", US_national_yearly!$D:$AM, 11, FALSE) / VLOOKUP("industry|SO2|Premature mortality", US_national_yearly!$D:$AM, 10, FALSE), 1)</f>
        <v>4.1563062557847252E-3</v>
      </c>
      <c r="D2" s="7">
        <f>$B2 * IFERROR(VLOOKUP("industry|SO2|Premature mortality", US_national_yearly!$D:$AM, 12, FALSE) / VLOOKUP("industry|SO2|Premature mortality", US_national_yearly!$D:$AM, 10, FALSE), 1)</f>
        <v>4.2083357726416405E-3</v>
      </c>
      <c r="E2" s="7">
        <f>$B2 * IFERROR(VLOOKUP("industry|SO2|Premature mortality", US_national_yearly!$D:$AM, 13, FALSE) / VLOOKUP("industry|SO2|Premature mortality", US_national_yearly!$D:$AM, 10, FALSE), 1)</f>
        <v>4.2603652894985548E-3</v>
      </c>
      <c r="F2" s="7">
        <f>$B2 * IFERROR(VLOOKUP("industry|SO2|Premature mortality", US_national_yearly!$D:$AM, 14, FALSE) / VLOOKUP("industry|SO2|Premature mortality", US_national_yearly!$D:$AM, 10, FALSE), 1)</f>
        <v>4.31239480635547E-3</v>
      </c>
      <c r="G2" s="7">
        <f>$B2 * IFERROR(VLOOKUP("industry|SO2|Premature mortality", US_national_yearly!$D:$AM, 15, FALSE) / VLOOKUP("industry|SO2|Premature mortality", US_national_yearly!$D:$AM, 10, FALSE), 1)</f>
        <v>4.4126798070323776E-3</v>
      </c>
      <c r="H2" s="7">
        <f>$B2 * IFERROR(VLOOKUP("industry|SO2|Premature mortality", US_national_yearly!$D:$AM, 16, FALSE) / VLOOKUP("industry|SO2|Premature mortality", US_national_yearly!$D:$AM, 10, FALSE), 1)</f>
        <v>4.5129648077092853E-3</v>
      </c>
      <c r="I2" s="7">
        <f>$B2 * IFERROR(VLOOKUP("industry|SO2|Premature mortality", US_national_yearly!$D:$AM, 17, FALSE) / VLOOKUP("industry|SO2|Premature mortality", US_national_yearly!$D:$AM, 10, FALSE), 1)</f>
        <v>4.5793705999204442E-3</v>
      </c>
      <c r="J2" s="7">
        <f>$B2 * IFERROR(VLOOKUP("industry|SO2|Premature mortality", US_national_yearly!$D:$AM, 18, FALSE) / VLOOKUP("industry|SO2|Premature mortality", US_national_yearly!$D:$AM, 10, FALSE), 1)</f>
        <v>4.6457763921316031E-3</v>
      </c>
      <c r="K2" s="7">
        <f>$B2 * IFERROR(VLOOKUP("industry|SO2|Premature mortality", US_national_yearly!$D:$AM, 19, FALSE) / VLOOKUP("industry|SO2|Premature mortality", US_national_yearly!$D:$AM, 10, FALSE), 1)</f>
        <v>4.7121821843427621E-3</v>
      </c>
      <c r="L2" s="7">
        <f>$B2 * IFERROR(VLOOKUP("industry|SO2|Premature mortality", US_national_yearly!$D:$AM, 20, FALSE) / VLOOKUP("industry|SO2|Premature mortality", US_national_yearly!$D:$AM, 10, FALSE), 1)</f>
        <v>4.778587976553921E-3</v>
      </c>
      <c r="M2" s="7">
        <f>$B2 * IFERROR(VLOOKUP("industry|SO2|Premature mortality", US_national_yearly!$D:$AM, 21, FALSE) / VLOOKUP("industry|SO2|Premature mortality", US_national_yearly!$D:$AM, 10, FALSE), 1)</f>
        <v>4.8449937687650799E-3</v>
      </c>
      <c r="N2" s="7">
        <f>$B2 * IFERROR(VLOOKUP("industry|SO2|Premature mortality", US_national_yearly!$D:$AM, 22, FALSE) / VLOOKUP("industry|SO2|Premature mortality", US_national_yearly!$D:$AM, 10, FALSE), 1)</f>
        <v>4.8969388870057657E-3</v>
      </c>
      <c r="O2" s="7">
        <f>$B2 * IFERROR(VLOOKUP("industry|SO2|Premature mortality", US_national_yearly!$D:$AM, 23, FALSE) / VLOOKUP("industry|SO2|Premature mortality", US_national_yearly!$D:$AM, 10, FALSE), 1)</f>
        <v>4.9488840052464515E-3</v>
      </c>
      <c r="P2" s="7">
        <f>$B2 * IFERROR(VLOOKUP("industry|SO2|Premature mortality", US_national_yearly!$D:$AM, 24, FALSE) / VLOOKUP("industry|SO2|Premature mortality", US_national_yearly!$D:$AM, 10, FALSE), 1)</f>
        <v>5.0008291234871372E-3</v>
      </c>
      <c r="Q2" s="7">
        <f>$B2 * IFERROR(VLOOKUP("industry|SO2|Premature mortality", US_national_yearly!$D:$AM, 25, FALSE) / VLOOKUP("industry|SO2|Premature mortality", US_national_yearly!$D:$AM, 10, FALSE), 1)</f>
        <v>5.052774241727823E-3</v>
      </c>
      <c r="R2" s="7">
        <f>$B2 * IFERROR(VLOOKUP("industry|SO2|Premature mortality", US_national_yearly!$D:$AM, 26, FALSE) / VLOOKUP("industry|SO2|Premature mortality", US_national_yearly!$D:$AM, 10, FALSE), 1)</f>
        <v>5.1047193599685096E-3</v>
      </c>
      <c r="S2" s="7">
        <f>$B2 * IFERROR(VLOOKUP("industry|SO2|Premature mortality", US_national_yearly!$D:$AM, 27, FALSE) / VLOOKUP("industry|SO2|Premature mortality", US_national_yearly!$D:$AM, 10, FALSE), 1)</f>
        <v>5.1327668621264002E-3</v>
      </c>
      <c r="T2" s="7">
        <f>$B2 * IFERROR(VLOOKUP("industry|SO2|Premature mortality", US_national_yearly!$D:$AM, 28, FALSE) / VLOOKUP("industry|SO2|Premature mortality", US_national_yearly!$D:$AM, 10, FALSE), 1)</f>
        <v>5.1608143642842916E-3</v>
      </c>
      <c r="U2" s="7">
        <f>$B2 * IFERROR(VLOOKUP("industry|SO2|Premature mortality", US_national_yearly!$D:$AM, 29, FALSE) / VLOOKUP("industry|SO2|Premature mortality", US_national_yearly!$D:$AM, 10, FALSE), 1)</f>
        <v>5.188861866442184E-3</v>
      </c>
      <c r="V2" s="7">
        <f>$B2 * IFERROR(VLOOKUP("industry|SO2|Premature mortality", US_national_yearly!$D:$AM, 30, FALSE) / VLOOKUP("industry|SO2|Premature mortality", US_national_yearly!$D:$AM, 10, FALSE), 1)</f>
        <v>5.2169093686000754E-3</v>
      </c>
      <c r="W2" s="7">
        <f>$B2 * IFERROR(VLOOKUP("industry|SO2|Premature mortality", US_national_yearly!$D:$AM, 31, FALSE) / VLOOKUP("industry|SO2|Premature mortality", US_national_yearly!$D:$AM, 10, FALSE), 1)</f>
        <v>5.2449568707579677E-3</v>
      </c>
      <c r="X2" s="7">
        <f>$B2 * IFERROR(VLOOKUP("industry|SO2|Premature mortality", US_national_yearly!$D:$AM, 32, FALSE) / VLOOKUP("industry|SO2|Premature mortality", US_national_yearly!$D:$AM, 10, FALSE), 1)</f>
        <v>5.250993549061219E-3</v>
      </c>
      <c r="Y2" s="7">
        <f>$B2 * IFERROR(VLOOKUP("industry|SO2|Premature mortality", US_national_yearly!$D:$AM, 33, FALSE) / VLOOKUP("industry|SO2|Premature mortality", US_national_yearly!$D:$AM, 10, FALSE), 1)</f>
        <v>5.2570302273644712E-3</v>
      </c>
      <c r="Z2" s="7">
        <f>$B2 * IFERROR(VLOOKUP("industry|SO2|Premature mortality", US_national_yearly!$D:$AM, 34, FALSE) / VLOOKUP("industry|SO2|Premature mortality", US_national_yearly!$D:$AM, 10, FALSE), 1)</f>
        <v>5.2630669056677242E-3</v>
      </c>
      <c r="AA2" s="7">
        <f>$B2 * IFERROR(VLOOKUP("industry|SO2|Premature mortality", US_national_yearly!$D:$AM, 35, FALSE) / VLOOKUP("industry|SO2|Premature mortality", US_national_yearly!$D:$AM, 10, FALSE), 1)</f>
        <v>5.2691035839709764E-3</v>
      </c>
      <c r="AB2" s="7">
        <f>$B2 * IFERROR(VLOOKUP("industry|SO2|Premature mortality", US_national_yearly!$D:$AM, 36, FALSE) / VLOOKUP("industry|SO2|Premature mortality", US_national_yearly!$D:$AM, 10, FALSE), 1)</f>
        <v>5.2751402622742277E-3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6.8028452186826093E-6</v>
      </c>
      <c r="C3" s="7">
        <f>$B3 * IFERROR(VLOOKUP("industry|SO2|Infant mortality", US_national_yearly!$D:$AM, 11, FALSE) / VLOOKUP("industry|SO2|Infant mortality", US_national_yearly!$D:$AM, 10, FALSE), 1)</f>
        <v>6.744319816652903E-6</v>
      </c>
      <c r="D3" s="7">
        <f>$B3 * IFERROR(VLOOKUP("industry|SO2|Infant mortality", US_national_yearly!$D:$AM, 12, FALSE) / VLOOKUP("industry|SO2|Infant mortality", US_national_yearly!$D:$AM, 10, FALSE), 1)</f>
        <v>6.6857944146231976E-6</v>
      </c>
      <c r="E3" s="7">
        <f>$B3 * IFERROR(VLOOKUP("industry|SO2|Infant mortality", US_national_yearly!$D:$AM, 13, FALSE) / VLOOKUP("industry|SO2|Infant mortality", US_national_yearly!$D:$AM, 10, FALSE), 1)</f>
        <v>6.6272690125934913E-6</v>
      </c>
      <c r="F3" s="7">
        <f>$B3 * IFERROR(VLOOKUP("industry|SO2|Infant mortality", US_national_yearly!$D:$AM, 14, FALSE) / VLOOKUP("industry|SO2|Infant mortality", US_national_yearly!$D:$AM, 10, FALSE), 1)</f>
        <v>6.5687436105637859E-6</v>
      </c>
      <c r="G3" s="7">
        <f>$B3 * IFERROR(VLOOKUP("industry|SO2|Infant mortality", US_national_yearly!$D:$AM, 15, FALSE) / VLOOKUP("industry|SO2|Infant mortality", US_national_yearly!$D:$AM, 10, FALSE), 1)</f>
        <v>4.3728017586060204E-6</v>
      </c>
      <c r="H3" s="7">
        <f>$B3 * IFERROR(VLOOKUP("industry|SO2|Infant mortality", US_national_yearly!$D:$AM, 16, FALSE) / VLOOKUP("industry|SO2|Infant mortality", US_national_yearly!$D:$AM, 10, FALSE), 1)</f>
        <v>2.1768599066482554E-6</v>
      </c>
      <c r="I3" s="7">
        <f>$B3 * IFERROR(VLOOKUP("industry|SO2|Infant mortality", US_national_yearly!$D:$AM, 17, FALSE) / VLOOKUP("industry|SO2|Infant mortality", US_national_yearly!$D:$AM, 10, FALSE), 1)</f>
        <v>2.1630370319070144E-6</v>
      </c>
      <c r="J3" s="7">
        <f>$B3 * IFERROR(VLOOKUP("industry|SO2|Infant mortality", US_national_yearly!$D:$AM, 18, FALSE) / VLOOKUP("industry|SO2|Infant mortality", US_national_yearly!$D:$AM, 10, FALSE), 1)</f>
        <v>2.1492141571657734E-6</v>
      </c>
      <c r="K3" s="7">
        <f>$B3 * IFERROR(VLOOKUP("industry|SO2|Infant mortality", US_national_yearly!$D:$AM, 19, FALSE) / VLOOKUP("industry|SO2|Infant mortality", US_national_yearly!$D:$AM, 10, FALSE), 1)</f>
        <v>2.1353912824245323E-6</v>
      </c>
      <c r="L3" s="7">
        <f>$B3 * IFERROR(VLOOKUP("industry|SO2|Infant mortality", US_national_yearly!$D:$AM, 20, FALSE) / VLOOKUP("industry|SO2|Infant mortality", US_national_yearly!$D:$AM, 10, FALSE), 1)</f>
        <v>2.1215684076832917E-6</v>
      </c>
      <c r="M3" s="7">
        <f>$B3 * IFERROR(VLOOKUP("industry|SO2|Infant mortality", US_national_yearly!$D:$AM, 21, FALSE) / VLOOKUP("industry|SO2|Infant mortality", US_national_yearly!$D:$AM, 10, FALSE), 1)</f>
        <v>2.1077455329420507E-6</v>
      </c>
      <c r="N3" s="7">
        <f>$B3 * IFERROR(VLOOKUP("industry|SO2|Infant mortality", US_national_yearly!$D:$AM, 22, FALSE) / VLOOKUP("industry|SO2|Infant mortality", US_national_yearly!$D:$AM, 10, FALSE), 1)</f>
        <v>2.0989845299919101E-6</v>
      </c>
      <c r="O3" s="7">
        <f>$B3 * IFERROR(VLOOKUP("industry|SO2|Infant mortality", US_national_yearly!$D:$AM, 23, FALSE) / VLOOKUP("industry|SO2|Infant mortality", US_national_yearly!$D:$AM, 10, FALSE), 1)</f>
        <v>2.0902235270417691E-6</v>
      </c>
      <c r="P3" s="7">
        <f>$B3 * IFERROR(VLOOKUP("industry|SO2|Infant mortality", US_national_yearly!$D:$AM, 24, FALSE) / VLOOKUP("industry|SO2|Infant mortality", US_national_yearly!$D:$AM, 10, FALSE), 1)</f>
        <v>2.0814625240916285E-6</v>
      </c>
      <c r="Q3" s="7">
        <f>$B3 * IFERROR(VLOOKUP("industry|SO2|Infant mortality", US_national_yearly!$D:$AM, 25, FALSE) / VLOOKUP("industry|SO2|Infant mortality", US_national_yearly!$D:$AM, 10, FALSE), 1)</f>
        <v>2.0727015211414875E-6</v>
      </c>
      <c r="R3" s="7">
        <f>$B3 * IFERROR(VLOOKUP("industry|SO2|Infant mortality", US_national_yearly!$D:$AM, 26, FALSE) / VLOOKUP("industry|SO2|Infant mortality", US_national_yearly!$D:$AM, 10, FALSE), 1)</f>
        <v>2.0639405181913469E-6</v>
      </c>
      <c r="S3" s="7">
        <f>$B3 * IFERROR(VLOOKUP("industry|SO2|Infant mortality", US_national_yearly!$D:$AM, 27, FALSE) / VLOOKUP("industry|SO2|Infant mortality", US_national_yearly!$D:$AM, 10, FALSE), 1)</f>
        <v>2.0530375499626511E-6</v>
      </c>
      <c r="T3" s="7">
        <f>$B3 * IFERROR(VLOOKUP("industry|SO2|Infant mortality", US_national_yearly!$D:$AM, 28, FALSE) / VLOOKUP("industry|SO2|Infant mortality", US_national_yearly!$D:$AM, 10, FALSE), 1)</f>
        <v>2.0421345817339556E-6</v>
      </c>
      <c r="U3" s="7">
        <f>$B3 * IFERROR(VLOOKUP("industry|SO2|Infant mortality", US_national_yearly!$D:$AM, 29, FALSE) / VLOOKUP("industry|SO2|Infant mortality", US_national_yearly!$D:$AM, 10, FALSE), 1)</f>
        <v>2.0312316135052597E-6</v>
      </c>
      <c r="V3" s="7">
        <f>$B3 * IFERROR(VLOOKUP("industry|SO2|Infant mortality", US_national_yearly!$D:$AM, 30, FALSE) / VLOOKUP("industry|SO2|Infant mortality", US_national_yearly!$D:$AM, 10, FALSE), 1)</f>
        <v>2.0203286452765643E-6</v>
      </c>
      <c r="W3" s="7">
        <f>$B3 * IFERROR(VLOOKUP("industry|SO2|Infant mortality", US_national_yearly!$D:$AM, 31, FALSE) / VLOOKUP("industry|SO2|Infant mortality", US_national_yearly!$D:$AM, 10, FALSE), 1)</f>
        <v>2.0094256770478684E-6</v>
      </c>
      <c r="X3" s="7">
        <f>$B3 * IFERROR(VLOOKUP("industry|SO2|Infant mortality", US_national_yearly!$D:$AM, 32, FALSE) / VLOOKUP("industry|SO2|Infant mortality", US_national_yearly!$D:$AM, 10, FALSE), 1)</f>
        <v>1.9975774042589625E-6</v>
      </c>
      <c r="Y3" s="7">
        <f>$B3 * IFERROR(VLOOKUP("industry|SO2|Infant mortality", US_national_yearly!$D:$AM, 33, FALSE) / VLOOKUP("industry|SO2|Infant mortality", US_national_yearly!$D:$AM, 10, FALSE), 1)</f>
        <v>1.9857291314700565E-6</v>
      </c>
      <c r="Z3" s="7">
        <f>$B3 * IFERROR(VLOOKUP("industry|SO2|Infant mortality", US_national_yearly!$D:$AM, 34, FALSE) / VLOOKUP("industry|SO2|Infant mortality", US_national_yearly!$D:$AM, 10, FALSE), 1)</f>
        <v>1.9738808586811505E-6</v>
      </c>
      <c r="AA3" s="7">
        <f>$B3 * IFERROR(VLOOKUP("industry|SO2|Infant mortality", US_national_yearly!$D:$AM, 35, FALSE) / VLOOKUP("industry|SO2|Infant mortality", US_national_yearly!$D:$AM, 10, FALSE), 1)</f>
        <v>1.9620325858922446E-6</v>
      </c>
      <c r="AB3" s="7">
        <f>$B3 * IFERROR(VLOOKUP("industry|SO2|Infant mortality", US_national_yearly!$D:$AM, 36, FALSE) / VLOOKUP("industry|SO2|Infant mortality", US_national_yearly!$D:$AM, 10, FALSE), 1)</f>
        <v>1.9501843131033386E-6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6.9167947473611543E-3</v>
      </c>
      <c r="C6" s="7">
        <f>$B6 * IFERROR(VLOOKUP("industry|SO2|Asthma symptoms cough", US_national_yearly!$D:$AM, 11, FALSE) / VLOOKUP("industry|SO2|Asthma symptoms cough", US_national_yearly!$D:$AM, 10, FALSE), 1)</f>
        <v>6.9167947473611543E-3</v>
      </c>
      <c r="D6" s="7">
        <f>$B6 * IFERROR(VLOOKUP("industry|SO2|Asthma symptoms cough", US_national_yearly!$D:$AM, 12, FALSE) / VLOOKUP("industry|SO2|Asthma symptoms cough", US_national_yearly!$D:$AM, 10, FALSE), 1)</f>
        <v>6.9167947473611543E-3</v>
      </c>
      <c r="E6" s="7">
        <f>$B6 * IFERROR(VLOOKUP("industry|SO2|Asthma symptoms cough", US_national_yearly!$D:$AM, 13, FALSE) / VLOOKUP("industry|SO2|Asthma symptoms cough", US_national_yearly!$D:$AM, 10, FALSE), 1)</f>
        <v>6.9167947473611543E-3</v>
      </c>
      <c r="F6" s="7">
        <f>$B6 * IFERROR(VLOOKUP("industry|SO2|Asthma symptoms cough", US_national_yearly!$D:$AM, 14, FALSE) / VLOOKUP("industry|SO2|Asthma symptoms cough", US_national_yearly!$D:$AM, 10, FALSE), 1)</f>
        <v>6.9167947473611543E-3</v>
      </c>
      <c r="G6" s="7">
        <f>$B6 * IFERROR(VLOOKUP("industry|SO2|Asthma symptoms cough", US_national_yearly!$D:$AM, 15, FALSE) / VLOOKUP("industry|SO2|Asthma symptoms cough", US_national_yearly!$D:$AM, 10, FALSE), 1)</f>
        <v>6.9167947473611543E-3</v>
      </c>
      <c r="H6" s="7">
        <f>$B6 * IFERROR(VLOOKUP("industry|SO2|Asthma symptoms cough", US_national_yearly!$D:$AM, 16, FALSE) / VLOOKUP("industry|SO2|Asthma symptoms cough", US_national_yearly!$D:$AM, 10, FALSE), 1)</f>
        <v>6.9167947473611543E-3</v>
      </c>
      <c r="I6" s="7">
        <f>$B6 * IFERROR(VLOOKUP("industry|SO2|Asthma symptoms cough", US_national_yearly!$D:$AM, 17, FALSE) / VLOOKUP("industry|SO2|Asthma symptoms cough", US_national_yearly!$D:$AM, 10, FALSE), 1)</f>
        <v>6.9167947473611543E-3</v>
      </c>
      <c r="J6" s="7">
        <f>$B6 * IFERROR(VLOOKUP("industry|SO2|Asthma symptoms cough", US_national_yearly!$D:$AM, 18, FALSE) / VLOOKUP("industry|SO2|Asthma symptoms cough", US_national_yearly!$D:$AM, 10, FALSE), 1)</f>
        <v>6.9167947473611543E-3</v>
      </c>
      <c r="K6" s="7">
        <f>$B6 * IFERROR(VLOOKUP("industry|SO2|Asthma symptoms cough", US_national_yearly!$D:$AM, 19, FALSE) / VLOOKUP("industry|SO2|Asthma symptoms cough", US_national_yearly!$D:$AM, 10, FALSE), 1)</f>
        <v>6.9167947473611543E-3</v>
      </c>
      <c r="L6" s="7">
        <f>$B6 * IFERROR(VLOOKUP("industry|SO2|Asthma symptoms cough", US_national_yearly!$D:$AM, 20, FALSE) / VLOOKUP("industry|SO2|Asthma symptoms cough", US_national_yearly!$D:$AM, 10, FALSE), 1)</f>
        <v>6.9167947473611543E-3</v>
      </c>
      <c r="M6" s="7">
        <f>$B6 * IFERROR(VLOOKUP("industry|SO2|Asthma symptoms cough", US_national_yearly!$D:$AM, 21, FALSE) / VLOOKUP("industry|SO2|Asthma symptoms cough", US_national_yearly!$D:$AM, 10, FALSE), 1)</f>
        <v>6.9167947473611543E-3</v>
      </c>
      <c r="N6" s="7">
        <f>$B6 * IFERROR(VLOOKUP("industry|SO2|Asthma symptoms cough", US_national_yearly!$D:$AM, 22, FALSE) / VLOOKUP("industry|SO2|Asthma symptoms cough", US_national_yearly!$D:$AM, 10, FALSE), 1)</f>
        <v>6.9167947473611543E-3</v>
      </c>
      <c r="O6" s="7">
        <f>$B6 * IFERROR(VLOOKUP("industry|SO2|Asthma symptoms cough", US_national_yearly!$D:$AM, 23, FALSE) / VLOOKUP("industry|SO2|Asthma symptoms cough", US_national_yearly!$D:$AM, 10, FALSE), 1)</f>
        <v>6.9167947473611543E-3</v>
      </c>
      <c r="P6" s="7">
        <f>$B6 * IFERROR(VLOOKUP("industry|SO2|Asthma symptoms cough", US_national_yearly!$D:$AM, 24, FALSE) / VLOOKUP("industry|SO2|Asthma symptoms cough", US_national_yearly!$D:$AM, 10, FALSE), 1)</f>
        <v>6.9167947473611543E-3</v>
      </c>
      <c r="Q6" s="7">
        <f>$B6 * IFERROR(VLOOKUP("industry|SO2|Asthma symptoms cough", US_national_yearly!$D:$AM, 25, FALSE) / VLOOKUP("industry|SO2|Asthma symptoms cough", US_national_yearly!$D:$AM, 10, FALSE), 1)</f>
        <v>6.9167947473611543E-3</v>
      </c>
      <c r="R6" s="7">
        <f>$B6 * IFERROR(VLOOKUP("industry|SO2|Asthma symptoms cough", US_national_yearly!$D:$AM, 26, FALSE) / VLOOKUP("industry|SO2|Asthma symptoms cough", US_national_yearly!$D:$AM, 10, FALSE), 1)</f>
        <v>6.9167947473611543E-3</v>
      </c>
      <c r="S6" s="7">
        <f>$B6 * IFERROR(VLOOKUP("industry|SO2|Asthma symptoms cough", US_national_yearly!$D:$AM, 27, FALSE) / VLOOKUP("industry|SO2|Asthma symptoms cough", US_national_yearly!$D:$AM, 10, FALSE), 1)</f>
        <v>6.9167947473611543E-3</v>
      </c>
      <c r="T6" s="7">
        <f>$B6 * IFERROR(VLOOKUP("industry|SO2|Asthma symptoms cough", US_national_yearly!$D:$AM, 28, FALSE) / VLOOKUP("industry|SO2|Asthma symptoms cough", US_national_yearly!$D:$AM, 10, FALSE), 1)</f>
        <v>6.9167947473611543E-3</v>
      </c>
      <c r="U6" s="7">
        <f>$B6 * IFERROR(VLOOKUP("industry|SO2|Asthma symptoms cough", US_national_yearly!$D:$AM, 29, FALSE) / VLOOKUP("industry|SO2|Asthma symptoms cough", US_national_yearly!$D:$AM, 10, FALSE), 1)</f>
        <v>6.9167947473611543E-3</v>
      </c>
      <c r="V6" s="7">
        <f>$B6 * IFERROR(VLOOKUP("industry|SO2|Asthma symptoms cough", US_national_yearly!$D:$AM, 30, FALSE) / VLOOKUP("industry|SO2|Asthma symptoms cough", US_national_yearly!$D:$AM, 10, FALSE), 1)</f>
        <v>6.9167947473611543E-3</v>
      </c>
      <c r="W6" s="7">
        <f>$B6 * IFERROR(VLOOKUP("industry|SO2|Asthma symptoms cough", US_national_yearly!$D:$AM, 31, FALSE) / VLOOKUP("industry|SO2|Asthma symptoms cough", US_national_yearly!$D:$AM, 10, FALSE), 1)</f>
        <v>6.9167947473611543E-3</v>
      </c>
      <c r="X6" s="7">
        <f>$B6 * IFERROR(VLOOKUP("industry|SO2|Asthma symptoms cough", US_national_yearly!$D:$AM, 32, FALSE) / VLOOKUP("industry|SO2|Asthma symptoms cough", US_national_yearly!$D:$AM, 10, FALSE), 1)</f>
        <v>6.9167947473611543E-3</v>
      </c>
      <c r="Y6" s="7">
        <f>$B6 * IFERROR(VLOOKUP("industry|SO2|Asthma symptoms cough", US_national_yearly!$D:$AM, 33, FALSE) / VLOOKUP("industry|SO2|Asthma symptoms cough", US_national_yearly!$D:$AM, 10, FALSE), 1)</f>
        <v>6.9167947473611543E-3</v>
      </c>
      <c r="Z6" s="7">
        <f>$B6 * IFERROR(VLOOKUP("industry|SO2|Asthma symptoms cough", US_national_yearly!$D:$AM, 34, FALSE) / VLOOKUP("industry|SO2|Asthma symptoms cough", US_national_yearly!$D:$AM, 10, FALSE), 1)</f>
        <v>6.9167947473611543E-3</v>
      </c>
      <c r="AA6" s="7">
        <f>$B6 * IFERROR(VLOOKUP("industry|SO2|Asthma symptoms cough", US_national_yearly!$D:$AM, 35, FALSE) / VLOOKUP("industry|SO2|Asthma symptoms cough", US_national_yearly!$D:$AM, 10, FALSE), 1)</f>
        <v>6.9167947473611543E-3</v>
      </c>
      <c r="AB6" s="7">
        <f>$B6 * IFERROR(VLOOKUP("industry|SO2|Asthma symptoms cough", US_national_yearly!$D:$AM, 36, FALSE) / VLOOKUP("industry|SO2|Asthma symptoms cough", US_national_yearly!$D:$AM, 10, FALSE), 1)</f>
        <v>6.9167947473611543E-3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9.314276448194039E-3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9.314276448194039E-3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9.314276448194039E-3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9.314276448194039E-3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9.314276448194039E-3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9.314276448194039E-3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9.314276448194039E-3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9.314276448194039E-3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9.314276448194039E-3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9.314276448194039E-3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9.314276448194039E-3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9.314276448194039E-3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9.314276448194039E-3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9.314276448194039E-3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9.314276448194039E-3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9.314276448194039E-3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9.314276448194039E-3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9.314276448194039E-3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9.314276448194039E-3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9.314276448194039E-3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9.314276448194039E-3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9.314276448194039E-3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9.314276448194039E-3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9.314276448194039E-3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9.314276448194039E-3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9.314276448194039E-3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9.314276448194039E-3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1.4231318167840011E-2</v>
      </c>
      <c r="C8" s="7">
        <f>$B8 * IFERROR(VLOOKUP("industry|SO2|Asthma symptoms wheeze", US_national_yearly!$D:$AM, 11, FALSE) / VLOOKUP("industry|SO2|Asthma symptoms wheeze", US_national_yearly!$D:$AM, 10, FALSE), 1)</f>
        <v>1.4231318167840011E-2</v>
      </c>
      <c r="D8" s="7">
        <f>$B8 * IFERROR(VLOOKUP("industry|SO2|Asthma symptoms wheeze", US_national_yearly!$D:$AM, 12, FALSE) / VLOOKUP("industry|SO2|Asthma symptoms wheeze", US_national_yearly!$D:$AM, 10, FALSE), 1)</f>
        <v>1.4231318167840011E-2</v>
      </c>
      <c r="E8" s="7">
        <f>$B8 * IFERROR(VLOOKUP("industry|SO2|Asthma symptoms wheeze", US_national_yearly!$D:$AM, 13, FALSE) / VLOOKUP("industry|SO2|Asthma symptoms wheeze", US_national_yearly!$D:$AM, 10, FALSE), 1)</f>
        <v>1.4231318167840011E-2</v>
      </c>
      <c r="F8" s="7">
        <f>$B8 * IFERROR(VLOOKUP("industry|SO2|Asthma symptoms wheeze", US_national_yearly!$D:$AM, 14, FALSE) / VLOOKUP("industry|SO2|Asthma symptoms wheeze", US_national_yearly!$D:$AM, 10, FALSE), 1)</f>
        <v>1.4231318167840011E-2</v>
      </c>
      <c r="G8" s="7">
        <f>$B8 * IFERROR(VLOOKUP("industry|SO2|Asthma symptoms wheeze", US_national_yearly!$D:$AM, 15, FALSE) / VLOOKUP("industry|SO2|Asthma symptoms wheeze", US_national_yearly!$D:$AM, 10, FALSE), 1)</f>
        <v>1.4231318167840011E-2</v>
      </c>
      <c r="H8" s="7">
        <f>$B8 * IFERROR(VLOOKUP("industry|SO2|Asthma symptoms wheeze", US_national_yearly!$D:$AM, 16, FALSE) / VLOOKUP("industry|SO2|Asthma symptoms wheeze", US_national_yearly!$D:$AM, 10, FALSE), 1)</f>
        <v>1.4231318167840011E-2</v>
      </c>
      <c r="I8" s="7">
        <f>$B8 * IFERROR(VLOOKUP("industry|SO2|Asthma symptoms wheeze", US_national_yearly!$D:$AM, 17, FALSE) / VLOOKUP("industry|SO2|Asthma symptoms wheeze", US_national_yearly!$D:$AM, 10, FALSE), 1)</f>
        <v>1.4231318167840011E-2</v>
      </c>
      <c r="J8" s="7">
        <f>$B8 * IFERROR(VLOOKUP("industry|SO2|Asthma symptoms wheeze", US_national_yearly!$D:$AM, 18, FALSE) / VLOOKUP("industry|SO2|Asthma symptoms wheeze", US_national_yearly!$D:$AM, 10, FALSE), 1)</f>
        <v>1.4231318167840011E-2</v>
      </c>
      <c r="K8" s="7">
        <f>$B8 * IFERROR(VLOOKUP("industry|SO2|Asthma symptoms wheeze", US_national_yearly!$D:$AM, 19, FALSE) / VLOOKUP("industry|SO2|Asthma symptoms wheeze", US_national_yearly!$D:$AM, 10, FALSE), 1)</f>
        <v>1.4231318167840011E-2</v>
      </c>
      <c r="L8" s="7">
        <f>$B8 * IFERROR(VLOOKUP("industry|SO2|Asthma symptoms wheeze", US_national_yearly!$D:$AM, 20, FALSE) / VLOOKUP("industry|SO2|Asthma symptoms wheeze", US_national_yearly!$D:$AM, 10, FALSE), 1)</f>
        <v>1.4231318167840011E-2</v>
      </c>
      <c r="M8" s="7">
        <f>$B8 * IFERROR(VLOOKUP("industry|SO2|Asthma symptoms wheeze", US_national_yearly!$D:$AM, 21, FALSE) / VLOOKUP("industry|SO2|Asthma symptoms wheeze", US_national_yearly!$D:$AM, 10, FALSE), 1)</f>
        <v>1.4231318167840011E-2</v>
      </c>
      <c r="N8" s="7">
        <f>$B8 * IFERROR(VLOOKUP("industry|SO2|Asthma symptoms wheeze", US_national_yearly!$D:$AM, 22, FALSE) / VLOOKUP("industry|SO2|Asthma symptoms wheeze", US_national_yearly!$D:$AM, 10, FALSE), 1)</f>
        <v>1.4231318167840011E-2</v>
      </c>
      <c r="O8" s="7">
        <f>$B8 * IFERROR(VLOOKUP("industry|SO2|Asthma symptoms wheeze", US_national_yearly!$D:$AM, 23, FALSE) / VLOOKUP("industry|SO2|Asthma symptoms wheeze", US_national_yearly!$D:$AM, 10, FALSE), 1)</f>
        <v>1.4231318167840011E-2</v>
      </c>
      <c r="P8" s="7">
        <f>$B8 * IFERROR(VLOOKUP("industry|SO2|Asthma symptoms wheeze", US_national_yearly!$D:$AM, 24, FALSE) / VLOOKUP("industry|SO2|Asthma symptoms wheeze", US_national_yearly!$D:$AM, 10, FALSE), 1)</f>
        <v>1.4231318167840011E-2</v>
      </c>
      <c r="Q8" s="7">
        <f>$B8 * IFERROR(VLOOKUP("industry|SO2|Asthma symptoms wheeze", US_national_yearly!$D:$AM, 25, FALSE) / VLOOKUP("industry|SO2|Asthma symptoms wheeze", US_national_yearly!$D:$AM, 10, FALSE), 1)</f>
        <v>1.4231318167840011E-2</v>
      </c>
      <c r="R8" s="7">
        <f>$B8 * IFERROR(VLOOKUP("industry|SO2|Asthma symptoms wheeze", US_national_yearly!$D:$AM, 26, FALSE) / VLOOKUP("industry|SO2|Asthma symptoms wheeze", US_national_yearly!$D:$AM, 10, FALSE), 1)</f>
        <v>1.4231318167840011E-2</v>
      </c>
      <c r="S8" s="7">
        <f>$B8 * IFERROR(VLOOKUP("industry|SO2|Asthma symptoms wheeze", US_national_yearly!$D:$AM, 27, FALSE) / VLOOKUP("industry|SO2|Asthma symptoms wheeze", US_national_yearly!$D:$AM, 10, FALSE), 1)</f>
        <v>1.4231318167840011E-2</v>
      </c>
      <c r="T8" s="7">
        <f>$B8 * IFERROR(VLOOKUP("industry|SO2|Asthma symptoms wheeze", US_national_yearly!$D:$AM, 28, FALSE) / VLOOKUP("industry|SO2|Asthma symptoms wheeze", US_national_yearly!$D:$AM, 10, FALSE), 1)</f>
        <v>1.4231318167840011E-2</v>
      </c>
      <c r="U8" s="7">
        <f>$B8 * IFERROR(VLOOKUP("industry|SO2|Asthma symptoms wheeze", US_national_yearly!$D:$AM, 29, FALSE) / VLOOKUP("industry|SO2|Asthma symptoms wheeze", US_national_yearly!$D:$AM, 10, FALSE), 1)</f>
        <v>1.4231318167840011E-2</v>
      </c>
      <c r="V8" s="7">
        <f>$B8 * IFERROR(VLOOKUP("industry|SO2|Asthma symptoms wheeze", US_national_yearly!$D:$AM, 30, FALSE) / VLOOKUP("industry|SO2|Asthma symptoms wheeze", US_national_yearly!$D:$AM, 10, FALSE), 1)</f>
        <v>1.4231318167840011E-2</v>
      </c>
      <c r="W8" s="7">
        <f>$B8 * IFERROR(VLOOKUP("industry|SO2|Asthma symptoms wheeze", US_national_yearly!$D:$AM, 31, FALSE) / VLOOKUP("industry|SO2|Asthma symptoms wheeze", US_national_yearly!$D:$AM, 10, FALSE), 1)</f>
        <v>1.4231318167840011E-2</v>
      </c>
      <c r="X8" s="7">
        <f>$B8 * IFERROR(VLOOKUP("industry|SO2|Asthma symptoms wheeze", US_national_yearly!$D:$AM, 32, FALSE) / VLOOKUP("industry|SO2|Asthma symptoms wheeze", US_national_yearly!$D:$AM, 10, FALSE), 1)</f>
        <v>1.4231318167840011E-2</v>
      </c>
      <c r="Y8" s="7">
        <f>$B8 * IFERROR(VLOOKUP("industry|SO2|Asthma symptoms wheeze", US_national_yearly!$D:$AM, 33, FALSE) / VLOOKUP("industry|SO2|Asthma symptoms wheeze", US_national_yearly!$D:$AM, 10, FALSE), 1)</f>
        <v>1.4231318167840011E-2</v>
      </c>
      <c r="Z8" s="7">
        <f>$B8 * IFERROR(VLOOKUP("industry|SO2|Asthma symptoms wheeze", US_national_yearly!$D:$AM, 34, FALSE) / VLOOKUP("industry|SO2|Asthma symptoms wheeze", US_national_yearly!$D:$AM, 10, FALSE), 1)</f>
        <v>1.4231318167840011E-2</v>
      </c>
      <c r="AA8" s="7">
        <f>$B8 * IFERROR(VLOOKUP("industry|SO2|Asthma symptoms wheeze", US_national_yearly!$D:$AM, 35, FALSE) / VLOOKUP("industry|SO2|Asthma symptoms wheeze", US_national_yearly!$D:$AM, 10, FALSE), 1)</f>
        <v>1.4231318167840011E-2</v>
      </c>
      <c r="AB8" s="7">
        <f>$B8 * IFERROR(VLOOKUP("industry|SO2|Asthma symptoms wheeze", US_national_yearly!$D:$AM, 36, FALSE) / VLOOKUP("industry|SO2|Asthma symptoms wheeze", US_national_yearly!$D:$AM, 10, FALSE), 1)</f>
        <v>1.4231318167840011E-2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3.7684357308141861E-4</v>
      </c>
      <c r="C12" s="7">
        <f>$B12 * IFERROR(VLOOKUP("industry|SO2|Respiratory hospital admissions", US_national_yearly!$D:$AM, 11, FALSE) / VLOOKUP("industry|SO2|Respiratory hospital admissions", US_national_yearly!$D:$AM, 10, FALSE), 1)</f>
        <v>3.7905115700585606E-4</v>
      </c>
      <c r="D12" s="7">
        <f>$B12 * IFERROR(VLOOKUP("industry|SO2|Respiratory hospital admissions", US_national_yearly!$D:$AM, 12, FALSE) / VLOOKUP("industry|SO2|Respiratory hospital admissions", US_national_yearly!$D:$AM, 10, FALSE), 1)</f>
        <v>3.8125874093029351E-4</v>
      </c>
      <c r="E12" s="7">
        <f>$B12 * IFERROR(VLOOKUP("industry|SO2|Respiratory hospital admissions", US_national_yearly!$D:$AM, 13, FALSE) / VLOOKUP("industry|SO2|Respiratory hospital admissions", US_national_yearly!$D:$AM, 10, FALSE), 1)</f>
        <v>3.834663248547309E-4</v>
      </c>
      <c r="F12" s="7">
        <f>$B12 * IFERROR(VLOOKUP("industry|SO2|Respiratory hospital admissions", US_national_yearly!$D:$AM, 14, FALSE) / VLOOKUP("industry|SO2|Respiratory hospital admissions", US_national_yearly!$D:$AM, 10, FALSE), 1)</f>
        <v>3.8567390877916846E-4</v>
      </c>
      <c r="G12" s="7">
        <f>$B12 * IFERROR(VLOOKUP("industry|SO2|Respiratory hospital admissions", US_national_yearly!$D:$AM, 15, FALSE) / VLOOKUP("industry|SO2|Respiratory hospital admissions", US_national_yearly!$D:$AM, 10, FALSE), 1)</f>
        <v>3.8808060229665435E-4</v>
      </c>
      <c r="H12" s="7">
        <f>$B12 * IFERROR(VLOOKUP("industry|SO2|Respiratory hospital admissions", US_national_yearly!$D:$AM, 16, FALSE) / VLOOKUP("industry|SO2|Respiratory hospital admissions", US_national_yearly!$D:$AM, 10, FALSE), 1)</f>
        <v>3.9048729581414024E-4</v>
      </c>
      <c r="I12" s="7">
        <f>$B12 * IFERROR(VLOOKUP("industry|SO2|Respiratory hospital admissions", US_national_yearly!$D:$AM, 17, FALSE) / VLOOKUP("industry|SO2|Respiratory hospital admissions", US_national_yearly!$D:$AM, 10, FALSE), 1)</f>
        <v>3.9285106347654672E-4</v>
      </c>
      <c r="J12" s="7">
        <f>$B12 * IFERROR(VLOOKUP("industry|SO2|Respiratory hospital admissions", US_national_yearly!$D:$AM, 18, FALSE) / VLOOKUP("industry|SO2|Respiratory hospital admissions", US_national_yearly!$D:$AM, 10, FALSE), 1)</f>
        <v>3.9521483113895325E-4</v>
      </c>
      <c r="K12" s="7">
        <f>$B12 * IFERROR(VLOOKUP("industry|SO2|Respiratory hospital admissions", US_national_yearly!$D:$AM, 19, FALSE) / VLOOKUP("industry|SO2|Respiratory hospital admissions", US_national_yearly!$D:$AM, 10, FALSE), 1)</f>
        <v>3.9757859880135967E-4</v>
      </c>
      <c r="L12" s="7">
        <f>$B12 * IFERROR(VLOOKUP("industry|SO2|Respiratory hospital admissions", US_national_yearly!$D:$AM, 20, FALSE) / VLOOKUP("industry|SO2|Respiratory hospital admissions", US_national_yearly!$D:$AM, 10, FALSE), 1)</f>
        <v>3.9994236646376621E-4</v>
      </c>
      <c r="M12" s="7">
        <f>$B12 * IFERROR(VLOOKUP("industry|SO2|Respiratory hospital admissions", US_national_yearly!$D:$AM, 21, FALSE) / VLOOKUP("industry|SO2|Respiratory hospital admissions", US_national_yearly!$D:$AM, 10, FALSE), 1)</f>
        <v>4.0230613412617269E-4</v>
      </c>
      <c r="N12" s="7">
        <f>$B12 * IFERROR(VLOOKUP("industry|SO2|Respiratory hospital admissions", US_national_yearly!$D:$AM, 22, FALSE) / VLOOKUP("industry|SO2|Respiratory hospital admissions", US_national_yearly!$D:$AM, 10, FALSE), 1)</f>
        <v>4.0401658967702822E-4</v>
      </c>
      <c r="O12" s="7">
        <f>$B12 * IFERROR(VLOOKUP("industry|SO2|Respiratory hospital admissions", US_national_yearly!$D:$AM, 23, FALSE) / VLOOKUP("industry|SO2|Respiratory hospital admissions", US_national_yearly!$D:$AM, 10, FALSE), 1)</f>
        <v>4.0572704522788376E-4</v>
      </c>
      <c r="P12" s="7">
        <f>$B12 * IFERROR(VLOOKUP("industry|SO2|Respiratory hospital admissions", US_national_yearly!$D:$AM, 24, FALSE) / VLOOKUP("industry|SO2|Respiratory hospital admissions", US_national_yearly!$D:$AM, 10, FALSE), 1)</f>
        <v>4.0743750077873919E-4</v>
      </c>
      <c r="Q12" s="7">
        <f>$B12 * IFERROR(VLOOKUP("industry|SO2|Respiratory hospital admissions", US_national_yearly!$D:$AM, 25, FALSE) / VLOOKUP("industry|SO2|Respiratory hospital admissions", US_national_yearly!$D:$AM, 10, FALSE), 1)</f>
        <v>4.0914795632959473E-4</v>
      </c>
      <c r="R12" s="7">
        <f>$B12 * IFERROR(VLOOKUP("industry|SO2|Respiratory hospital admissions", US_national_yearly!$D:$AM, 26, FALSE) / VLOOKUP("industry|SO2|Respiratory hospital admissions", US_national_yearly!$D:$AM, 10, FALSE), 1)</f>
        <v>4.1085841188045016E-4</v>
      </c>
      <c r="S12" s="7">
        <f>$B12 * IFERROR(VLOOKUP("industry|SO2|Respiratory hospital admissions", US_national_yearly!$D:$AM, 27, FALSE) / VLOOKUP("industry|SO2|Respiratory hospital admissions", US_national_yearly!$D:$AM, 10, FALSE), 1)</f>
        <v>4.1248393842553628E-4</v>
      </c>
      <c r="T12" s="7">
        <f>$B12 * IFERROR(VLOOKUP("industry|SO2|Respiratory hospital admissions", US_national_yearly!$D:$AM, 28, FALSE) / VLOOKUP("industry|SO2|Respiratory hospital admissions", US_national_yearly!$D:$AM, 10, FALSE), 1)</f>
        <v>4.1410946497062235E-4</v>
      </c>
      <c r="U12" s="7">
        <f>$B12 * IFERROR(VLOOKUP("industry|SO2|Respiratory hospital admissions", US_national_yearly!$D:$AM, 29, FALSE) / VLOOKUP("industry|SO2|Respiratory hospital admissions", US_national_yearly!$D:$AM, 10, FALSE), 1)</f>
        <v>4.1573499151570836E-4</v>
      </c>
      <c r="V12" s="7">
        <f>$B12 * IFERROR(VLOOKUP("industry|SO2|Respiratory hospital admissions", US_national_yearly!$D:$AM, 30, FALSE) / VLOOKUP("industry|SO2|Respiratory hospital admissions", US_national_yearly!$D:$AM, 10, FALSE), 1)</f>
        <v>4.1736051806079449E-4</v>
      </c>
      <c r="W12" s="7">
        <f>$B12 * IFERROR(VLOOKUP("industry|SO2|Respiratory hospital admissions", US_national_yearly!$D:$AM, 31, FALSE) / VLOOKUP("industry|SO2|Respiratory hospital admissions", US_national_yearly!$D:$AM, 10, FALSE), 1)</f>
        <v>4.1898604460588056E-4</v>
      </c>
      <c r="X12" s="7">
        <f>$B12 * IFERROR(VLOOKUP("industry|SO2|Respiratory hospital admissions", US_national_yearly!$D:$AM, 32, FALSE) / VLOOKUP("industry|SO2|Respiratory hospital admissions", US_national_yearly!$D:$AM, 10, FALSE), 1)</f>
        <v>4.2052966903157092E-4</v>
      </c>
      <c r="Y12" s="7">
        <f>$B12 * IFERROR(VLOOKUP("industry|SO2|Respiratory hospital admissions", US_national_yearly!$D:$AM, 33, FALSE) / VLOOKUP("industry|SO2|Respiratory hospital admissions", US_national_yearly!$D:$AM, 10, FALSE), 1)</f>
        <v>4.2207329345726134E-4</v>
      </c>
      <c r="Z12" s="7">
        <f>$B12 * IFERROR(VLOOKUP("industry|SO2|Respiratory hospital admissions", US_national_yearly!$D:$AM, 34, FALSE) / VLOOKUP("industry|SO2|Respiratory hospital admissions", US_national_yearly!$D:$AM, 10, FALSE), 1)</f>
        <v>4.2361691788295175E-4</v>
      </c>
      <c r="AA12" s="7">
        <f>$B12 * IFERROR(VLOOKUP("industry|SO2|Respiratory hospital admissions", US_national_yearly!$D:$AM, 35, FALSE) / VLOOKUP("industry|SO2|Respiratory hospital admissions", US_national_yearly!$D:$AM, 10, FALSE), 1)</f>
        <v>4.2516054230864211E-4</v>
      </c>
      <c r="AB12" s="7">
        <f>$B12 * IFERROR(VLOOKUP("industry|SO2|Respiratory hospital admissions", US_national_yearly!$D:$AM, 36, FALSE) / VLOOKUP("industry|SO2|Respiratory hospital admissions", US_national_yearly!$D:$AM, 10, FALSE), 1)</f>
        <v>4.2670416673433253E-4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1.4580395611299229E-3</v>
      </c>
      <c r="C13" s="7">
        <f>$B13 * IFERROR(VLOOKUP("industry|SO2|Non-fatal heart attacks", US_national_yearly!$D:$AM, 11, FALSE) / VLOOKUP("industry|SO2|Non-fatal heart attacks", US_national_yearly!$D:$AM, 10, FALSE), 1)</f>
        <v>1.5008421350903242E-3</v>
      </c>
      <c r="D13" s="7">
        <f>$B13 * IFERROR(VLOOKUP("industry|SO2|Non-fatal heart attacks", US_national_yearly!$D:$AM, 12, FALSE) / VLOOKUP("industry|SO2|Non-fatal heart attacks", US_national_yearly!$D:$AM, 10, FALSE), 1)</f>
        <v>1.5436447090507253E-3</v>
      </c>
      <c r="E13" s="7">
        <f>$B13 * IFERROR(VLOOKUP("industry|SO2|Non-fatal heart attacks", US_national_yearly!$D:$AM, 13, FALSE) / VLOOKUP("industry|SO2|Non-fatal heart attacks", US_national_yearly!$D:$AM, 10, FALSE), 1)</f>
        <v>1.5864472830111264E-3</v>
      </c>
      <c r="F13" s="7">
        <f>$B13 * IFERROR(VLOOKUP("industry|SO2|Non-fatal heart attacks", US_national_yearly!$D:$AM, 14, FALSE) / VLOOKUP("industry|SO2|Non-fatal heart attacks", US_national_yearly!$D:$AM, 10, FALSE), 1)</f>
        <v>1.629249856971528E-3</v>
      </c>
      <c r="G13" s="7">
        <f>$B13 * IFERROR(VLOOKUP("industry|SO2|Non-fatal heart attacks", US_national_yearly!$D:$AM, 15, FALSE) / VLOOKUP("industry|SO2|Non-fatal heart attacks", US_national_yearly!$D:$AM, 10, FALSE), 1)</f>
        <v>1.6696434961583091E-3</v>
      </c>
      <c r="H13" s="7">
        <f>$B13 * IFERROR(VLOOKUP("industry|SO2|Non-fatal heart attacks", US_national_yearly!$D:$AM, 16, FALSE) / VLOOKUP("industry|SO2|Non-fatal heart attacks", US_national_yearly!$D:$AM, 10, FALSE), 1)</f>
        <v>1.7100371353450908E-3</v>
      </c>
      <c r="I13" s="7">
        <f>$B13 * IFERROR(VLOOKUP("industry|SO2|Non-fatal heart attacks", US_national_yearly!$D:$AM, 17, FALSE) / VLOOKUP("industry|SO2|Non-fatal heart attacks", US_national_yearly!$D:$AM, 10, FALSE), 1)</f>
        <v>1.7426014004281198E-3</v>
      </c>
      <c r="J13" s="7">
        <f>$B13 * IFERROR(VLOOKUP("industry|SO2|Non-fatal heart attacks", US_national_yearly!$D:$AM, 18, FALSE) / VLOOKUP("industry|SO2|Non-fatal heart attacks", US_national_yearly!$D:$AM, 10, FALSE), 1)</f>
        <v>1.7751656655111497E-3</v>
      </c>
      <c r="K13" s="7">
        <f>$B13 * IFERROR(VLOOKUP("industry|SO2|Non-fatal heart attacks", US_national_yearly!$D:$AM, 19, FALSE) / VLOOKUP("industry|SO2|Non-fatal heart attacks", US_national_yearly!$D:$AM, 10, FALSE), 1)</f>
        <v>1.8077299305941791E-3</v>
      </c>
      <c r="L13" s="7">
        <f>$B13 * IFERROR(VLOOKUP("industry|SO2|Non-fatal heart attacks", US_national_yearly!$D:$AM, 20, FALSE) / VLOOKUP("industry|SO2|Non-fatal heart attacks", US_national_yearly!$D:$AM, 10, FALSE), 1)</f>
        <v>1.8402941956772087E-3</v>
      </c>
      <c r="M13" s="7">
        <f>$B13 * IFERROR(VLOOKUP("industry|SO2|Non-fatal heart attacks", US_national_yearly!$D:$AM, 21, FALSE) / VLOOKUP("industry|SO2|Non-fatal heart attacks", US_national_yearly!$D:$AM, 10, FALSE), 1)</f>
        <v>1.8728584607602382E-3</v>
      </c>
      <c r="N13" s="7">
        <f>$B13 * IFERROR(VLOOKUP("industry|SO2|Non-fatal heart attacks", US_national_yearly!$D:$AM, 22, FALSE) / VLOOKUP("industry|SO2|Non-fatal heart attacks", US_national_yearly!$D:$AM, 10, FALSE), 1)</f>
        <v>1.8940139422493397E-3</v>
      </c>
      <c r="O13" s="7">
        <f>$B13 * IFERROR(VLOOKUP("industry|SO2|Non-fatal heart attacks", US_national_yearly!$D:$AM, 23, FALSE) / VLOOKUP("industry|SO2|Non-fatal heart attacks", US_national_yearly!$D:$AM, 10, FALSE), 1)</f>
        <v>1.9151694237384419E-3</v>
      </c>
      <c r="P13" s="7">
        <f>$B13 * IFERROR(VLOOKUP("industry|SO2|Non-fatal heart attacks", US_national_yearly!$D:$AM, 24, FALSE) / VLOOKUP("industry|SO2|Non-fatal heart attacks", US_national_yearly!$D:$AM, 10, FALSE), 1)</f>
        <v>1.9363249052275436E-3</v>
      </c>
      <c r="Q13" s="7">
        <f>$B13 * IFERROR(VLOOKUP("industry|SO2|Non-fatal heart attacks", US_national_yearly!$D:$AM, 25, FALSE) / VLOOKUP("industry|SO2|Non-fatal heart attacks", US_national_yearly!$D:$AM, 10, FALSE), 1)</f>
        <v>1.957480386716645E-3</v>
      </c>
      <c r="R13" s="7">
        <f>$B13 * IFERROR(VLOOKUP("industry|SO2|Non-fatal heart attacks", US_national_yearly!$D:$AM, 26, FALSE) / VLOOKUP("industry|SO2|Non-fatal heart attacks", US_national_yearly!$D:$AM, 10, FALSE), 1)</f>
        <v>1.9786358682057472E-3</v>
      </c>
      <c r="S13" s="7">
        <f>$B13 * IFERROR(VLOOKUP("industry|SO2|Non-fatal heart attacks", US_national_yearly!$D:$AM, 27, FALSE) / VLOOKUP("industry|SO2|Non-fatal heart attacks", US_national_yearly!$D:$AM, 10, FALSE), 1)</f>
        <v>1.9897470381321789E-3</v>
      </c>
      <c r="T13" s="7">
        <f>$B13 * IFERROR(VLOOKUP("industry|SO2|Non-fatal heart attacks", US_national_yearly!$D:$AM, 28, FALSE) / VLOOKUP("industry|SO2|Non-fatal heart attacks", US_national_yearly!$D:$AM, 10, FALSE), 1)</f>
        <v>2.000858208058611E-3</v>
      </c>
      <c r="U13" s="7">
        <f>$B13 * IFERROR(VLOOKUP("industry|SO2|Non-fatal heart attacks", US_national_yearly!$D:$AM, 29, FALSE) / VLOOKUP("industry|SO2|Non-fatal heart attacks", US_national_yearly!$D:$AM, 10, FALSE), 1)</f>
        <v>2.0119693779850427E-3</v>
      </c>
      <c r="V13" s="7">
        <f>$B13 * IFERROR(VLOOKUP("industry|SO2|Non-fatal heart attacks", US_national_yearly!$D:$AM, 30, FALSE) / VLOOKUP("industry|SO2|Non-fatal heart attacks", US_national_yearly!$D:$AM, 10, FALSE), 1)</f>
        <v>2.0230805479114749E-3</v>
      </c>
      <c r="W13" s="7">
        <f>$B13 * IFERROR(VLOOKUP("industry|SO2|Non-fatal heart attacks", US_national_yearly!$D:$AM, 31, FALSE) / VLOOKUP("industry|SO2|Non-fatal heart attacks", US_national_yearly!$D:$AM, 10, FALSE), 1)</f>
        <v>2.0341917178379066E-3</v>
      </c>
      <c r="X13" s="7">
        <f>$B13 * IFERROR(VLOOKUP("industry|SO2|Non-fatal heart attacks", US_national_yearly!$D:$AM, 32, FALSE) / VLOOKUP("industry|SO2|Non-fatal heart attacks", US_national_yearly!$D:$AM, 10, FALSE), 1)</f>
        <v>2.0426303307609119E-3</v>
      </c>
      <c r="Y13" s="7">
        <f>$B13 * IFERROR(VLOOKUP("industry|SO2|Non-fatal heart attacks", US_national_yearly!$D:$AM, 33, FALSE) / VLOOKUP("industry|SO2|Non-fatal heart attacks", US_national_yearly!$D:$AM, 10, FALSE), 1)</f>
        <v>2.0510689436839171E-3</v>
      </c>
      <c r="Z13" s="7">
        <f>$B13 * IFERROR(VLOOKUP("industry|SO2|Non-fatal heart attacks", US_national_yearly!$D:$AM, 34, FALSE) / VLOOKUP("industry|SO2|Non-fatal heart attacks", US_national_yearly!$D:$AM, 10, FALSE), 1)</f>
        <v>2.0595075566069224E-3</v>
      </c>
      <c r="AA13" s="7">
        <f>$B13 * IFERROR(VLOOKUP("industry|SO2|Non-fatal heart attacks", US_national_yearly!$D:$AM, 35, FALSE) / VLOOKUP("industry|SO2|Non-fatal heart attacks", US_national_yearly!$D:$AM, 10, FALSE), 1)</f>
        <v>2.0679461695299276E-3</v>
      </c>
      <c r="AB13" s="7">
        <f>$B13 * IFERROR(VLOOKUP("industry|SO2|Non-fatal heart attacks", US_national_yearly!$D:$AM, 36, FALSE) / VLOOKUP("industry|SO2|Non-fatal heart attacks", US_national_yearly!$D:$AM, 10, FALSE), 1)</f>
        <v>2.0763847824529329E-3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0.90675703343368841</v>
      </c>
      <c r="C14" s="7">
        <f>$B14 * IFERROR(VLOOKUP("industry|SO2|Minor restricted activity days", US_national_yearly!$D:$AM, 11, FALSE) / VLOOKUP("industry|SO2|Minor restricted activity days", US_national_yearly!$D:$AM, 10, FALSE), 1)</f>
        <v>0.90902518554429745</v>
      </c>
      <c r="D14" s="7">
        <f>$B14 * IFERROR(VLOOKUP("industry|SO2|Minor restricted activity days", US_national_yearly!$D:$AM, 12, FALSE) / VLOOKUP("industry|SO2|Minor restricted activity days", US_national_yearly!$D:$AM, 10, FALSE), 1)</f>
        <v>0.91129333765490639</v>
      </c>
      <c r="E14" s="7">
        <f>$B14 * IFERROR(VLOOKUP("industry|SO2|Minor restricted activity days", US_national_yearly!$D:$AM, 13, FALSE) / VLOOKUP("industry|SO2|Minor restricted activity days", US_national_yearly!$D:$AM, 10, FALSE), 1)</f>
        <v>0.91356148976551543</v>
      </c>
      <c r="F14" s="7">
        <f>$B14 * IFERROR(VLOOKUP("industry|SO2|Minor restricted activity days", US_national_yearly!$D:$AM, 14, FALSE) / VLOOKUP("industry|SO2|Minor restricted activity days", US_national_yearly!$D:$AM, 10, FALSE), 1)</f>
        <v>0.91582964187612448</v>
      </c>
      <c r="G14" s="7">
        <f>$B14 * IFERROR(VLOOKUP("industry|SO2|Minor restricted activity days", US_national_yearly!$D:$AM, 15, FALSE) / VLOOKUP("industry|SO2|Minor restricted activity days", US_national_yearly!$D:$AM, 10, FALSE), 1)</f>
        <v>0.91916630975689062</v>
      </c>
      <c r="H14" s="7">
        <f>$B14 * IFERROR(VLOOKUP("industry|SO2|Minor restricted activity days", US_national_yearly!$D:$AM, 16, FALSE) / VLOOKUP("industry|SO2|Minor restricted activity days", US_national_yearly!$D:$AM, 10, FALSE), 1)</f>
        <v>0.92250297763765654</v>
      </c>
      <c r="I14" s="7">
        <f>$B14 * IFERROR(VLOOKUP("industry|SO2|Minor restricted activity days", US_national_yearly!$D:$AM, 17, FALSE) / VLOOKUP("industry|SO2|Minor restricted activity days", US_national_yearly!$D:$AM, 10, FALSE), 1)</f>
        <v>0.92819300564030027</v>
      </c>
      <c r="J14" s="7">
        <f>$B14 * IFERROR(VLOOKUP("industry|SO2|Minor restricted activity days", US_national_yearly!$D:$AM, 18, FALSE) / VLOOKUP("industry|SO2|Minor restricted activity days", US_national_yearly!$D:$AM, 10, FALSE), 1)</f>
        <v>0.933883033642944</v>
      </c>
      <c r="K14" s="7">
        <f>$B14 * IFERROR(VLOOKUP("industry|SO2|Minor restricted activity days", US_national_yearly!$D:$AM, 19, FALSE) / VLOOKUP("industry|SO2|Minor restricted activity days", US_national_yearly!$D:$AM, 10, FALSE), 1)</f>
        <v>0.93957306164558774</v>
      </c>
      <c r="L14" s="7">
        <f>$B14 * IFERROR(VLOOKUP("industry|SO2|Minor restricted activity days", US_national_yearly!$D:$AM, 20, FALSE) / VLOOKUP("industry|SO2|Minor restricted activity days", US_national_yearly!$D:$AM, 10, FALSE), 1)</f>
        <v>0.94526308964823147</v>
      </c>
      <c r="M14" s="7">
        <f>$B14 * IFERROR(VLOOKUP("industry|SO2|Minor restricted activity days", US_national_yearly!$D:$AM, 21, FALSE) / VLOOKUP("industry|SO2|Minor restricted activity days", US_national_yearly!$D:$AM, 10, FALSE), 1)</f>
        <v>0.9509531176508752</v>
      </c>
      <c r="N14" s="7">
        <f>$B14 * IFERROR(VLOOKUP("industry|SO2|Minor restricted activity days", US_national_yearly!$D:$AM, 22, FALSE) / VLOOKUP("industry|SO2|Minor restricted activity days", US_national_yearly!$D:$AM, 10, FALSE), 1)</f>
        <v>0.95875483036633979</v>
      </c>
      <c r="O14" s="7">
        <f>$B14 * IFERROR(VLOOKUP("industry|SO2|Minor restricted activity days", US_national_yearly!$D:$AM, 23, FALSE) / VLOOKUP("industry|SO2|Minor restricted activity days", US_national_yearly!$D:$AM, 10, FALSE), 1)</f>
        <v>0.96655654308180439</v>
      </c>
      <c r="P14" s="7">
        <f>$B14 * IFERROR(VLOOKUP("industry|SO2|Minor restricted activity days", US_national_yearly!$D:$AM, 24, FALSE) / VLOOKUP("industry|SO2|Minor restricted activity days", US_national_yearly!$D:$AM, 10, FALSE), 1)</f>
        <v>0.97435825579726898</v>
      </c>
      <c r="Q14" s="7">
        <f>$B14 * IFERROR(VLOOKUP("industry|SO2|Minor restricted activity days", US_national_yearly!$D:$AM, 25, FALSE) / VLOOKUP("industry|SO2|Minor restricted activity days", US_national_yearly!$D:$AM, 10, FALSE), 1)</f>
        <v>0.98215996851273379</v>
      </c>
      <c r="R14" s="7">
        <f>$B14 * IFERROR(VLOOKUP("industry|SO2|Minor restricted activity days", US_national_yearly!$D:$AM, 26, FALSE) / VLOOKUP("industry|SO2|Minor restricted activity days", US_national_yearly!$D:$AM, 10, FALSE), 1)</f>
        <v>0.98996168122819828</v>
      </c>
      <c r="S14" s="7">
        <f>$B14 * IFERROR(VLOOKUP("industry|SO2|Minor restricted activity days", US_national_yearly!$D:$AM, 27, FALSE) / VLOOKUP("industry|SO2|Minor restricted activity days", US_national_yearly!$D:$AM, 10, FALSE), 1)</f>
        <v>0.99792395913612786</v>
      </c>
      <c r="T14" s="7">
        <f>$B14 * IFERROR(VLOOKUP("industry|SO2|Minor restricted activity days", US_national_yearly!$D:$AM, 28, FALSE) / VLOOKUP("industry|SO2|Minor restricted activity days", US_national_yearly!$D:$AM, 10, FALSE), 1)</f>
        <v>1.0058862370440576</v>
      </c>
      <c r="U14" s="7">
        <f>$B14 * IFERROR(VLOOKUP("industry|SO2|Minor restricted activity days", US_national_yearly!$D:$AM, 29, FALSE) / VLOOKUP("industry|SO2|Minor restricted activity days", US_national_yearly!$D:$AM, 10, FALSE), 1)</f>
        <v>1.0138485149519871</v>
      </c>
      <c r="V14" s="7">
        <f>$B14 * IFERROR(VLOOKUP("industry|SO2|Minor restricted activity days", US_national_yearly!$D:$AM, 30, FALSE) / VLOOKUP("industry|SO2|Minor restricted activity days", US_national_yearly!$D:$AM, 10, FALSE), 1)</f>
        <v>1.0218107928599169</v>
      </c>
      <c r="W14" s="7">
        <f>$B14 * IFERROR(VLOOKUP("industry|SO2|Minor restricted activity days", US_national_yearly!$D:$AM, 31, FALSE) / VLOOKUP("industry|SO2|Minor restricted activity days", US_national_yearly!$D:$AM, 10, FALSE), 1)</f>
        <v>1.0297730707678465</v>
      </c>
      <c r="X14" s="7">
        <f>$B14 * IFERROR(VLOOKUP("industry|SO2|Minor restricted activity days", US_national_yearly!$D:$AM, 32, FALSE) / VLOOKUP("industry|SO2|Minor restricted activity days", US_national_yearly!$D:$AM, 10, FALSE), 1)</f>
        <v>1.0367742388894299</v>
      </c>
      <c r="Y14" s="7">
        <f>$B14 * IFERROR(VLOOKUP("industry|SO2|Minor restricted activity days", US_national_yearly!$D:$AM, 33, FALSE) / VLOOKUP("industry|SO2|Minor restricted activity days", US_national_yearly!$D:$AM, 10, FALSE), 1)</f>
        <v>1.043775407011013</v>
      </c>
      <c r="Z14" s="7">
        <f>$B14 * IFERROR(VLOOKUP("industry|SO2|Minor restricted activity days", US_national_yearly!$D:$AM, 34, FALSE) / VLOOKUP("industry|SO2|Minor restricted activity days", US_national_yearly!$D:$AM, 10, FALSE), 1)</f>
        <v>1.0507765751325961</v>
      </c>
      <c r="AA14" s="7">
        <f>$B14 * IFERROR(VLOOKUP("industry|SO2|Minor restricted activity days", US_national_yearly!$D:$AM, 35, FALSE) / VLOOKUP("industry|SO2|Minor restricted activity days", US_national_yearly!$D:$AM, 10, FALSE), 1)</f>
        <v>1.0577777432541793</v>
      </c>
      <c r="AB14" s="7">
        <f>$B14 * IFERROR(VLOOKUP("industry|SO2|Minor restricted activity days", US_national_yearly!$D:$AM, 36, FALSE) / VLOOKUP("industry|SO2|Minor restricted activity days", US_national_yearly!$D:$AM, 10, FALSE), 1)</f>
        <v>1.0647789113757626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0.15167274399616923</v>
      </c>
      <c r="C15" s="7">
        <f>$B15 * IFERROR(VLOOKUP("industry|SO2|Work loss days", US_national_yearly!$D:$AM, 11, FALSE) / VLOOKUP("industry|SO2|Work loss days", US_national_yearly!$D:$AM, 10, FALSE), 1)</f>
        <v>0.15216050640534892</v>
      </c>
      <c r="D15" s="7">
        <f>$B15 * IFERROR(VLOOKUP("industry|SO2|Work loss days", US_national_yearly!$D:$AM, 12, FALSE) / VLOOKUP("industry|SO2|Work loss days", US_national_yearly!$D:$AM, 10, FALSE), 1)</f>
        <v>0.1526482688145287</v>
      </c>
      <c r="E15" s="7">
        <f>$B15 * IFERROR(VLOOKUP("industry|SO2|Work loss days", US_national_yearly!$D:$AM, 13, FALSE) / VLOOKUP("industry|SO2|Work loss days", US_national_yearly!$D:$AM, 10, FALSE), 1)</f>
        <v>0.15313603122370839</v>
      </c>
      <c r="F15" s="7">
        <f>$B15 * IFERROR(VLOOKUP("industry|SO2|Work loss days", US_national_yearly!$D:$AM, 14, FALSE) / VLOOKUP("industry|SO2|Work loss days", US_national_yearly!$D:$AM, 10, FALSE), 1)</f>
        <v>0.15362379363288817</v>
      </c>
      <c r="G15" s="7">
        <f>$B15 * IFERROR(VLOOKUP("industry|SO2|Work loss days", US_national_yearly!$D:$AM, 15, FALSE) / VLOOKUP("industry|SO2|Work loss days", US_national_yearly!$D:$AM, 10, FALSE), 1)</f>
        <v>0.15426045538890751</v>
      </c>
      <c r="H15" s="7">
        <f>$B15 * IFERROR(VLOOKUP("industry|SO2|Work loss days", US_national_yearly!$D:$AM, 16, FALSE) / VLOOKUP("industry|SO2|Work loss days", US_national_yearly!$D:$AM, 10, FALSE), 1)</f>
        <v>0.1548971171449269</v>
      </c>
      <c r="I15" s="7">
        <f>$B15 * IFERROR(VLOOKUP("industry|SO2|Work loss days", US_national_yearly!$D:$AM, 17, FALSE) / VLOOKUP("industry|SO2|Work loss days", US_national_yearly!$D:$AM, 10, FALSE), 1)</f>
        <v>0.15582773722994095</v>
      </c>
      <c r="J15" s="7">
        <f>$B15 * IFERROR(VLOOKUP("industry|SO2|Work loss days", US_national_yearly!$D:$AM, 18, FALSE) / VLOOKUP("industry|SO2|Work loss days", US_national_yearly!$D:$AM, 10, FALSE), 1)</f>
        <v>0.15675835731495494</v>
      </c>
      <c r="K15" s="7">
        <f>$B15 * IFERROR(VLOOKUP("industry|SO2|Work loss days", US_national_yearly!$D:$AM, 19, FALSE) / VLOOKUP("industry|SO2|Work loss days", US_national_yearly!$D:$AM, 10, FALSE), 1)</f>
        <v>0.15768897739996895</v>
      </c>
      <c r="L15" s="7">
        <f>$B15 * IFERROR(VLOOKUP("industry|SO2|Work loss days", US_national_yearly!$D:$AM, 20, FALSE) / VLOOKUP("industry|SO2|Work loss days", US_national_yearly!$D:$AM, 10, FALSE), 1)</f>
        <v>0.158619597484983</v>
      </c>
      <c r="M15" s="7">
        <f>$B15 * IFERROR(VLOOKUP("industry|SO2|Work loss days", US_national_yearly!$D:$AM, 21, FALSE) / VLOOKUP("industry|SO2|Work loss days", US_national_yearly!$D:$AM, 10, FALSE), 1)</f>
        <v>0.15955021756999702</v>
      </c>
      <c r="N15" s="7">
        <f>$B15 * IFERROR(VLOOKUP("industry|SO2|Work loss days", US_national_yearly!$D:$AM, 22, FALSE) / VLOOKUP("industry|SO2|Work loss days", US_national_yearly!$D:$AM, 10, FALSE), 1)</f>
        <v>0.1607198700115918</v>
      </c>
      <c r="O15" s="7">
        <f>$B15 * IFERROR(VLOOKUP("industry|SO2|Work loss days", US_national_yearly!$D:$AM, 23, FALSE) / VLOOKUP("industry|SO2|Work loss days", US_national_yearly!$D:$AM, 10, FALSE), 1)</f>
        <v>0.16188952245318658</v>
      </c>
      <c r="P15" s="7">
        <f>$B15 * IFERROR(VLOOKUP("industry|SO2|Work loss days", US_national_yearly!$D:$AM, 24, FALSE) / VLOOKUP("industry|SO2|Work loss days", US_national_yearly!$D:$AM, 10, FALSE), 1)</f>
        <v>0.16305917489478136</v>
      </c>
      <c r="Q15" s="7">
        <f>$B15 * IFERROR(VLOOKUP("industry|SO2|Work loss days", US_national_yearly!$D:$AM, 25, FALSE) / VLOOKUP("industry|SO2|Work loss days", US_national_yearly!$D:$AM, 10, FALSE), 1)</f>
        <v>0.16422882733637612</v>
      </c>
      <c r="R15" s="7">
        <f>$B15 * IFERROR(VLOOKUP("industry|SO2|Work loss days", US_national_yearly!$D:$AM, 26, FALSE) / VLOOKUP("industry|SO2|Work loss days", US_national_yearly!$D:$AM, 10, FALSE), 1)</f>
        <v>0.1653984797779709</v>
      </c>
      <c r="S15" s="7">
        <f>$B15 * IFERROR(VLOOKUP("industry|SO2|Work loss days", US_national_yearly!$D:$AM, 27, FALSE) / VLOOKUP("industry|SO2|Work loss days", US_national_yearly!$D:$AM, 10, FALSE), 1)</f>
        <v>0.16670727265567439</v>
      </c>
      <c r="T15" s="7">
        <f>$B15 * IFERROR(VLOOKUP("industry|SO2|Work loss days", US_national_yearly!$D:$AM, 28, FALSE) / VLOOKUP("industry|SO2|Work loss days", US_national_yearly!$D:$AM, 10, FALSE), 1)</f>
        <v>0.16801606553337792</v>
      </c>
      <c r="U15" s="7">
        <f>$B15 * IFERROR(VLOOKUP("industry|SO2|Work loss days", US_national_yearly!$D:$AM, 29, FALSE) / VLOOKUP("industry|SO2|Work loss days", US_national_yearly!$D:$AM, 10, FALSE), 1)</f>
        <v>0.16932485841108147</v>
      </c>
      <c r="V15" s="7">
        <f>$B15 * IFERROR(VLOOKUP("industry|SO2|Work loss days", US_national_yearly!$D:$AM, 30, FALSE) / VLOOKUP("industry|SO2|Work loss days", US_national_yearly!$D:$AM, 10, FALSE), 1)</f>
        <v>0.17063365128878497</v>
      </c>
      <c r="W15" s="7">
        <f>$B15 * IFERROR(VLOOKUP("industry|SO2|Work loss days", US_national_yearly!$D:$AM, 31, FALSE) / VLOOKUP("industry|SO2|Work loss days", US_national_yearly!$D:$AM, 10, FALSE), 1)</f>
        <v>0.17194244416648849</v>
      </c>
      <c r="X15" s="7">
        <f>$B15 * IFERROR(VLOOKUP("industry|SO2|Work loss days", US_national_yearly!$D:$AM, 32, FALSE) / VLOOKUP("industry|SO2|Work loss days", US_national_yearly!$D:$AM, 10, FALSE), 1)</f>
        <v>0.1731179664526504</v>
      </c>
      <c r="Y15" s="7">
        <f>$B15 * IFERROR(VLOOKUP("industry|SO2|Work loss days", US_national_yearly!$D:$AM, 33, FALSE) / VLOOKUP("industry|SO2|Work loss days", US_national_yearly!$D:$AM, 10, FALSE), 1)</f>
        <v>0.17429348873881234</v>
      </c>
      <c r="Z15" s="7">
        <f>$B15 * IFERROR(VLOOKUP("industry|SO2|Work loss days", US_national_yearly!$D:$AM, 34, FALSE) / VLOOKUP("industry|SO2|Work loss days", US_national_yearly!$D:$AM, 10, FALSE), 1)</f>
        <v>0.17546901102497423</v>
      </c>
      <c r="AA15" s="7">
        <f>$B15 * IFERROR(VLOOKUP("industry|SO2|Work loss days", US_national_yearly!$D:$AM, 35, FALSE) / VLOOKUP("industry|SO2|Work loss days", US_national_yearly!$D:$AM, 10, FALSE), 1)</f>
        <v>0.17664453331113616</v>
      </c>
      <c r="AB15" s="7">
        <f>$B15 * IFERROR(VLOOKUP("industry|SO2|Work loss days", US_national_yearly!$D:$AM, 36, FALSE) / VLOOKUP("industry|SO2|Work loss days", US_national_yearly!$D:$AM, 10, FALSE), 1)</f>
        <v>0.17782005559729808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3.3494564238113604E-4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3.4507345959183919E-4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3.552012768025424E-4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3.6532909401324555E-4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3.7545691122394876E-4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3.8516301312326522E-4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3.9486911502258169E-4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4.0319729032619136E-4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4.1152546562980114E-4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4.1985364093341093E-4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4.2818181623702071E-4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4.3650999154063038E-4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4.4210531115323635E-4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4.4770063076584232E-4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4.5329595037844824E-4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4.5889126999105421E-4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4.6448658960366018E-4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4.6744517769316794E-4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4.7040376578267587E-4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4.7336235387218363E-4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4.7632094196169156E-4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4.7927953005119932E-4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4.8128032003181295E-4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4.8328111001242653E-4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4.8528189999304022E-4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4.8728268997365386E-4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4.8928347995426749E-4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1.0745556757510803E-4</v>
      </c>
      <c r="C2" s="7">
        <f>$B2 * IFERROR(VLOOKUP("LULUCF|PM25|Premature mortality", US_national_yearly!$D:$AM, 11, FALSE) / VLOOKUP("LULUCF|PM25|Premature mortality", US_national_yearly!$D:$AM, 10, FALSE), 1)</f>
        <v>1.0878778112565301E-4</v>
      </c>
      <c r="D2" s="7">
        <f>$B2 * IFERROR(VLOOKUP("LULUCF|PM25|Premature mortality", US_national_yearly!$D:$AM, 12, FALSE) / VLOOKUP("LULUCF|PM25|Premature mortality", US_national_yearly!$D:$AM, 10, FALSE), 1)</f>
        <v>1.1011999467619797E-4</v>
      </c>
      <c r="E2" s="7">
        <f>$B2 * IFERROR(VLOOKUP("LULUCF|PM25|Premature mortality", US_national_yearly!$D:$AM, 13, FALSE) / VLOOKUP("LULUCF|PM25|Premature mortality", US_national_yearly!$D:$AM, 10, FALSE), 1)</f>
        <v>1.1145220822674294E-4</v>
      </c>
      <c r="F2" s="7">
        <f>$B2 * IFERROR(VLOOKUP("LULUCF|PM25|Premature mortality", US_national_yearly!$D:$AM, 14, FALSE) / VLOOKUP("LULUCF|PM25|Premature mortality", US_national_yearly!$D:$AM, 10, FALSE), 1)</f>
        <v>1.127844217772879E-4</v>
      </c>
      <c r="G2" s="7">
        <f>$B2 * IFERROR(VLOOKUP("LULUCF|PM25|Premature mortality", US_national_yearly!$D:$AM, 15, FALSE) / VLOOKUP("LULUCF|PM25|Premature mortality", US_national_yearly!$D:$AM, 10, FALSE), 1)</f>
        <v>1.1537889761965747E-4</v>
      </c>
      <c r="H2" s="7">
        <f>$B2 * IFERROR(VLOOKUP("LULUCF|PM25|Premature mortality", US_national_yearly!$D:$AM, 16, FALSE) / VLOOKUP("LULUCF|PM25|Premature mortality", US_national_yearly!$D:$AM, 10, FALSE), 1)</f>
        <v>1.1797337346202703E-4</v>
      </c>
      <c r="I2" s="7">
        <f>$B2 * IFERROR(VLOOKUP("LULUCF|PM25|Premature mortality", US_national_yearly!$D:$AM, 17, FALSE) / VLOOKUP("LULUCF|PM25|Premature mortality", US_national_yearly!$D:$AM, 10, FALSE), 1)</f>
        <v>1.1967753441010731E-4</v>
      </c>
      <c r="J2" s="7">
        <f>$B2 * IFERROR(VLOOKUP("LULUCF|PM25|Premature mortality", US_national_yearly!$D:$AM, 18, FALSE) / VLOOKUP("LULUCF|PM25|Premature mortality", US_national_yearly!$D:$AM, 10, FALSE), 1)</f>
        <v>1.2138169535818765E-4</v>
      </c>
      <c r="K2" s="7">
        <f>$B2 * IFERROR(VLOOKUP("LULUCF|PM25|Premature mortality", US_national_yearly!$D:$AM, 19, FALSE) / VLOOKUP("LULUCF|PM25|Premature mortality", US_national_yearly!$D:$AM, 10, FALSE), 1)</f>
        <v>1.2308585630626796E-4</v>
      </c>
      <c r="L2" s="7">
        <f>$B2 * IFERROR(VLOOKUP("LULUCF|PM25|Premature mortality", US_national_yearly!$D:$AM, 20, FALSE) / VLOOKUP("LULUCF|PM25|Premature mortality", US_national_yearly!$D:$AM, 10, FALSE), 1)</f>
        <v>1.2479001725434829E-4</v>
      </c>
      <c r="M2" s="7">
        <f>$B2 * IFERROR(VLOOKUP("LULUCF|PM25|Premature mortality", US_national_yearly!$D:$AM, 21, FALSE) / VLOOKUP("LULUCF|PM25|Premature mortality", US_national_yearly!$D:$AM, 10, FALSE), 1)</f>
        <v>1.2649417820242862E-4</v>
      </c>
      <c r="N2" s="7">
        <f>$B2 * IFERROR(VLOOKUP("LULUCF|PM25|Premature mortality", US_national_yearly!$D:$AM, 22, FALSE) / VLOOKUP("LULUCF|PM25|Premature mortality", US_national_yearly!$D:$AM, 10, FALSE), 1)</f>
        <v>1.2781735071892643E-4</v>
      </c>
      <c r="O2" s="7">
        <f>$B2 * IFERROR(VLOOKUP("LULUCF|PM25|Premature mortality", US_national_yearly!$D:$AM, 23, FALSE) / VLOOKUP("LULUCF|PM25|Premature mortality", US_national_yearly!$D:$AM, 10, FALSE), 1)</f>
        <v>1.2914052323542425E-4</v>
      </c>
      <c r="P2" s="7">
        <f>$B2 * IFERROR(VLOOKUP("LULUCF|PM25|Premature mortality", US_national_yearly!$D:$AM, 24, FALSE) / VLOOKUP("LULUCF|PM25|Premature mortality", US_national_yearly!$D:$AM, 10, FALSE), 1)</f>
        <v>1.304636957519221E-4</v>
      </c>
      <c r="Q2" s="7">
        <f>$B2 * IFERROR(VLOOKUP("LULUCF|PM25|Premature mortality", US_national_yearly!$D:$AM, 25, FALSE) / VLOOKUP("LULUCF|PM25|Premature mortality", US_national_yearly!$D:$AM, 10, FALSE), 1)</f>
        <v>1.3178686826841992E-4</v>
      </c>
      <c r="R2" s="7">
        <f>$B2 * IFERROR(VLOOKUP("LULUCF|PM25|Premature mortality", US_national_yearly!$D:$AM, 26, FALSE) / VLOOKUP("LULUCF|PM25|Premature mortality", US_national_yearly!$D:$AM, 10, FALSE), 1)</f>
        <v>1.3311004078491777E-4</v>
      </c>
      <c r="S2" s="7">
        <f>$B2 * IFERROR(VLOOKUP("LULUCF|PM25|Premature mortality", US_national_yearly!$D:$AM, 27, FALSE) / VLOOKUP("LULUCF|PM25|Premature mortality", US_national_yearly!$D:$AM, 10, FALSE), 1)</f>
        <v>1.3381101827139252E-4</v>
      </c>
      <c r="T2" s="7">
        <f>$B2 * IFERROR(VLOOKUP("LULUCF|PM25|Premature mortality", US_national_yearly!$D:$AM, 28, FALSE) / VLOOKUP("LULUCF|PM25|Premature mortality", US_national_yearly!$D:$AM, 10, FALSE), 1)</f>
        <v>1.3451199575786727E-4</v>
      </c>
      <c r="U2" s="7">
        <f>$B2 * IFERROR(VLOOKUP("LULUCF|PM25|Premature mortality", US_national_yearly!$D:$AM, 29, FALSE) / VLOOKUP("LULUCF|PM25|Premature mortality", US_national_yearly!$D:$AM, 10, FALSE), 1)</f>
        <v>1.35212973244342E-4</v>
      </c>
      <c r="V2" s="7">
        <f>$B2 * IFERROR(VLOOKUP("LULUCF|PM25|Premature mortality", US_national_yearly!$D:$AM, 30, FALSE) / VLOOKUP("LULUCF|PM25|Premature mortality", US_national_yearly!$D:$AM, 10, FALSE), 1)</f>
        <v>1.3591395073081676E-4</v>
      </c>
      <c r="W2" s="7">
        <f>$B2 * IFERROR(VLOOKUP("LULUCF|PM25|Premature mortality", US_national_yearly!$D:$AM, 31, FALSE) / VLOOKUP("LULUCF|PM25|Premature mortality", US_national_yearly!$D:$AM, 10, FALSE), 1)</f>
        <v>1.3661492821729148E-4</v>
      </c>
      <c r="X2" s="7">
        <f>$B2 * IFERROR(VLOOKUP("LULUCF|PM25|Premature mortality", US_national_yearly!$D:$AM, 32, FALSE) / VLOOKUP("LULUCF|PM25|Premature mortality", US_national_yearly!$D:$AM, 10, FALSE), 1)</f>
        <v>1.3673749955323811E-4</v>
      </c>
      <c r="Y2" s="7">
        <f>$B2 * IFERROR(VLOOKUP("LULUCF|PM25|Premature mortality", US_national_yearly!$D:$AM, 33, FALSE) / VLOOKUP("LULUCF|PM25|Premature mortality", US_national_yearly!$D:$AM, 10, FALSE), 1)</f>
        <v>1.3686007088918473E-4</v>
      </c>
      <c r="Z2" s="7">
        <f>$B2 * IFERROR(VLOOKUP("LULUCF|PM25|Premature mortality", US_national_yearly!$D:$AM, 34, FALSE) / VLOOKUP("LULUCF|PM25|Premature mortality", US_national_yearly!$D:$AM, 10, FALSE), 1)</f>
        <v>1.3698264222513132E-4</v>
      </c>
      <c r="AA2" s="7">
        <f>$B2 * IFERROR(VLOOKUP("LULUCF|PM25|Premature mortality", US_national_yearly!$D:$AM, 35, FALSE) / VLOOKUP("LULUCF|PM25|Premature mortality", US_national_yearly!$D:$AM, 10, FALSE), 1)</f>
        <v>1.3710521356107794E-4</v>
      </c>
      <c r="AB2" s="7">
        <f>$B2 * IFERROR(VLOOKUP("LULUCF|PM25|Premature mortality", US_national_yearly!$D:$AM, 36, FALSE) / VLOOKUP("LULUCF|PM25|Premature mortality", US_national_yearly!$D:$AM, 10, FALSE), 1)</f>
        <v>1.3722778489702456E-4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1.81749624690459E-7</v>
      </c>
      <c r="C3" s="7">
        <f>$B3 * IFERROR(VLOOKUP("LULUCF|PM25|Infant mortality", US_national_yearly!$D:$AM, 11, FALSE) / VLOOKUP("LULUCF|PM25|Infant mortality", US_national_yearly!$D:$AM, 10, FALSE), 1)</f>
        <v>1.8016493381087287E-7</v>
      </c>
      <c r="D3" s="7">
        <f>$B3 * IFERROR(VLOOKUP("LULUCF|PM25|Infant mortality", US_national_yearly!$D:$AM, 12, FALSE) / VLOOKUP("LULUCF|PM25|Infant mortality", US_national_yearly!$D:$AM, 10, FALSE), 1)</f>
        <v>1.7858024293128669E-7</v>
      </c>
      <c r="E3" s="7">
        <f>$B3 * IFERROR(VLOOKUP("LULUCF|PM25|Infant mortality", US_national_yearly!$D:$AM, 13, FALSE) / VLOOKUP("LULUCF|PM25|Infant mortality", US_national_yearly!$D:$AM, 10, FALSE), 1)</f>
        <v>1.7699555205170056E-7</v>
      </c>
      <c r="F3" s="7">
        <f>$B3 * IFERROR(VLOOKUP("LULUCF|PM25|Infant mortality", US_national_yearly!$D:$AM, 14, FALSE) / VLOOKUP("LULUCF|PM25|Infant mortality", US_national_yearly!$D:$AM, 10, FALSE), 1)</f>
        <v>1.7541086117211438E-7</v>
      </c>
      <c r="G3" s="7">
        <f>$B3 * IFERROR(VLOOKUP("LULUCF|PM25|Infant mortality", US_national_yearly!$D:$AM, 15, FALSE) / VLOOKUP("LULUCF|PM25|Infant mortality", US_national_yearly!$D:$AM, 10, FALSE), 1)</f>
        <v>1.1665760574953854E-7</v>
      </c>
      <c r="H3" s="7">
        <f>$B3 * IFERROR(VLOOKUP("LULUCF|PM25|Infant mortality", US_national_yearly!$D:$AM, 16, FALSE) / VLOOKUP("LULUCF|PM25|Infant mortality", US_national_yearly!$D:$AM, 10, FALSE), 1)</f>
        <v>5.7904350326962638E-8</v>
      </c>
      <c r="I3" s="7">
        <f>$B3 * IFERROR(VLOOKUP("LULUCF|PM25|Infant mortality", US_national_yearly!$D:$AM, 17, FALSE) / VLOOKUP("LULUCF|PM25|Infant mortality", US_national_yearly!$D:$AM, 10, FALSE), 1)</f>
        <v>5.7525849748119229E-8</v>
      </c>
      <c r="J3" s="7">
        <f>$B3 * IFERROR(VLOOKUP("LULUCF|PM25|Infant mortality", US_national_yearly!$D:$AM, 18, FALSE) / VLOOKUP("LULUCF|PM25|Infant mortality", US_national_yearly!$D:$AM, 10, FALSE), 1)</f>
        <v>5.71473491692758E-8</v>
      </c>
      <c r="K3" s="7">
        <f>$B3 * IFERROR(VLOOKUP("LULUCF|PM25|Infant mortality", US_national_yearly!$D:$AM, 19, FALSE) / VLOOKUP("LULUCF|PM25|Infant mortality", US_national_yearly!$D:$AM, 10, FALSE), 1)</f>
        <v>5.6768848590432377E-8</v>
      </c>
      <c r="L3" s="7">
        <f>$B3 * IFERROR(VLOOKUP("LULUCF|PM25|Infant mortality", US_national_yearly!$D:$AM, 20, FALSE) / VLOOKUP("LULUCF|PM25|Infant mortality", US_national_yearly!$D:$AM, 10, FALSE), 1)</f>
        <v>5.6390348011588962E-8</v>
      </c>
      <c r="M3" s="7">
        <f>$B3 * IFERROR(VLOOKUP("LULUCF|PM25|Infant mortality", US_national_yearly!$D:$AM, 21, FALSE) / VLOOKUP("LULUCF|PM25|Infant mortality", US_national_yearly!$D:$AM, 10, FALSE), 1)</f>
        <v>5.6011847432745546E-8</v>
      </c>
      <c r="N3" s="7">
        <f>$B3 * IFERROR(VLOOKUP("LULUCF|PM25|Infant mortality", US_national_yearly!$D:$AM, 22, FALSE) / VLOOKUP("LULUCF|PM25|Infant mortality", US_national_yearly!$D:$AM, 10, FALSE), 1)</f>
        <v>5.5774107165125259E-8</v>
      </c>
      <c r="O3" s="7">
        <f>$B3 * IFERROR(VLOOKUP("LULUCF|PM25|Infant mortality", US_national_yearly!$D:$AM, 23, FALSE) / VLOOKUP("LULUCF|PM25|Infant mortality", US_national_yearly!$D:$AM, 10, FALSE), 1)</f>
        <v>5.553636689750498E-8</v>
      </c>
      <c r="P3" s="7">
        <f>$B3 * IFERROR(VLOOKUP("LULUCF|PM25|Infant mortality", US_national_yearly!$D:$AM, 24, FALSE) / VLOOKUP("LULUCF|PM25|Infant mortality", US_national_yearly!$D:$AM, 10, FALSE), 1)</f>
        <v>5.529862662988468E-8</v>
      </c>
      <c r="Q3" s="7">
        <f>$B3 * IFERROR(VLOOKUP("LULUCF|PM25|Infant mortality", US_national_yearly!$D:$AM, 25, FALSE) / VLOOKUP("LULUCF|PM25|Infant mortality", US_national_yearly!$D:$AM, 10, FALSE), 1)</f>
        <v>5.50608863622644E-8</v>
      </c>
      <c r="R3" s="7">
        <f>$B3 * IFERROR(VLOOKUP("LULUCF|PM25|Infant mortality", US_national_yearly!$D:$AM, 26, FALSE) / VLOOKUP("LULUCF|PM25|Infant mortality", US_national_yearly!$D:$AM, 10, FALSE), 1)</f>
        <v>5.4823146094644107E-8</v>
      </c>
      <c r="S3" s="7">
        <f>$B3 * IFERROR(VLOOKUP("LULUCF|PM25|Infant mortality", US_national_yearly!$D:$AM, 27, FALSE) / VLOOKUP("LULUCF|PM25|Infant mortality", US_national_yearly!$D:$AM, 10, FALSE), 1)</f>
        <v>5.4526797990075591E-8</v>
      </c>
      <c r="T3" s="7">
        <f>$B3 * IFERROR(VLOOKUP("LULUCF|PM25|Infant mortality", US_national_yearly!$D:$AM, 28, FALSE) / VLOOKUP("LULUCF|PM25|Infant mortality", US_national_yearly!$D:$AM, 10, FALSE), 1)</f>
        <v>5.423044988550706E-8</v>
      </c>
      <c r="U3" s="7">
        <f>$B3 * IFERROR(VLOOKUP("LULUCF|PM25|Infant mortality", US_national_yearly!$D:$AM, 29, FALSE) / VLOOKUP("LULUCF|PM25|Infant mortality", US_national_yearly!$D:$AM, 10, FALSE), 1)</f>
        <v>5.3934101780938537E-8</v>
      </c>
      <c r="V3" s="7">
        <f>$B3 * IFERROR(VLOOKUP("LULUCF|PM25|Infant mortality", US_national_yearly!$D:$AM, 30, FALSE) / VLOOKUP("LULUCF|PM25|Infant mortality", US_national_yearly!$D:$AM, 10, FALSE), 1)</f>
        <v>5.363775367637002E-8</v>
      </c>
      <c r="W3" s="7">
        <f>$B3 * IFERROR(VLOOKUP("LULUCF|PM25|Infant mortality", US_national_yearly!$D:$AM, 31, FALSE) / VLOOKUP("LULUCF|PM25|Infant mortality", US_national_yearly!$D:$AM, 10, FALSE), 1)</f>
        <v>5.334140557180149E-8</v>
      </c>
      <c r="X3" s="7">
        <f>$B3 * IFERROR(VLOOKUP("LULUCF|PM25|Infant mortality", US_national_yearly!$D:$AM, 32, FALSE) / VLOOKUP("LULUCF|PM25|Infant mortality", US_national_yearly!$D:$AM, 10, FALSE), 1)</f>
        <v>5.3021905068027548E-8</v>
      </c>
      <c r="Y3" s="7">
        <f>$B3 * IFERROR(VLOOKUP("LULUCF|PM25|Infant mortality", US_national_yearly!$D:$AM, 33, FALSE) / VLOOKUP("LULUCF|PM25|Infant mortality", US_national_yearly!$D:$AM, 10, FALSE), 1)</f>
        <v>5.2702404564253586E-8</v>
      </c>
      <c r="Z3" s="7">
        <f>$B3 * IFERROR(VLOOKUP("LULUCF|PM25|Infant mortality", US_national_yearly!$D:$AM, 34, FALSE) / VLOOKUP("LULUCF|PM25|Infant mortality", US_national_yearly!$D:$AM, 10, FALSE), 1)</f>
        <v>5.2382904060479644E-8</v>
      </c>
      <c r="AA3" s="7">
        <f>$B3 * IFERROR(VLOOKUP("LULUCF|PM25|Infant mortality", US_national_yearly!$D:$AM, 35, FALSE) / VLOOKUP("LULUCF|PM25|Infant mortality", US_national_yearly!$D:$AM, 10, FALSE), 1)</f>
        <v>5.2063403556705688E-8</v>
      </c>
      <c r="AB3" s="7">
        <f>$B3 * IFERROR(VLOOKUP("LULUCF|PM25|Infant mortality", US_national_yearly!$D:$AM, 36, FALSE) / VLOOKUP("LULUCF|PM25|Infant mortality", US_national_yearly!$D:$AM, 10, FALSE), 1)</f>
        <v>5.1743903052931746E-8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1.8383188568089516E-4</v>
      </c>
      <c r="C6" s="7">
        <f>$B6 * IFERROR(VLOOKUP("LULUCF|PM25|Asthma symptoms cough", US_national_yearly!$D:$AM, 11, FALSE) / VLOOKUP("LULUCF|PM25|Asthma symptoms cough", US_national_yearly!$D:$AM, 10, FALSE), 1)</f>
        <v>1.8383188568089516E-4</v>
      </c>
      <c r="D6" s="7">
        <f>$B6 * IFERROR(VLOOKUP("LULUCF|PM25|Asthma symptoms cough", US_national_yearly!$D:$AM, 12, FALSE) / VLOOKUP("LULUCF|PM25|Asthma symptoms cough", US_national_yearly!$D:$AM, 10, FALSE), 1)</f>
        <v>1.8383188568089516E-4</v>
      </c>
      <c r="E6" s="7">
        <f>$B6 * IFERROR(VLOOKUP("LULUCF|PM25|Asthma symptoms cough", US_national_yearly!$D:$AM, 13, FALSE) / VLOOKUP("LULUCF|PM25|Asthma symptoms cough", US_national_yearly!$D:$AM, 10, FALSE), 1)</f>
        <v>1.8383188568089516E-4</v>
      </c>
      <c r="F6" s="7">
        <f>$B6 * IFERROR(VLOOKUP("LULUCF|PM25|Asthma symptoms cough", US_national_yearly!$D:$AM, 14, FALSE) / VLOOKUP("LULUCF|PM25|Asthma symptoms cough", US_national_yearly!$D:$AM, 10, FALSE), 1)</f>
        <v>1.8383188568089516E-4</v>
      </c>
      <c r="G6" s="7">
        <f>$B6 * IFERROR(VLOOKUP("LULUCF|PM25|Asthma symptoms cough", US_national_yearly!$D:$AM, 15, FALSE) / VLOOKUP("LULUCF|PM25|Asthma symptoms cough", US_national_yearly!$D:$AM, 10, FALSE), 1)</f>
        <v>1.8383188568089516E-4</v>
      </c>
      <c r="H6" s="7">
        <f>$B6 * IFERROR(VLOOKUP("LULUCF|PM25|Asthma symptoms cough", US_national_yearly!$D:$AM, 16, FALSE) / VLOOKUP("LULUCF|PM25|Asthma symptoms cough", US_national_yearly!$D:$AM, 10, FALSE), 1)</f>
        <v>1.8383188568089516E-4</v>
      </c>
      <c r="I6" s="7">
        <f>$B6 * IFERROR(VLOOKUP("LULUCF|PM25|Asthma symptoms cough", US_national_yearly!$D:$AM, 17, FALSE) / VLOOKUP("LULUCF|PM25|Asthma symptoms cough", US_national_yearly!$D:$AM, 10, FALSE), 1)</f>
        <v>1.8383188568089516E-4</v>
      </c>
      <c r="J6" s="7">
        <f>$B6 * IFERROR(VLOOKUP("LULUCF|PM25|Asthma symptoms cough", US_national_yearly!$D:$AM, 18, FALSE) / VLOOKUP("LULUCF|PM25|Asthma symptoms cough", US_national_yearly!$D:$AM, 10, FALSE), 1)</f>
        <v>1.8383188568089516E-4</v>
      </c>
      <c r="K6" s="7">
        <f>$B6 * IFERROR(VLOOKUP("LULUCF|PM25|Asthma symptoms cough", US_national_yearly!$D:$AM, 19, FALSE) / VLOOKUP("LULUCF|PM25|Asthma symptoms cough", US_national_yearly!$D:$AM, 10, FALSE), 1)</f>
        <v>1.8383188568089516E-4</v>
      </c>
      <c r="L6" s="7">
        <f>$B6 * IFERROR(VLOOKUP("LULUCF|PM25|Asthma symptoms cough", US_national_yearly!$D:$AM, 20, FALSE) / VLOOKUP("LULUCF|PM25|Asthma symptoms cough", US_national_yearly!$D:$AM, 10, FALSE), 1)</f>
        <v>1.8383188568089516E-4</v>
      </c>
      <c r="M6" s="7">
        <f>$B6 * IFERROR(VLOOKUP("LULUCF|PM25|Asthma symptoms cough", US_national_yearly!$D:$AM, 21, FALSE) / VLOOKUP("LULUCF|PM25|Asthma symptoms cough", US_national_yearly!$D:$AM, 10, FALSE), 1)</f>
        <v>1.8383188568089516E-4</v>
      </c>
      <c r="N6" s="7">
        <f>$B6 * IFERROR(VLOOKUP("LULUCF|PM25|Asthma symptoms cough", US_national_yearly!$D:$AM, 22, FALSE) / VLOOKUP("LULUCF|PM25|Asthma symptoms cough", US_national_yearly!$D:$AM, 10, FALSE), 1)</f>
        <v>1.8383188568089516E-4</v>
      </c>
      <c r="O6" s="7">
        <f>$B6 * IFERROR(VLOOKUP("LULUCF|PM25|Asthma symptoms cough", US_national_yearly!$D:$AM, 23, FALSE) / VLOOKUP("LULUCF|PM25|Asthma symptoms cough", US_national_yearly!$D:$AM, 10, FALSE), 1)</f>
        <v>1.8383188568089516E-4</v>
      </c>
      <c r="P6" s="7">
        <f>$B6 * IFERROR(VLOOKUP("LULUCF|PM25|Asthma symptoms cough", US_national_yearly!$D:$AM, 24, FALSE) / VLOOKUP("LULUCF|PM25|Asthma symptoms cough", US_national_yearly!$D:$AM, 10, FALSE), 1)</f>
        <v>1.8383188568089516E-4</v>
      </c>
      <c r="Q6" s="7">
        <f>$B6 * IFERROR(VLOOKUP("LULUCF|PM25|Asthma symptoms cough", US_national_yearly!$D:$AM, 25, FALSE) / VLOOKUP("LULUCF|PM25|Asthma symptoms cough", US_national_yearly!$D:$AM, 10, FALSE), 1)</f>
        <v>1.8383188568089516E-4</v>
      </c>
      <c r="R6" s="7">
        <f>$B6 * IFERROR(VLOOKUP("LULUCF|PM25|Asthma symptoms cough", US_national_yearly!$D:$AM, 26, FALSE) / VLOOKUP("LULUCF|PM25|Asthma symptoms cough", US_national_yearly!$D:$AM, 10, FALSE), 1)</f>
        <v>1.8383188568089516E-4</v>
      </c>
      <c r="S6" s="7">
        <f>$B6 * IFERROR(VLOOKUP("LULUCF|PM25|Asthma symptoms cough", US_national_yearly!$D:$AM, 27, FALSE) / VLOOKUP("LULUCF|PM25|Asthma symptoms cough", US_national_yearly!$D:$AM, 10, FALSE), 1)</f>
        <v>1.8383188568089516E-4</v>
      </c>
      <c r="T6" s="7">
        <f>$B6 * IFERROR(VLOOKUP("LULUCF|PM25|Asthma symptoms cough", US_national_yearly!$D:$AM, 28, FALSE) / VLOOKUP("LULUCF|PM25|Asthma symptoms cough", US_national_yearly!$D:$AM, 10, FALSE), 1)</f>
        <v>1.8383188568089516E-4</v>
      </c>
      <c r="U6" s="7">
        <f>$B6 * IFERROR(VLOOKUP("LULUCF|PM25|Asthma symptoms cough", US_national_yearly!$D:$AM, 29, FALSE) / VLOOKUP("LULUCF|PM25|Asthma symptoms cough", US_national_yearly!$D:$AM, 10, FALSE), 1)</f>
        <v>1.8383188568089516E-4</v>
      </c>
      <c r="V6" s="7">
        <f>$B6 * IFERROR(VLOOKUP("LULUCF|PM25|Asthma symptoms cough", US_national_yearly!$D:$AM, 30, FALSE) / VLOOKUP("LULUCF|PM25|Asthma symptoms cough", US_national_yearly!$D:$AM, 10, FALSE), 1)</f>
        <v>1.8383188568089516E-4</v>
      </c>
      <c r="W6" s="7">
        <f>$B6 * IFERROR(VLOOKUP("LULUCF|PM25|Asthma symptoms cough", US_national_yearly!$D:$AM, 31, FALSE) / VLOOKUP("LULUCF|PM25|Asthma symptoms cough", US_national_yearly!$D:$AM, 10, FALSE), 1)</f>
        <v>1.8383188568089516E-4</v>
      </c>
      <c r="X6" s="7">
        <f>$B6 * IFERROR(VLOOKUP("LULUCF|PM25|Asthma symptoms cough", US_national_yearly!$D:$AM, 32, FALSE) / VLOOKUP("LULUCF|PM25|Asthma symptoms cough", US_national_yearly!$D:$AM, 10, FALSE), 1)</f>
        <v>1.8383188568089516E-4</v>
      </c>
      <c r="Y6" s="7">
        <f>$B6 * IFERROR(VLOOKUP("LULUCF|PM25|Asthma symptoms cough", US_national_yearly!$D:$AM, 33, FALSE) / VLOOKUP("LULUCF|PM25|Asthma symptoms cough", US_national_yearly!$D:$AM, 10, FALSE), 1)</f>
        <v>1.8383188568089516E-4</v>
      </c>
      <c r="Z6" s="7">
        <f>$B6 * IFERROR(VLOOKUP("LULUCF|PM25|Asthma symptoms cough", US_national_yearly!$D:$AM, 34, FALSE) / VLOOKUP("LULUCF|PM25|Asthma symptoms cough", US_national_yearly!$D:$AM, 10, FALSE), 1)</f>
        <v>1.8383188568089516E-4</v>
      </c>
      <c r="AA6" s="7">
        <f>$B6 * IFERROR(VLOOKUP("LULUCF|PM25|Asthma symptoms cough", US_national_yearly!$D:$AM, 35, FALSE) / VLOOKUP("LULUCF|PM25|Asthma symptoms cough", US_national_yearly!$D:$AM, 10, FALSE), 1)</f>
        <v>1.8383188568089516E-4</v>
      </c>
      <c r="AB6" s="7">
        <f>$B6 * IFERROR(VLOOKUP("LULUCF|PM25|Asthma symptoms cough", US_national_yearly!$D:$AM, 36, FALSE) / VLOOKUP("LULUCF|PM25|Asthma symptoms cough", US_national_yearly!$D:$AM, 10, FALSE), 1)</f>
        <v>1.8383188568089516E-4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2.4755430990053658E-4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2.4755430990053658E-4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2.4755430990053658E-4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2.4755430990053658E-4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2.4755430990053658E-4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2.4755430990053658E-4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2.4755430990053658E-4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2.4755430990053658E-4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2.4755430990053658E-4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2.4755430990053658E-4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2.4755430990053658E-4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2.4755430990053658E-4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2.4755430990053658E-4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2.4755430990053658E-4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2.4755430990053658E-4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2.4755430990053658E-4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2.4755430990053658E-4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2.4755430990053658E-4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2.4755430990053658E-4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2.4755430990053658E-4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2.4755430990053658E-4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2.4755430990053658E-4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2.4755430990053658E-4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2.4755430990053658E-4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2.4755430990053658E-4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2.4755430990053658E-4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2.4755430990053658E-4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3.7822816065000609E-4</v>
      </c>
      <c r="C8" s="7">
        <f>$B8 * IFERROR(VLOOKUP("LULUCF|PM25|Asthma symptoms wheeze", US_national_yearly!$D:$AM, 11, FALSE) / VLOOKUP("LULUCF|PM25|Asthma symptoms wheeze", US_national_yearly!$D:$AM, 10, FALSE), 1)</f>
        <v>3.7822816065000609E-4</v>
      </c>
      <c r="D8" s="7">
        <f>$B8 * IFERROR(VLOOKUP("LULUCF|PM25|Asthma symptoms wheeze", US_national_yearly!$D:$AM, 12, FALSE) / VLOOKUP("LULUCF|PM25|Asthma symptoms wheeze", US_national_yearly!$D:$AM, 10, FALSE), 1)</f>
        <v>3.7822816065000609E-4</v>
      </c>
      <c r="E8" s="7">
        <f>$B8 * IFERROR(VLOOKUP("LULUCF|PM25|Asthma symptoms wheeze", US_national_yearly!$D:$AM, 13, FALSE) / VLOOKUP("LULUCF|PM25|Asthma symptoms wheeze", US_national_yearly!$D:$AM, 10, FALSE), 1)</f>
        <v>3.7822816065000609E-4</v>
      </c>
      <c r="F8" s="7">
        <f>$B8 * IFERROR(VLOOKUP("LULUCF|PM25|Asthma symptoms wheeze", US_national_yearly!$D:$AM, 14, FALSE) / VLOOKUP("LULUCF|PM25|Asthma symptoms wheeze", US_national_yearly!$D:$AM, 10, FALSE), 1)</f>
        <v>3.7822816065000609E-4</v>
      </c>
      <c r="G8" s="7">
        <f>$B8 * IFERROR(VLOOKUP("LULUCF|PM25|Asthma symptoms wheeze", US_national_yearly!$D:$AM, 15, FALSE) / VLOOKUP("LULUCF|PM25|Asthma symptoms wheeze", US_national_yearly!$D:$AM, 10, FALSE), 1)</f>
        <v>3.7822816065000609E-4</v>
      </c>
      <c r="H8" s="7">
        <f>$B8 * IFERROR(VLOOKUP("LULUCF|PM25|Asthma symptoms wheeze", US_national_yearly!$D:$AM, 16, FALSE) / VLOOKUP("LULUCF|PM25|Asthma symptoms wheeze", US_national_yearly!$D:$AM, 10, FALSE), 1)</f>
        <v>3.7822816065000609E-4</v>
      </c>
      <c r="I8" s="7">
        <f>$B8 * IFERROR(VLOOKUP("LULUCF|PM25|Asthma symptoms wheeze", US_national_yearly!$D:$AM, 17, FALSE) / VLOOKUP("LULUCF|PM25|Asthma symptoms wheeze", US_national_yearly!$D:$AM, 10, FALSE), 1)</f>
        <v>3.7822816065000609E-4</v>
      </c>
      <c r="J8" s="7">
        <f>$B8 * IFERROR(VLOOKUP("LULUCF|PM25|Asthma symptoms wheeze", US_national_yearly!$D:$AM, 18, FALSE) / VLOOKUP("LULUCF|PM25|Asthma symptoms wheeze", US_national_yearly!$D:$AM, 10, FALSE), 1)</f>
        <v>3.7822816065000609E-4</v>
      </c>
      <c r="K8" s="7">
        <f>$B8 * IFERROR(VLOOKUP("LULUCF|PM25|Asthma symptoms wheeze", US_national_yearly!$D:$AM, 19, FALSE) / VLOOKUP("LULUCF|PM25|Asthma symptoms wheeze", US_national_yearly!$D:$AM, 10, FALSE), 1)</f>
        <v>3.7822816065000609E-4</v>
      </c>
      <c r="L8" s="7">
        <f>$B8 * IFERROR(VLOOKUP("LULUCF|PM25|Asthma symptoms wheeze", US_national_yearly!$D:$AM, 20, FALSE) / VLOOKUP("LULUCF|PM25|Asthma symptoms wheeze", US_national_yearly!$D:$AM, 10, FALSE), 1)</f>
        <v>3.7822816065000609E-4</v>
      </c>
      <c r="M8" s="7">
        <f>$B8 * IFERROR(VLOOKUP("LULUCF|PM25|Asthma symptoms wheeze", US_national_yearly!$D:$AM, 21, FALSE) / VLOOKUP("LULUCF|PM25|Asthma symptoms wheeze", US_national_yearly!$D:$AM, 10, FALSE), 1)</f>
        <v>3.7822816065000609E-4</v>
      </c>
      <c r="N8" s="7">
        <f>$B8 * IFERROR(VLOOKUP("LULUCF|PM25|Asthma symptoms wheeze", US_national_yearly!$D:$AM, 22, FALSE) / VLOOKUP("LULUCF|PM25|Asthma symptoms wheeze", US_national_yearly!$D:$AM, 10, FALSE), 1)</f>
        <v>3.7822816065000609E-4</v>
      </c>
      <c r="O8" s="7">
        <f>$B8 * IFERROR(VLOOKUP("LULUCF|PM25|Asthma symptoms wheeze", US_national_yearly!$D:$AM, 23, FALSE) / VLOOKUP("LULUCF|PM25|Asthma symptoms wheeze", US_national_yearly!$D:$AM, 10, FALSE), 1)</f>
        <v>3.7822816065000609E-4</v>
      </c>
      <c r="P8" s="7">
        <f>$B8 * IFERROR(VLOOKUP("LULUCF|PM25|Asthma symptoms wheeze", US_national_yearly!$D:$AM, 24, FALSE) / VLOOKUP("LULUCF|PM25|Asthma symptoms wheeze", US_national_yearly!$D:$AM, 10, FALSE), 1)</f>
        <v>3.7822816065000609E-4</v>
      </c>
      <c r="Q8" s="7">
        <f>$B8 * IFERROR(VLOOKUP("LULUCF|PM25|Asthma symptoms wheeze", US_national_yearly!$D:$AM, 25, FALSE) / VLOOKUP("LULUCF|PM25|Asthma symptoms wheeze", US_national_yearly!$D:$AM, 10, FALSE), 1)</f>
        <v>3.7822816065000609E-4</v>
      </c>
      <c r="R8" s="7">
        <f>$B8 * IFERROR(VLOOKUP("LULUCF|PM25|Asthma symptoms wheeze", US_national_yearly!$D:$AM, 26, FALSE) / VLOOKUP("LULUCF|PM25|Asthma symptoms wheeze", US_national_yearly!$D:$AM, 10, FALSE), 1)</f>
        <v>3.7822816065000609E-4</v>
      </c>
      <c r="S8" s="7">
        <f>$B8 * IFERROR(VLOOKUP("LULUCF|PM25|Asthma symptoms wheeze", US_national_yearly!$D:$AM, 27, FALSE) / VLOOKUP("LULUCF|PM25|Asthma symptoms wheeze", US_national_yearly!$D:$AM, 10, FALSE), 1)</f>
        <v>3.7822816065000609E-4</v>
      </c>
      <c r="T8" s="7">
        <f>$B8 * IFERROR(VLOOKUP("LULUCF|PM25|Asthma symptoms wheeze", US_national_yearly!$D:$AM, 28, FALSE) / VLOOKUP("LULUCF|PM25|Asthma symptoms wheeze", US_national_yearly!$D:$AM, 10, FALSE), 1)</f>
        <v>3.7822816065000609E-4</v>
      </c>
      <c r="U8" s="7">
        <f>$B8 * IFERROR(VLOOKUP("LULUCF|PM25|Asthma symptoms wheeze", US_national_yearly!$D:$AM, 29, FALSE) / VLOOKUP("LULUCF|PM25|Asthma symptoms wheeze", US_national_yearly!$D:$AM, 10, FALSE), 1)</f>
        <v>3.7822816065000609E-4</v>
      </c>
      <c r="V8" s="7">
        <f>$B8 * IFERROR(VLOOKUP("LULUCF|PM25|Asthma symptoms wheeze", US_national_yearly!$D:$AM, 30, FALSE) / VLOOKUP("LULUCF|PM25|Asthma symptoms wheeze", US_national_yearly!$D:$AM, 10, FALSE), 1)</f>
        <v>3.7822816065000609E-4</v>
      </c>
      <c r="W8" s="7">
        <f>$B8 * IFERROR(VLOOKUP("LULUCF|PM25|Asthma symptoms wheeze", US_national_yearly!$D:$AM, 31, FALSE) / VLOOKUP("LULUCF|PM25|Asthma symptoms wheeze", US_national_yearly!$D:$AM, 10, FALSE), 1)</f>
        <v>3.7822816065000609E-4</v>
      </c>
      <c r="X8" s="7">
        <f>$B8 * IFERROR(VLOOKUP("LULUCF|PM25|Asthma symptoms wheeze", US_national_yearly!$D:$AM, 32, FALSE) / VLOOKUP("LULUCF|PM25|Asthma symptoms wheeze", US_national_yearly!$D:$AM, 10, FALSE), 1)</f>
        <v>3.7822816065000609E-4</v>
      </c>
      <c r="Y8" s="7">
        <f>$B8 * IFERROR(VLOOKUP("LULUCF|PM25|Asthma symptoms wheeze", US_national_yearly!$D:$AM, 33, FALSE) / VLOOKUP("LULUCF|PM25|Asthma symptoms wheeze", US_national_yearly!$D:$AM, 10, FALSE), 1)</f>
        <v>3.7822816065000609E-4</v>
      </c>
      <c r="Z8" s="7">
        <f>$B8 * IFERROR(VLOOKUP("LULUCF|PM25|Asthma symptoms wheeze", US_national_yearly!$D:$AM, 34, FALSE) / VLOOKUP("LULUCF|PM25|Asthma symptoms wheeze", US_national_yearly!$D:$AM, 10, FALSE), 1)</f>
        <v>3.7822816065000609E-4</v>
      </c>
      <c r="AA8" s="7">
        <f>$B8 * IFERROR(VLOOKUP("LULUCF|PM25|Asthma symptoms wheeze", US_national_yearly!$D:$AM, 35, FALSE) / VLOOKUP("LULUCF|PM25|Asthma symptoms wheeze", US_national_yearly!$D:$AM, 10, FALSE), 1)</f>
        <v>3.7822816065000609E-4</v>
      </c>
      <c r="AB8" s="7">
        <f>$B8 * IFERROR(VLOOKUP("LULUCF|PM25|Asthma symptoms wheeze", US_national_yearly!$D:$AM, 36, FALSE) / VLOOKUP("LULUCF|PM25|Asthma symptoms wheeze", US_national_yearly!$D:$AM, 10, FALSE), 1)</f>
        <v>3.7822816065000609E-4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1.0370185708084284E-5</v>
      </c>
      <c r="C12" s="7">
        <f>$B12 * IFERROR(VLOOKUP("LULUCF|PM25|Respiratory hospital admissions", US_national_yearly!$D:$AM, 11, FALSE) / VLOOKUP("LULUCF|PM25|Respiratory hospital admissions", US_national_yearly!$D:$AM, 10, FALSE), 1)</f>
        <v>1.0429623432787575E-5</v>
      </c>
      <c r="D12" s="7">
        <f>$B12 * IFERROR(VLOOKUP("LULUCF|PM25|Respiratory hospital admissions", US_national_yearly!$D:$AM, 12, FALSE) / VLOOKUP("LULUCF|PM25|Respiratory hospital admissions", US_national_yearly!$D:$AM, 10, FALSE), 1)</f>
        <v>1.0489061157490865E-5</v>
      </c>
      <c r="E12" s="7">
        <f>$B12 * IFERROR(VLOOKUP("LULUCF|PM25|Respiratory hospital admissions", US_national_yearly!$D:$AM, 13, FALSE) / VLOOKUP("LULUCF|PM25|Respiratory hospital admissions", US_national_yearly!$D:$AM, 10, FALSE), 1)</f>
        <v>1.0548498882194156E-5</v>
      </c>
      <c r="F12" s="7">
        <f>$B12 * IFERROR(VLOOKUP("LULUCF|PM25|Respiratory hospital admissions", US_national_yearly!$D:$AM, 14, FALSE) / VLOOKUP("LULUCF|PM25|Respiratory hospital admissions", US_national_yearly!$D:$AM, 10, FALSE), 1)</f>
        <v>1.0607936606897446E-5</v>
      </c>
      <c r="G12" s="7">
        <f>$B12 * IFERROR(VLOOKUP("LULUCF|PM25|Respiratory hospital admissions", US_national_yearly!$D:$AM, 15, FALSE) / VLOOKUP("LULUCF|PM25|Respiratory hospital admissions", US_national_yearly!$D:$AM, 10, FALSE), 1)</f>
        <v>1.0672131884909532E-5</v>
      </c>
      <c r="H12" s="7">
        <f>$B12 * IFERROR(VLOOKUP("LULUCF|PM25|Respiratory hospital admissions", US_national_yearly!$D:$AM, 16, FALSE) / VLOOKUP("LULUCF|PM25|Respiratory hospital admissions", US_national_yearly!$D:$AM, 10, FALSE), 1)</f>
        <v>1.073632716292162E-5</v>
      </c>
      <c r="I12" s="7">
        <f>$B12 * IFERROR(VLOOKUP("LULUCF|PM25|Respiratory hospital admissions", US_national_yearly!$D:$AM, 17, FALSE) / VLOOKUP("LULUCF|PM25|Respiratory hospital admissions", US_national_yearly!$D:$AM, 10, FALSE), 1)</f>
        <v>1.0797663312058104E-5</v>
      </c>
      <c r="J12" s="7">
        <f>$B12 * IFERROR(VLOOKUP("LULUCF|PM25|Respiratory hospital admissions", US_national_yearly!$D:$AM, 18, FALSE) / VLOOKUP("LULUCF|PM25|Respiratory hospital admissions", US_national_yearly!$D:$AM, 10, FALSE), 1)</f>
        <v>1.0858999461194592E-5</v>
      </c>
      <c r="K12" s="7">
        <f>$B12 * IFERROR(VLOOKUP("LULUCF|PM25|Respiratory hospital admissions", US_national_yearly!$D:$AM, 19, FALSE) / VLOOKUP("LULUCF|PM25|Respiratory hospital admissions", US_national_yearly!$D:$AM, 10, FALSE), 1)</f>
        <v>1.0920335610331079E-5</v>
      </c>
      <c r="L12" s="7">
        <f>$B12 * IFERROR(VLOOKUP("LULUCF|PM25|Respiratory hospital admissions", US_national_yearly!$D:$AM, 20, FALSE) / VLOOKUP("LULUCF|PM25|Respiratory hospital admissions", US_national_yearly!$D:$AM, 10, FALSE), 1)</f>
        <v>1.098167175946757E-5</v>
      </c>
      <c r="M12" s="7">
        <f>$B12 * IFERROR(VLOOKUP("LULUCF|PM25|Respiratory hospital admissions", US_national_yearly!$D:$AM, 21, FALSE) / VLOOKUP("LULUCF|PM25|Respiratory hospital admissions", US_national_yearly!$D:$AM, 10, FALSE), 1)</f>
        <v>1.1043007908604053E-5</v>
      </c>
      <c r="N12" s="7">
        <f>$B12 * IFERROR(VLOOKUP("LULUCF|PM25|Respiratory hospital admissions", US_national_yearly!$D:$AM, 22, FALSE) / VLOOKUP("LULUCF|PM25|Respiratory hospital admissions", US_national_yearly!$D:$AM, 10, FALSE), 1)</f>
        <v>1.1087030652740328E-5</v>
      </c>
      <c r="O12" s="7">
        <f>$B12 * IFERROR(VLOOKUP("LULUCF|PM25|Respiratory hospital admissions", US_national_yearly!$D:$AM, 23, FALSE) / VLOOKUP("LULUCF|PM25|Respiratory hospital admissions", US_national_yearly!$D:$AM, 10, FALSE), 1)</f>
        <v>1.1131053396876599E-5</v>
      </c>
      <c r="P12" s="7">
        <f>$B12 * IFERROR(VLOOKUP("LULUCF|PM25|Respiratory hospital admissions", US_national_yearly!$D:$AM, 24, FALSE) / VLOOKUP("LULUCF|PM25|Respiratory hospital admissions", US_national_yearly!$D:$AM, 10, FALSE), 1)</f>
        <v>1.1175076141012868E-5</v>
      </c>
      <c r="Q12" s="7">
        <f>$B12 * IFERROR(VLOOKUP("LULUCF|PM25|Respiratory hospital admissions", US_national_yearly!$D:$AM, 25, FALSE) / VLOOKUP("LULUCF|PM25|Respiratory hospital admissions", US_national_yearly!$D:$AM, 10, FALSE), 1)</f>
        <v>1.121909888514914E-5</v>
      </c>
      <c r="R12" s="7">
        <f>$B12 * IFERROR(VLOOKUP("LULUCF|PM25|Respiratory hospital admissions", US_national_yearly!$D:$AM, 26, FALSE) / VLOOKUP("LULUCF|PM25|Respiratory hospital admissions", US_national_yearly!$D:$AM, 10, FALSE), 1)</f>
        <v>1.1263121629285413E-5</v>
      </c>
      <c r="S12" s="7">
        <f>$B12 * IFERROR(VLOOKUP("LULUCF|PM25|Respiratory hospital admissions", US_national_yearly!$D:$AM, 27, FALSE) / VLOOKUP("LULUCF|PM25|Respiratory hospital admissions", US_national_yearly!$D:$AM, 10, FALSE), 1)</f>
        <v>1.1305037082486375E-5</v>
      </c>
      <c r="T12" s="7">
        <f>$B12 * IFERROR(VLOOKUP("LULUCF|PM25|Respiratory hospital admissions", US_national_yearly!$D:$AM, 28, FALSE) / VLOOKUP("LULUCF|PM25|Respiratory hospital admissions", US_national_yearly!$D:$AM, 10, FALSE), 1)</f>
        <v>1.134695253568734E-5</v>
      </c>
      <c r="U12" s="7">
        <f>$B12 * IFERROR(VLOOKUP("LULUCF|PM25|Respiratory hospital admissions", US_national_yearly!$D:$AM, 29, FALSE) / VLOOKUP("LULUCF|PM25|Respiratory hospital admissions", US_national_yearly!$D:$AM, 10, FALSE), 1)</f>
        <v>1.1388867988888301E-5</v>
      </c>
      <c r="V12" s="7">
        <f>$B12 * IFERROR(VLOOKUP("LULUCF|PM25|Respiratory hospital admissions", US_national_yearly!$D:$AM, 30, FALSE) / VLOOKUP("LULUCF|PM25|Respiratory hospital admissions", US_national_yearly!$D:$AM, 10, FALSE), 1)</f>
        <v>1.1430783442089263E-5</v>
      </c>
      <c r="W12" s="7">
        <f>$B12 * IFERROR(VLOOKUP("LULUCF|PM25|Respiratory hospital admissions", US_national_yearly!$D:$AM, 31, FALSE) / VLOOKUP("LULUCF|PM25|Respiratory hospital admissions", US_national_yearly!$D:$AM, 10, FALSE), 1)</f>
        <v>1.1472698895290224E-5</v>
      </c>
      <c r="X12" s="7">
        <f>$B12 * IFERROR(VLOOKUP("LULUCF|PM25|Respiratory hospital admissions", US_national_yearly!$D:$AM, 32, FALSE) / VLOOKUP("LULUCF|PM25|Respiratory hospital admissions", US_national_yearly!$D:$AM, 10, FALSE), 1)</f>
        <v>1.1513022095950205E-5</v>
      </c>
      <c r="Y12" s="7">
        <f>$B12 * IFERROR(VLOOKUP("LULUCF|PM25|Respiratory hospital admissions", US_national_yearly!$D:$AM, 33, FALSE) / VLOOKUP("LULUCF|PM25|Respiratory hospital admissions", US_national_yearly!$D:$AM, 10, FALSE), 1)</f>
        <v>1.1553345296610179E-5</v>
      </c>
      <c r="Z12" s="7">
        <f>$B12 * IFERROR(VLOOKUP("LULUCF|PM25|Respiratory hospital admissions", US_national_yearly!$D:$AM, 34, FALSE) / VLOOKUP("LULUCF|PM25|Respiratory hospital admissions", US_national_yearly!$D:$AM, 10, FALSE), 1)</f>
        <v>1.1593668497270158E-5</v>
      </c>
      <c r="AA12" s="7">
        <f>$B12 * IFERROR(VLOOKUP("LULUCF|PM25|Respiratory hospital admissions", US_national_yearly!$D:$AM, 35, FALSE) / VLOOKUP("LULUCF|PM25|Respiratory hospital admissions", US_national_yearly!$D:$AM, 10, FALSE), 1)</f>
        <v>1.1633991697930132E-5</v>
      </c>
      <c r="AB12" s="7">
        <f>$B12 * IFERROR(VLOOKUP("LULUCF|PM25|Respiratory hospital admissions", US_national_yearly!$D:$AM, 36, FALSE) / VLOOKUP("LULUCF|PM25|Respiratory hospital admissions", US_national_yearly!$D:$AM, 10, FALSE), 1)</f>
        <v>1.1674314898590109E-5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3.6739074286581025E-5</v>
      </c>
      <c r="C13" s="7">
        <f>$B13 * IFERROR(VLOOKUP("LULUCF|PM25|Non-fatal heart attacks", US_national_yearly!$D:$AM, 11, FALSE) / VLOOKUP("LULUCF|PM25|Non-fatal heart attacks", US_national_yearly!$D:$AM, 10, FALSE), 1)</f>
        <v>3.7807176670436871E-5</v>
      </c>
      <c r="D13" s="7">
        <f>$B13 * IFERROR(VLOOKUP("LULUCF|PM25|Non-fatal heart attacks", US_national_yearly!$D:$AM, 12, FALSE) / VLOOKUP("LULUCF|PM25|Non-fatal heart attacks", US_national_yearly!$D:$AM, 10, FALSE), 1)</f>
        <v>3.8875279054292718E-5</v>
      </c>
      <c r="E13" s="7">
        <f>$B13 * IFERROR(VLOOKUP("LULUCF|PM25|Non-fatal heart attacks", US_national_yearly!$D:$AM, 13, FALSE) / VLOOKUP("LULUCF|PM25|Non-fatal heart attacks", US_national_yearly!$D:$AM, 10, FALSE), 1)</f>
        <v>3.9943381438148557E-5</v>
      </c>
      <c r="F13" s="7">
        <f>$B13 * IFERROR(VLOOKUP("LULUCF|PM25|Non-fatal heart attacks", US_national_yearly!$D:$AM, 14, FALSE) / VLOOKUP("LULUCF|PM25|Non-fatal heart attacks", US_national_yearly!$D:$AM, 10, FALSE), 1)</f>
        <v>4.101148382200441E-5</v>
      </c>
      <c r="G13" s="7">
        <f>$B13 * IFERROR(VLOOKUP("LULUCF|PM25|Non-fatal heart attacks", US_national_yearly!$D:$AM, 15, FALSE) / VLOOKUP("LULUCF|PM25|Non-fatal heart attacks", US_national_yearly!$D:$AM, 10, FALSE), 1)</f>
        <v>4.2018771894104078E-5</v>
      </c>
      <c r="H13" s="7">
        <f>$B13 * IFERROR(VLOOKUP("LULUCF|PM25|Non-fatal heart attacks", US_national_yearly!$D:$AM, 16, FALSE) / VLOOKUP("LULUCF|PM25|Non-fatal heart attacks", US_national_yearly!$D:$AM, 10, FALSE), 1)</f>
        <v>4.302605996620374E-5</v>
      </c>
      <c r="I13" s="7">
        <f>$B13 * IFERROR(VLOOKUP("LULUCF|PM25|Non-fatal heart attacks", US_national_yearly!$D:$AM, 17, FALSE) / VLOOKUP("LULUCF|PM25|Non-fatal heart attacks", US_national_yearly!$D:$AM, 10, FALSE), 1)</f>
        <v>4.3835584396023811E-5</v>
      </c>
      <c r="J13" s="7">
        <f>$B13 * IFERROR(VLOOKUP("LULUCF|PM25|Non-fatal heart attacks", US_national_yearly!$D:$AM, 18, FALSE) / VLOOKUP("LULUCF|PM25|Non-fatal heart attacks", US_national_yearly!$D:$AM, 10, FALSE), 1)</f>
        <v>4.4645108825843882E-5</v>
      </c>
      <c r="K13" s="7">
        <f>$B13 * IFERROR(VLOOKUP("LULUCF|PM25|Non-fatal heart attacks", US_national_yearly!$D:$AM, 19, FALSE) / VLOOKUP("LULUCF|PM25|Non-fatal heart attacks", US_national_yearly!$D:$AM, 10, FALSE), 1)</f>
        <v>4.545463325566396E-5</v>
      </c>
      <c r="L13" s="7">
        <f>$B13 * IFERROR(VLOOKUP("LULUCF|PM25|Non-fatal heart attacks", US_national_yearly!$D:$AM, 20, FALSE) / VLOOKUP("LULUCF|PM25|Non-fatal heart attacks", US_national_yearly!$D:$AM, 10, FALSE), 1)</f>
        <v>4.6264157685484024E-5</v>
      </c>
      <c r="M13" s="7">
        <f>$B13 * IFERROR(VLOOKUP("LULUCF|PM25|Non-fatal heart attacks", US_national_yearly!$D:$AM, 21, FALSE) / VLOOKUP("LULUCF|PM25|Non-fatal heart attacks", US_national_yearly!$D:$AM, 10, FALSE), 1)</f>
        <v>4.7073682115304102E-5</v>
      </c>
      <c r="N13" s="7">
        <f>$B13 * IFERROR(VLOOKUP("LULUCF|PM25|Non-fatal heart attacks", US_national_yearly!$D:$AM, 22, FALSE) / VLOOKUP("LULUCF|PM25|Non-fatal heart attacks", US_national_yearly!$D:$AM, 10, FALSE), 1)</f>
        <v>4.7595745435659916E-5</v>
      </c>
      <c r="O13" s="7">
        <f>$B13 * IFERROR(VLOOKUP("LULUCF|PM25|Non-fatal heart attacks", US_national_yearly!$D:$AM, 23, FALSE) / VLOOKUP("LULUCF|PM25|Non-fatal heart attacks", US_national_yearly!$D:$AM, 10, FALSE), 1)</f>
        <v>4.8117808756015737E-5</v>
      </c>
      <c r="P13" s="7">
        <f>$B13 * IFERROR(VLOOKUP("LULUCF|PM25|Non-fatal heart attacks", US_national_yearly!$D:$AM, 24, FALSE) / VLOOKUP("LULUCF|PM25|Non-fatal heart attacks", US_national_yearly!$D:$AM, 10, FALSE), 1)</f>
        <v>4.8639872076371552E-5</v>
      </c>
      <c r="Q13" s="7">
        <f>$B13 * IFERROR(VLOOKUP("LULUCF|PM25|Non-fatal heart attacks", US_national_yearly!$D:$AM, 25, FALSE) / VLOOKUP("LULUCF|PM25|Non-fatal heart attacks", US_national_yearly!$D:$AM, 10, FALSE), 1)</f>
        <v>4.9161935396727366E-5</v>
      </c>
      <c r="R13" s="7">
        <f>$B13 * IFERROR(VLOOKUP("LULUCF|PM25|Non-fatal heart attacks", US_national_yearly!$D:$AM, 26, FALSE) / VLOOKUP("LULUCF|PM25|Non-fatal heart attacks", US_national_yearly!$D:$AM, 10, FALSE), 1)</f>
        <v>4.9683998717083187E-5</v>
      </c>
      <c r="S13" s="7">
        <f>$B13 * IFERROR(VLOOKUP("LULUCF|PM25|Non-fatal heart attacks", US_national_yearly!$D:$AM, 27, FALSE) / VLOOKUP("LULUCF|PM25|Non-fatal heart attacks", US_national_yearly!$D:$AM, 10, FALSE), 1)</f>
        <v>4.995893217681779E-5</v>
      </c>
      <c r="T13" s="7">
        <f>$B13 * IFERROR(VLOOKUP("LULUCF|PM25|Non-fatal heart attacks", US_national_yearly!$D:$AM, 28, FALSE) / VLOOKUP("LULUCF|PM25|Non-fatal heart attacks", US_national_yearly!$D:$AM, 10, FALSE), 1)</f>
        <v>5.0233865636552413E-5</v>
      </c>
      <c r="U13" s="7">
        <f>$B13 * IFERROR(VLOOKUP("LULUCF|PM25|Non-fatal heart attacks", US_national_yearly!$D:$AM, 29, FALSE) / VLOOKUP("LULUCF|PM25|Non-fatal heart attacks", US_national_yearly!$D:$AM, 10, FALSE), 1)</f>
        <v>5.050879909628703E-5</v>
      </c>
      <c r="V13" s="7">
        <f>$B13 * IFERROR(VLOOKUP("LULUCF|PM25|Non-fatal heart attacks", US_national_yearly!$D:$AM, 30, FALSE) / VLOOKUP("LULUCF|PM25|Non-fatal heart attacks", US_national_yearly!$D:$AM, 10, FALSE), 1)</f>
        <v>5.0783732556021646E-5</v>
      </c>
      <c r="W13" s="7">
        <f>$B13 * IFERROR(VLOOKUP("LULUCF|PM25|Non-fatal heart attacks", US_national_yearly!$D:$AM, 31, FALSE) / VLOOKUP("LULUCF|PM25|Non-fatal heart attacks", US_national_yearly!$D:$AM, 10, FALSE), 1)</f>
        <v>5.1058666015756256E-5</v>
      </c>
      <c r="X13" s="7">
        <f>$B13 * IFERROR(VLOOKUP("LULUCF|PM25|Non-fatal heart attacks", US_national_yearly!$D:$AM, 32, FALSE) / VLOOKUP("LULUCF|PM25|Non-fatal heart attacks", US_national_yearly!$D:$AM, 10, FALSE), 1)</f>
        <v>5.1267380266256074E-5</v>
      </c>
      <c r="Y13" s="7">
        <f>$B13 * IFERROR(VLOOKUP("LULUCF|PM25|Non-fatal heart attacks", US_national_yearly!$D:$AM, 33, FALSE) / VLOOKUP("LULUCF|PM25|Non-fatal heart attacks", US_national_yearly!$D:$AM, 10, FALSE), 1)</f>
        <v>5.1476094516755892E-5</v>
      </c>
      <c r="Z13" s="7">
        <f>$B13 * IFERROR(VLOOKUP("LULUCF|PM25|Non-fatal heart attacks", US_national_yearly!$D:$AM, 34, FALSE) / VLOOKUP("LULUCF|PM25|Non-fatal heart attacks", US_national_yearly!$D:$AM, 10, FALSE), 1)</f>
        <v>5.1684808767255704E-5</v>
      </c>
      <c r="AA13" s="7">
        <f>$B13 * IFERROR(VLOOKUP("LULUCF|PM25|Non-fatal heart attacks", US_national_yearly!$D:$AM, 35, FALSE) / VLOOKUP("LULUCF|PM25|Non-fatal heart attacks", US_national_yearly!$D:$AM, 10, FALSE), 1)</f>
        <v>5.1893523017755528E-5</v>
      </c>
      <c r="AB13" s="7">
        <f>$B13 * IFERROR(VLOOKUP("LULUCF|PM25|Non-fatal heart attacks", US_national_yearly!$D:$AM, 36, FALSE) / VLOOKUP("LULUCF|PM25|Non-fatal heart attacks", US_national_yearly!$D:$AM, 10, FALSE), 1)</f>
        <v>5.210223726825534E-5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2.3825363903973992E-2</v>
      </c>
      <c r="C14" s="7">
        <f>$B14 * IFERROR(VLOOKUP("LULUCF|PM25|Minor restricted activity days", US_national_yearly!$D:$AM, 11, FALSE) / VLOOKUP("LULUCF|PM25|Minor restricted activity days", US_national_yearly!$D:$AM, 10, FALSE), 1)</f>
        <v>2.3883548268098458E-2</v>
      </c>
      <c r="D14" s="7">
        <f>$B14 * IFERROR(VLOOKUP("LULUCF|PM25|Minor restricted activity days", US_national_yearly!$D:$AM, 12, FALSE) / VLOOKUP("LULUCF|PM25|Minor restricted activity days", US_national_yearly!$D:$AM, 10, FALSE), 1)</f>
        <v>2.3941732632222927E-2</v>
      </c>
      <c r="E14" s="7">
        <f>$B14 * IFERROR(VLOOKUP("LULUCF|PM25|Minor restricted activity days", US_national_yearly!$D:$AM, 13, FALSE) / VLOOKUP("LULUCF|PM25|Minor restricted activity days", US_national_yearly!$D:$AM, 10, FALSE), 1)</f>
        <v>2.39999169963474E-2</v>
      </c>
      <c r="F14" s="7">
        <f>$B14 * IFERROR(VLOOKUP("LULUCF|PM25|Minor restricted activity days", US_national_yearly!$D:$AM, 14, FALSE) / VLOOKUP("LULUCF|PM25|Minor restricted activity days", US_national_yearly!$D:$AM, 10, FALSE), 1)</f>
        <v>2.4058101360471863E-2</v>
      </c>
      <c r="G14" s="7">
        <f>$B14 * IFERROR(VLOOKUP("LULUCF|PM25|Minor restricted activity days", US_national_yearly!$D:$AM, 15, FALSE) / VLOOKUP("LULUCF|PM25|Minor restricted activity days", US_national_yearly!$D:$AM, 10, FALSE), 1)</f>
        <v>2.4143950648430394E-2</v>
      </c>
      <c r="H14" s="7">
        <f>$B14 * IFERROR(VLOOKUP("LULUCF|PM25|Minor restricted activity days", US_national_yearly!$D:$AM, 16, FALSE) / VLOOKUP("LULUCF|PM25|Minor restricted activity days", US_national_yearly!$D:$AM, 10, FALSE), 1)</f>
        <v>2.4229799936388925E-2</v>
      </c>
      <c r="I14" s="7">
        <f>$B14 * IFERROR(VLOOKUP("LULUCF|PM25|Minor restricted activity days", US_national_yearly!$D:$AM, 17, FALSE) / VLOOKUP("LULUCF|PM25|Minor restricted activity days", US_national_yearly!$D:$AM, 10, FALSE), 1)</f>
        <v>2.4376562905904901E-2</v>
      </c>
      <c r="J14" s="7">
        <f>$B14 * IFERROR(VLOOKUP("LULUCF|PM25|Minor restricted activity days", US_national_yearly!$D:$AM, 18, FALSE) / VLOOKUP("LULUCF|PM25|Minor restricted activity days", US_national_yearly!$D:$AM, 10, FALSE), 1)</f>
        <v>2.4523325875420863E-2</v>
      </c>
      <c r="K14" s="7">
        <f>$B14 * IFERROR(VLOOKUP("LULUCF|PM25|Minor restricted activity days", US_national_yearly!$D:$AM, 19, FALSE) / VLOOKUP("LULUCF|PM25|Minor restricted activity days", US_national_yearly!$D:$AM, 10, FALSE), 1)</f>
        <v>2.4670088844936839E-2</v>
      </c>
      <c r="L14" s="7">
        <f>$B14 * IFERROR(VLOOKUP("LULUCF|PM25|Minor restricted activity days", US_national_yearly!$D:$AM, 20, FALSE) / VLOOKUP("LULUCF|PM25|Minor restricted activity days", US_national_yearly!$D:$AM, 10, FALSE), 1)</f>
        <v>2.4816851814452808E-2</v>
      </c>
      <c r="M14" s="7">
        <f>$B14 * IFERROR(VLOOKUP("LULUCF|PM25|Minor restricted activity days", US_national_yearly!$D:$AM, 21, FALSE) / VLOOKUP("LULUCF|PM25|Minor restricted activity days", US_national_yearly!$D:$AM, 10, FALSE), 1)</f>
        <v>2.4963614783968777E-2</v>
      </c>
      <c r="N14" s="7">
        <f>$B14 * IFERROR(VLOOKUP("LULUCF|PM25|Minor restricted activity days", US_national_yearly!$D:$AM, 22, FALSE) / VLOOKUP("LULUCF|PM25|Minor restricted activity days", US_national_yearly!$D:$AM, 10, FALSE), 1)</f>
        <v>2.5163535168904794E-2</v>
      </c>
      <c r="O14" s="7">
        <f>$B14 * IFERROR(VLOOKUP("LULUCF|PM25|Minor restricted activity days", US_national_yearly!$D:$AM, 23, FALSE) / VLOOKUP("LULUCF|PM25|Minor restricted activity days", US_national_yearly!$D:$AM, 10, FALSE), 1)</f>
        <v>2.5363455553840803E-2</v>
      </c>
      <c r="P14" s="7">
        <f>$B14 * IFERROR(VLOOKUP("LULUCF|PM25|Minor restricted activity days", US_national_yearly!$D:$AM, 24, FALSE) / VLOOKUP("LULUCF|PM25|Minor restricted activity days", US_national_yearly!$D:$AM, 10, FALSE), 1)</f>
        <v>2.5563375938776819E-2</v>
      </c>
      <c r="Q14" s="7">
        <f>$B14 * IFERROR(VLOOKUP("LULUCF|PM25|Minor restricted activity days", US_national_yearly!$D:$AM, 25, FALSE) / VLOOKUP("LULUCF|PM25|Minor restricted activity days", US_national_yearly!$D:$AM, 10, FALSE), 1)</f>
        <v>2.5763296323712832E-2</v>
      </c>
      <c r="R14" s="7">
        <f>$B14 * IFERROR(VLOOKUP("LULUCF|PM25|Minor restricted activity days", US_national_yearly!$D:$AM, 26, FALSE) / VLOOKUP("LULUCF|PM25|Minor restricted activity days", US_national_yearly!$D:$AM, 10, FALSE), 1)</f>
        <v>2.5963216708648842E-2</v>
      </c>
      <c r="S14" s="7">
        <f>$B14 * IFERROR(VLOOKUP("LULUCF|PM25|Minor restricted activity days", US_national_yearly!$D:$AM, 27, FALSE) / VLOOKUP("LULUCF|PM25|Minor restricted activity days", US_national_yearly!$D:$AM, 10, FALSE), 1)</f>
        <v>2.6164513879766118E-2</v>
      </c>
      <c r="T14" s="7">
        <f>$B14 * IFERROR(VLOOKUP("LULUCF|PM25|Minor restricted activity days", US_national_yearly!$D:$AM, 28, FALSE) / VLOOKUP("LULUCF|PM25|Minor restricted activity days", US_national_yearly!$D:$AM, 10, FALSE), 1)</f>
        <v>2.6365811050883398E-2</v>
      </c>
      <c r="U14" s="7">
        <f>$B14 * IFERROR(VLOOKUP("LULUCF|PM25|Minor restricted activity days", US_national_yearly!$D:$AM, 29, FALSE) / VLOOKUP("LULUCF|PM25|Minor restricted activity days", US_national_yearly!$D:$AM, 10, FALSE), 1)</f>
        <v>2.6567108222000674E-2</v>
      </c>
      <c r="V14" s="7">
        <f>$B14 * IFERROR(VLOOKUP("LULUCF|PM25|Minor restricted activity days", US_national_yearly!$D:$AM, 30, FALSE) / VLOOKUP("LULUCF|PM25|Minor restricted activity days", US_national_yearly!$D:$AM, 10, FALSE), 1)</f>
        <v>2.676840539311795E-2</v>
      </c>
      <c r="W14" s="7">
        <f>$B14 * IFERROR(VLOOKUP("LULUCF|PM25|Minor restricted activity days", US_national_yearly!$D:$AM, 31, FALSE) / VLOOKUP("LULUCF|PM25|Minor restricted activity days", US_national_yearly!$D:$AM, 10, FALSE), 1)</f>
        <v>2.6969702564235226E-2</v>
      </c>
      <c r="X14" s="7">
        <f>$B14 * IFERROR(VLOOKUP("LULUCF|PM25|Minor restricted activity days", US_national_yearly!$D:$AM, 32, FALSE) / VLOOKUP("LULUCF|PM25|Minor restricted activity days", US_national_yearly!$D:$AM, 10, FALSE), 1)</f>
        <v>2.7144448759645733E-2</v>
      </c>
      <c r="Y14" s="7">
        <f>$B14 * IFERROR(VLOOKUP("LULUCF|PM25|Minor restricted activity days", US_national_yearly!$D:$AM, 33, FALSE) / VLOOKUP("LULUCF|PM25|Minor restricted activity days", US_national_yearly!$D:$AM, 10, FALSE), 1)</f>
        <v>2.731919495505624E-2</v>
      </c>
      <c r="Z14" s="7">
        <f>$B14 * IFERROR(VLOOKUP("LULUCF|PM25|Minor restricted activity days", US_national_yearly!$D:$AM, 34, FALSE) / VLOOKUP("LULUCF|PM25|Minor restricted activity days", US_national_yearly!$D:$AM, 10, FALSE), 1)</f>
        <v>2.7493941150466748E-2</v>
      </c>
      <c r="AA14" s="7">
        <f>$B14 * IFERROR(VLOOKUP("LULUCF|PM25|Minor restricted activity days", US_national_yearly!$D:$AM, 35, FALSE) / VLOOKUP("LULUCF|PM25|Minor restricted activity days", US_national_yearly!$D:$AM, 10, FALSE), 1)</f>
        <v>2.7668687345877251E-2</v>
      </c>
      <c r="AB14" s="7">
        <f>$B14 * IFERROR(VLOOKUP("LULUCF|PM25|Minor restricted activity days", US_national_yearly!$D:$AM, 36, FALSE) / VLOOKUP("LULUCF|PM25|Minor restricted activity days", US_national_yearly!$D:$AM, 10, FALSE), 1)</f>
        <v>2.7843433541287755E-2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3.9864244560940147E-3</v>
      </c>
      <c r="C15" s="7">
        <f>$B15 * IFERROR(VLOOKUP("LULUCF|PM25|Work loss days", US_national_yearly!$D:$AM, 11, FALSE) / VLOOKUP("LULUCF|PM25|Work loss days", US_national_yearly!$D:$AM, 10, FALSE), 1)</f>
        <v>3.9987809361142395E-3</v>
      </c>
      <c r="D15" s="7">
        <f>$B15 * IFERROR(VLOOKUP("LULUCF|PM25|Work loss days", US_national_yearly!$D:$AM, 12, FALSE) / VLOOKUP("LULUCF|PM25|Work loss days", US_national_yearly!$D:$AM, 10, FALSE), 1)</f>
        <v>4.0111374161344651E-3</v>
      </c>
      <c r="E15" s="7">
        <f>$B15 * IFERROR(VLOOKUP("LULUCF|PM25|Work loss days", US_national_yearly!$D:$AM, 13, FALSE) / VLOOKUP("LULUCF|PM25|Work loss days", US_national_yearly!$D:$AM, 10, FALSE), 1)</f>
        <v>4.0234938961546899E-3</v>
      </c>
      <c r="F15" s="7">
        <f>$B15 * IFERROR(VLOOKUP("LULUCF|PM25|Work loss days", US_national_yearly!$D:$AM, 14, FALSE) / VLOOKUP("LULUCF|PM25|Work loss days", US_national_yearly!$D:$AM, 10, FALSE), 1)</f>
        <v>4.0358503761749138E-3</v>
      </c>
      <c r="G15" s="7">
        <f>$B15 * IFERROR(VLOOKUP("LULUCF|PM25|Work loss days", US_national_yearly!$D:$AM, 15, FALSE) / VLOOKUP("LULUCF|PM25|Work loss days", US_national_yearly!$D:$AM, 10, FALSE), 1)</f>
        <v>4.0520505099602699E-3</v>
      </c>
      <c r="H15" s="7">
        <f>$B15 * IFERROR(VLOOKUP("LULUCF|PM25|Work loss days", US_national_yearly!$D:$AM, 16, FALSE) / VLOOKUP("LULUCF|PM25|Work loss days", US_national_yearly!$D:$AM, 10, FALSE), 1)</f>
        <v>4.0682506437456269E-3</v>
      </c>
      <c r="I15" s="7">
        <f>$B15 * IFERROR(VLOOKUP("LULUCF|PM25|Work loss days", US_national_yearly!$D:$AM, 17, FALSE) / VLOOKUP("LULUCF|PM25|Work loss days", US_national_yearly!$D:$AM, 10, FALSE), 1)</f>
        <v>4.0921071225147859E-3</v>
      </c>
      <c r="J15" s="7">
        <f>$B15 * IFERROR(VLOOKUP("LULUCF|PM25|Work loss days", US_national_yearly!$D:$AM, 18, FALSE) / VLOOKUP("LULUCF|PM25|Work loss days", US_national_yearly!$D:$AM, 10, FALSE), 1)</f>
        <v>4.1159636012839448E-3</v>
      </c>
      <c r="K15" s="7">
        <f>$B15 * IFERROR(VLOOKUP("LULUCF|PM25|Work loss days", US_national_yearly!$D:$AM, 19, FALSE) / VLOOKUP("LULUCF|PM25|Work loss days", US_national_yearly!$D:$AM, 10, FALSE), 1)</f>
        <v>4.1398200800531037E-3</v>
      </c>
      <c r="L15" s="7">
        <f>$B15 * IFERROR(VLOOKUP("LULUCF|PM25|Work loss days", US_national_yearly!$D:$AM, 20, FALSE) / VLOOKUP("LULUCF|PM25|Work loss days", US_national_yearly!$D:$AM, 10, FALSE), 1)</f>
        <v>4.1636765588222617E-3</v>
      </c>
      <c r="M15" s="7">
        <f>$B15 * IFERROR(VLOOKUP("LULUCF|PM25|Work loss days", US_national_yearly!$D:$AM, 21, FALSE) / VLOOKUP("LULUCF|PM25|Work loss days", US_national_yearly!$D:$AM, 10, FALSE), 1)</f>
        <v>4.1875330375914207E-3</v>
      </c>
      <c r="N15" s="7">
        <f>$B15 * IFERROR(VLOOKUP("LULUCF|PM25|Work loss days", US_national_yearly!$D:$AM, 22, FALSE) / VLOOKUP("LULUCF|PM25|Work loss days", US_national_yearly!$D:$AM, 10, FALSE), 1)</f>
        <v>4.2175582217906836E-3</v>
      </c>
      <c r="O15" s="7">
        <f>$B15 * IFERROR(VLOOKUP("LULUCF|PM25|Work loss days", US_national_yearly!$D:$AM, 23, FALSE) / VLOOKUP("LULUCF|PM25|Work loss days", US_national_yearly!$D:$AM, 10, FALSE), 1)</f>
        <v>4.2475834059899449E-3</v>
      </c>
      <c r="P15" s="7">
        <f>$B15 * IFERROR(VLOOKUP("LULUCF|PM25|Work loss days", US_national_yearly!$D:$AM, 24, FALSE) / VLOOKUP("LULUCF|PM25|Work loss days", US_national_yearly!$D:$AM, 10, FALSE), 1)</f>
        <v>4.2776085901892079E-3</v>
      </c>
      <c r="Q15" s="7">
        <f>$B15 * IFERROR(VLOOKUP("LULUCF|PM25|Work loss days", US_national_yearly!$D:$AM, 25, FALSE) / VLOOKUP("LULUCF|PM25|Work loss days", US_national_yearly!$D:$AM, 10, FALSE), 1)</f>
        <v>4.3076337743884691E-3</v>
      </c>
      <c r="R15" s="7">
        <f>$B15 * IFERROR(VLOOKUP("LULUCF|PM25|Work loss days", US_national_yearly!$D:$AM, 26, FALSE) / VLOOKUP("LULUCF|PM25|Work loss days", US_national_yearly!$D:$AM, 10, FALSE), 1)</f>
        <v>4.3376589585877321E-3</v>
      </c>
      <c r="S15" s="7">
        <f>$B15 * IFERROR(VLOOKUP("LULUCF|PM25|Work loss days", US_national_yearly!$D:$AM, 27, FALSE) / VLOOKUP("LULUCF|PM25|Work loss days", US_national_yearly!$D:$AM, 10, FALSE), 1)</f>
        <v>4.3708680941909085E-3</v>
      </c>
      <c r="T15" s="7">
        <f>$B15 * IFERROR(VLOOKUP("LULUCF|PM25|Work loss days", US_national_yearly!$D:$AM, 28, FALSE) / VLOOKUP("LULUCF|PM25|Work loss days", US_national_yearly!$D:$AM, 10, FALSE), 1)</f>
        <v>4.4040772297940867E-3</v>
      </c>
      <c r="U15" s="7">
        <f>$B15 * IFERROR(VLOOKUP("LULUCF|PM25|Work loss days", US_national_yearly!$D:$AM, 29, FALSE) / VLOOKUP("LULUCF|PM25|Work loss days", US_national_yearly!$D:$AM, 10, FALSE), 1)</f>
        <v>4.4372863653972631E-3</v>
      </c>
      <c r="V15" s="7">
        <f>$B15 * IFERROR(VLOOKUP("LULUCF|PM25|Work loss days", US_national_yearly!$D:$AM, 30, FALSE) / VLOOKUP("LULUCF|PM25|Work loss days", US_national_yearly!$D:$AM, 10, FALSE), 1)</f>
        <v>4.4704955010004413E-3</v>
      </c>
      <c r="W15" s="7">
        <f>$B15 * IFERROR(VLOOKUP("LULUCF|PM25|Work loss days", US_national_yearly!$D:$AM, 31, FALSE) / VLOOKUP("LULUCF|PM25|Work loss days", US_national_yearly!$D:$AM, 10, FALSE), 1)</f>
        <v>4.5037046366036186E-3</v>
      </c>
      <c r="X15" s="7">
        <f>$B15 * IFERROR(VLOOKUP("LULUCF|PM25|Work loss days", US_national_yearly!$D:$AM, 32, FALSE) / VLOOKUP("LULUCF|PM25|Work loss days", US_national_yearly!$D:$AM, 10, FALSE), 1)</f>
        <v>4.5331700965078048E-3</v>
      </c>
      <c r="Y15" s="7">
        <f>$B15 * IFERROR(VLOOKUP("LULUCF|PM25|Work loss days", US_national_yearly!$D:$AM, 33, FALSE) / VLOOKUP("LULUCF|PM25|Work loss days", US_national_yearly!$D:$AM, 10, FALSE), 1)</f>
        <v>4.5626355564119918E-3</v>
      </c>
      <c r="Z15" s="7">
        <f>$B15 * IFERROR(VLOOKUP("LULUCF|PM25|Work loss days", US_national_yearly!$D:$AM, 34, FALSE) / VLOOKUP("LULUCF|PM25|Work loss days", US_national_yearly!$D:$AM, 10, FALSE), 1)</f>
        <v>4.5921010163161788E-3</v>
      </c>
      <c r="AA15" s="7">
        <f>$B15 * IFERROR(VLOOKUP("LULUCF|PM25|Work loss days", US_national_yearly!$D:$AM, 35, FALSE) / VLOOKUP("LULUCF|PM25|Work loss days", US_national_yearly!$D:$AM, 10, FALSE), 1)</f>
        <v>4.6215664762203667E-3</v>
      </c>
      <c r="AB15" s="7">
        <f>$B15 * IFERROR(VLOOKUP("LULUCF|PM25|Work loss days", US_national_yearly!$D:$AM, 36, FALSE) / VLOOKUP("LULUCF|PM25|Work loss days", US_national_yearly!$D:$AM, 10, FALSE), 1)</f>
        <v>4.6510319361245537E-3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8.7202810796793067E-6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8.9808491591391114E-6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9.2414172385989194E-6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9.5019853180587258E-6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9.7625533975185321E-6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1.0012131073211705E-5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1.0261708748904882E-5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1.0475161279521366E-5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1.0688613810137849E-5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1.0902066340754332E-5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1.1115518871370818E-5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1.13289714019873E-5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1.1471285077555143E-5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1.1613598753122988E-5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1.1755912428690832E-5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1.1898226104258677E-5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1.204053977982652E-5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1.2115837000758758E-5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1.2191134221690995E-5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1.2266431442623228E-5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1.2341728663555464E-5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1.2417025884487701E-5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1.2467716964076676E-5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1.2518408043665652E-5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1.2569099123254627E-5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1.2619790202843603E-5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1.2670481282432579E-5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1.0745556757510803E-4</v>
      </c>
      <c r="C2" s="7">
        <f>$B2 * IFERROR(VLOOKUP("LULUCF|NOx|Premature mortality", US_national_yearly!$D:$AM, 11, FALSE) / VLOOKUP("LULUCF|NOx|Premature mortality", US_national_yearly!$D:$AM, 10, FALSE), 1)</f>
        <v>1.0903390823566159E-4</v>
      </c>
      <c r="D2" s="7">
        <f>$B2 * IFERROR(VLOOKUP("LULUCF|NOx|Premature mortality", US_national_yearly!$D:$AM, 12, FALSE) / VLOOKUP("LULUCF|NOx|Premature mortality", US_national_yearly!$D:$AM, 10, FALSE), 1)</f>
        <v>1.1061224889621513E-4</v>
      </c>
      <c r="E2" s="7">
        <f>$B2 * IFERROR(VLOOKUP("LULUCF|NOx|Premature mortality", US_national_yearly!$D:$AM, 13, FALSE) / VLOOKUP("LULUCF|NOx|Premature mortality", US_national_yearly!$D:$AM, 10, FALSE), 1)</f>
        <v>1.1219058955676869E-4</v>
      </c>
      <c r="F2" s="7">
        <f>$B2 * IFERROR(VLOOKUP("LULUCF|NOx|Premature mortality", US_national_yearly!$D:$AM, 14, FALSE) / VLOOKUP("LULUCF|NOx|Premature mortality", US_national_yearly!$D:$AM, 10, FALSE), 1)</f>
        <v>1.1376893021732225E-4</v>
      </c>
      <c r="G2" s="7">
        <f>$B2 * IFERROR(VLOOKUP("LULUCF|NOx|Premature mortality", US_national_yearly!$D:$AM, 15, FALSE) / VLOOKUP("LULUCF|NOx|Premature mortality", US_national_yearly!$D:$AM, 10, FALSE), 1)</f>
        <v>1.1660400320161125E-4</v>
      </c>
      <c r="H2" s="7">
        <f>$B2 * IFERROR(VLOOKUP("LULUCF|NOx|Premature mortality", US_national_yearly!$D:$AM, 16, FALSE) / VLOOKUP("LULUCF|NOx|Premature mortality", US_national_yearly!$D:$AM, 10, FALSE), 1)</f>
        <v>1.1943907618590031E-4</v>
      </c>
      <c r="I2" s="7">
        <f>$B2 * IFERROR(VLOOKUP("LULUCF|NOx|Premature mortality", US_national_yearly!$D:$AM, 17, FALSE) / VLOOKUP("LULUCF|NOx|Premature mortality", US_national_yearly!$D:$AM, 10, FALSE), 1)</f>
        <v>1.2126916957472351E-4</v>
      </c>
      <c r="J2" s="7">
        <f>$B2 * IFERROR(VLOOKUP("LULUCF|NOx|Premature mortality", US_national_yearly!$D:$AM, 18, FALSE) / VLOOKUP("LULUCF|NOx|Premature mortality", US_national_yearly!$D:$AM, 10, FALSE), 1)</f>
        <v>1.2309926296354671E-4</v>
      </c>
      <c r="K2" s="7">
        <f>$B2 * IFERROR(VLOOKUP("LULUCF|NOx|Premature mortality", US_national_yearly!$D:$AM, 19, FALSE) / VLOOKUP("LULUCF|NOx|Premature mortality", US_national_yearly!$D:$AM, 10, FALSE), 1)</f>
        <v>1.2492935635236989E-4</v>
      </c>
      <c r="L2" s="7">
        <f>$B2 * IFERROR(VLOOKUP("LULUCF|NOx|Premature mortality", US_national_yearly!$D:$AM, 20, FALSE) / VLOOKUP("LULUCF|NOx|Premature mortality", US_national_yearly!$D:$AM, 10, FALSE), 1)</f>
        <v>1.2675944974119307E-4</v>
      </c>
      <c r="M2" s="7">
        <f>$B2 * IFERROR(VLOOKUP("LULUCF|NOx|Premature mortality", US_national_yearly!$D:$AM, 21, FALSE) / VLOOKUP("LULUCF|NOx|Premature mortality", US_national_yearly!$D:$AM, 10, FALSE), 1)</f>
        <v>1.2858954313001627E-4</v>
      </c>
      <c r="N2" s="7">
        <f>$B2 * IFERROR(VLOOKUP("LULUCF|NOx|Premature mortality", US_national_yearly!$D:$AM, 22, FALSE) / VLOOKUP("LULUCF|NOx|Premature mortality", US_national_yearly!$D:$AM, 10, FALSE), 1)</f>
        <v>1.2994526919788847E-4</v>
      </c>
      <c r="O2" s="7">
        <f>$B2 * IFERROR(VLOOKUP("LULUCF|NOx|Premature mortality", US_national_yearly!$D:$AM, 23, FALSE) / VLOOKUP("LULUCF|NOx|Premature mortality", US_national_yearly!$D:$AM, 10, FALSE), 1)</f>
        <v>1.3130099526576067E-4</v>
      </c>
      <c r="P2" s="7">
        <f>$B2 * IFERROR(VLOOKUP("LULUCF|NOx|Premature mortality", US_national_yearly!$D:$AM, 24, FALSE) / VLOOKUP("LULUCF|NOx|Premature mortality", US_national_yearly!$D:$AM, 10, FALSE), 1)</f>
        <v>1.3265672133363287E-4</v>
      </c>
      <c r="Q2" s="7">
        <f>$B2 * IFERROR(VLOOKUP("LULUCF|NOx|Premature mortality", US_national_yearly!$D:$AM, 25, FALSE) / VLOOKUP("LULUCF|NOx|Premature mortality", US_national_yearly!$D:$AM, 10, FALSE), 1)</f>
        <v>1.3401244740150509E-4</v>
      </c>
      <c r="R2" s="7">
        <f>$B2 * IFERROR(VLOOKUP("LULUCF|NOx|Premature mortality", US_national_yearly!$D:$AM, 26, FALSE) / VLOOKUP("LULUCF|NOx|Premature mortality", US_national_yearly!$D:$AM, 10, FALSE), 1)</f>
        <v>1.3536817346937729E-4</v>
      </c>
      <c r="S2" s="7">
        <f>$B2 * IFERROR(VLOOKUP("LULUCF|NOx|Premature mortality", US_national_yearly!$D:$AM, 27, FALSE) / VLOOKUP("LULUCF|NOx|Premature mortality", US_national_yearly!$D:$AM, 10, FALSE), 1)</f>
        <v>1.3598436461920529E-4</v>
      </c>
      <c r="T2" s="7">
        <f>$B2 * IFERROR(VLOOKUP("LULUCF|NOx|Premature mortality", US_national_yearly!$D:$AM, 28, FALSE) / VLOOKUP("LULUCF|NOx|Premature mortality", US_national_yearly!$D:$AM, 10, FALSE), 1)</f>
        <v>1.3660055576903329E-4</v>
      </c>
      <c r="U2" s="7">
        <f>$B2 * IFERROR(VLOOKUP("LULUCF|NOx|Premature mortality", US_national_yearly!$D:$AM, 29, FALSE) / VLOOKUP("LULUCF|NOx|Premature mortality", US_national_yearly!$D:$AM, 10, FALSE), 1)</f>
        <v>1.372167469188613E-4</v>
      </c>
      <c r="V2" s="7">
        <f>$B2 * IFERROR(VLOOKUP("LULUCF|NOx|Premature mortality", US_national_yearly!$D:$AM, 30, FALSE) / VLOOKUP("LULUCF|NOx|Premature mortality", US_national_yearly!$D:$AM, 10, FALSE), 1)</f>
        <v>1.3783293806868927E-4</v>
      </c>
      <c r="W2" s="7">
        <f>$B2 * IFERROR(VLOOKUP("LULUCF|NOx|Premature mortality", US_national_yearly!$D:$AM, 31, FALSE) / VLOOKUP("LULUCF|NOx|Premature mortality", US_national_yearly!$D:$AM, 10, FALSE), 1)</f>
        <v>1.384491292185173E-4</v>
      </c>
      <c r="X2" s="7">
        <f>$B2 * IFERROR(VLOOKUP("LULUCF|NOx|Premature mortality", US_national_yearly!$D:$AM, 32, FALSE) / VLOOKUP("LULUCF|NOx|Premature mortality", US_national_yearly!$D:$AM, 10, FALSE), 1)</f>
        <v>1.3847047372625079E-4</v>
      </c>
      <c r="Y2" s="7">
        <f>$B2 * IFERROR(VLOOKUP("LULUCF|NOx|Premature mortality", US_national_yearly!$D:$AM, 33, FALSE) / VLOOKUP("LULUCF|NOx|Premature mortality", US_national_yearly!$D:$AM, 10, FALSE), 1)</f>
        <v>1.3849181823398428E-4</v>
      </c>
      <c r="Z2" s="7">
        <f>$B2 * IFERROR(VLOOKUP("LULUCF|NOx|Premature mortality", US_national_yearly!$D:$AM, 34, FALSE) / VLOOKUP("LULUCF|NOx|Premature mortality", US_national_yearly!$D:$AM, 10, FALSE), 1)</f>
        <v>1.3851316274171775E-4</v>
      </c>
      <c r="AA2" s="7">
        <f>$B2 * IFERROR(VLOOKUP("LULUCF|NOx|Premature mortality", US_national_yearly!$D:$AM, 35, FALSE) / VLOOKUP("LULUCF|NOx|Premature mortality", US_national_yearly!$D:$AM, 10, FALSE), 1)</f>
        <v>1.3853450724945129E-4</v>
      </c>
      <c r="AB2" s="7">
        <f>$B2 * IFERROR(VLOOKUP("LULUCF|NOx|Premature mortality", US_national_yearly!$D:$AM, 36, FALSE) / VLOOKUP("LULUCF|NOx|Premature mortality", US_national_yearly!$D:$AM, 10, FALSE), 1)</f>
        <v>1.3855585175718478E-4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1.81749624690459E-7</v>
      </c>
      <c r="C3" s="7">
        <f>$B3 * IFERROR(VLOOKUP("LULUCF|NOx|Infant mortality", US_national_yearly!$D:$AM, 11, FALSE) / VLOOKUP("LULUCF|NOx|Infant mortality", US_national_yearly!$D:$AM, 10, FALSE), 1)</f>
        <v>1.8001799638770379E-7</v>
      </c>
      <c r="D3" s="7">
        <f>$B3 * IFERROR(VLOOKUP("LULUCF|NOx|Infant mortality", US_national_yearly!$D:$AM, 12, FALSE) / VLOOKUP("LULUCF|NOx|Infant mortality", US_national_yearly!$D:$AM, 10, FALSE), 1)</f>
        <v>1.7828636808494859E-7</v>
      </c>
      <c r="E3" s="7">
        <f>$B3 * IFERROR(VLOOKUP("LULUCF|NOx|Infant mortality", US_national_yearly!$D:$AM, 13, FALSE) / VLOOKUP("LULUCF|NOx|Infant mortality", US_national_yearly!$D:$AM, 10, FALSE), 1)</f>
        <v>1.7655473978219338E-7</v>
      </c>
      <c r="F3" s="7">
        <f>$B3 * IFERROR(VLOOKUP("LULUCF|NOx|Infant mortality", US_national_yearly!$D:$AM, 14, FALSE) / VLOOKUP("LULUCF|NOx|Infant mortality", US_national_yearly!$D:$AM, 10, FALSE), 1)</f>
        <v>1.7482311147943821E-7</v>
      </c>
      <c r="G3" s="7">
        <f>$B3 * IFERROR(VLOOKUP("LULUCF|NOx|Infant mortality", US_national_yearly!$D:$AM, 15, FALSE) / VLOOKUP("LULUCF|NOx|Infant mortality", US_national_yearly!$D:$AM, 10, FALSE), 1)</f>
        <v>1.1605621433708482E-7</v>
      </c>
      <c r="H3" s="7">
        <f>$B3 * IFERROR(VLOOKUP("LULUCF|NOx|Infant mortality", US_national_yearly!$D:$AM, 16, FALSE) / VLOOKUP("LULUCF|NOx|Infant mortality", US_national_yearly!$D:$AM, 10, FALSE), 1)</f>
        <v>5.7289317194731448E-8</v>
      </c>
      <c r="I3" s="7">
        <f>$B3 * IFERROR(VLOOKUP("LULUCF|NOx|Infant mortality", US_national_yearly!$D:$AM, 17, FALSE) / VLOOKUP("LULUCF|NOx|Infant mortality", US_national_yearly!$D:$AM, 10, FALSE), 1)</f>
        <v>5.6884227022101741E-8</v>
      </c>
      <c r="J3" s="7">
        <f>$B3 * IFERROR(VLOOKUP("LULUCF|NOx|Infant mortality", US_national_yearly!$D:$AM, 18, FALSE) / VLOOKUP("LULUCF|NOx|Infant mortality", US_national_yearly!$D:$AM, 10, FALSE), 1)</f>
        <v>5.6479136849472021E-8</v>
      </c>
      <c r="K3" s="7">
        <f>$B3 * IFERROR(VLOOKUP("LULUCF|NOx|Infant mortality", US_national_yearly!$D:$AM, 19, FALSE) / VLOOKUP("LULUCF|NOx|Infant mortality", US_national_yearly!$D:$AM, 10, FALSE), 1)</f>
        <v>5.6074046676842314E-8</v>
      </c>
      <c r="L3" s="7">
        <f>$B3 * IFERROR(VLOOKUP("LULUCF|NOx|Infant mortality", US_national_yearly!$D:$AM, 20, FALSE) / VLOOKUP("LULUCF|NOx|Infant mortality", US_national_yearly!$D:$AM, 10, FALSE), 1)</f>
        <v>5.5668956504212601E-8</v>
      </c>
      <c r="M3" s="7">
        <f>$B3 * IFERROR(VLOOKUP("LULUCF|NOx|Infant mortality", US_national_yearly!$D:$AM, 21, FALSE) / VLOOKUP("LULUCF|NOx|Infant mortality", US_national_yearly!$D:$AM, 10, FALSE), 1)</f>
        <v>5.5263866331582881E-8</v>
      </c>
      <c r="N3" s="7">
        <f>$B3 * IFERROR(VLOOKUP("LULUCF|NOx|Infant mortality", US_national_yearly!$D:$AM, 22, FALSE) / VLOOKUP("LULUCF|NOx|Infant mortality", US_national_yearly!$D:$AM, 10, FALSE), 1)</f>
        <v>5.4994984412817897E-8</v>
      </c>
      <c r="O3" s="7">
        <f>$B3 * IFERROR(VLOOKUP("LULUCF|NOx|Infant mortality", US_national_yearly!$D:$AM, 23, FALSE) / VLOOKUP("LULUCF|NOx|Infant mortality", US_national_yearly!$D:$AM, 10, FALSE), 1)</f>
        <v>5.4726102494052907E-8</v>
      </c>
      <c r="P3" s="7">
        <f>$B3 * IFERROR(VLOOKUP("LULUCF|NOx|Infant mortality", US_national_yearly!$D:$AM, 24, FALSE) / VLOOKUP("LULUCF|NOx|Infant mortality", US_national_yearly!$D:$AM, 10, FALSE), 1)</f>
        <v>5.4457220575287916E-8</v>
      </c>
      <c r="Q3" s="7">
        <f>$B3 * IFERROR(VLOOKUP("LULUCF|NOx|Infant mortality", US_national_yearly!$D:$AM, 25, FALSE) / VLOOKUP("LULUCF|NOx|Infant mortality", US_national_yearly!$D:$AM, 10, FALSE), 1)</f>
        <v>5.4188338656522933E-8</v>
      </c>
      <c r="R3" s="7">
        <f>$B3 * IFERROR(VLOOKUP("LULUCF|NOx|Infant mortality", US_national_yearly!$D:$AM, 26, FALSE) / VLOOKUP("LULUCF|NOx|Infant mortality", US_national_yearly!$D:$AM, 10, FALSE), 1)</f>
        <v>5.3919456737757942E-8</v>
      </c>
      <c r="S3" s="7">
        <f>$B3 * IFERROR(VLOOKUP("LULUCF|NOx|Infant mortality", US_national_yearly!$D:$AM, 27, FALSE) / VLOOKUP("LULUCF|NOx|Infant mortality", US_national_yearly!$D:$AM, 10, FALSE), 1)</f>
        <v>5.3596217912771034E-8</v>
      </c>
      <c r="T3" s="7">
        <f>$B3 * IFERROR(VLOOKUP("LULUCF|NOx|Infant mortality", US_national_yearly!$D:$AM, 28, FALSE) / VLOOKUP("LULUCF|NOx|Infant mortality", US_national_yearly!$D:$AM, 10, FALSE), 1)</f>
        <v>5.3272979087784119E-8</v>
      </c>
      <c r="U3" s="7">
        <f>$B3 * IFERROR(VLOOKUP("LULUCF|NOx|Infant mortality", US_national_yearly!$D:$AM, 29, FALSE) / VLOOKUP("LULUCF|NOx|Infant mortality", US_national_yearly!$D:$AM, 10, FALSE), 1)</f>
        <v>5.294974026279721E-8</v>
      </c>
      <c r="V3" s="7">
        <f>$B3 * IFERROR(VLOOKUP("LULUCF|NOx|Infant mortality", US_national_yearly!$D:$AM, 30, FALSE) / VLOOKUP("LULUCF|NOx|Infant mortality", US_national_yearly!$D:$AM, 10, FALSE), 1)</f>
        <v>5.2626501437810295E-8</v>
      </c>
      <c r="W3" s="7">
        <f>$B3 * IFERROR(VLOOKUP("LULUCF|NOx|Infant mortality", US_national_yearly!$D:$AM, 31, FALSE) / VLOOKUP("LULUCF|NOx|Infant mortality", US_national_yearly!$D:$AM, 10, FALSE), 1)</f>
        <v>5.230326261282338E-8</v>
      </c>
      <c r="X3" s="7">
        <f>$B3 * IFERROR(VLOOKUP("LULUCF|NOx|Infant mortality", US_national_yearly!$D:$AM, 32, FALSE) / VLOOKUP("LULUCF|NOx|Infant mortality", US_national_yearly!$D:$AM, 10, FALSE), 1)</f>
        <v>5.1960937065970653E-8</v>
      </c>
      <c r="Y3" s="7">
        <f>$B3 * IFERROR(VLOOKUP("LULUCF|NOx|Infant mortality", US_national_yearly!$D:$AM, 33, FALSE) / VLOOKUP("LULUCF|NOx|Infant mortality", US_national_yearly!$D:$AM, 10, FALSE), 1)</f>
        <v>5.1618611519117905E-8</v>
      </c>
      <c r="Z3" s="7">
        <f>$B3 * IFERROR(VLOOKUP("LULUCF|NOx|Infant mortality", US_national_yearly!$D:$AM, 34, FALSE) / VLOOKUP("LULUCF|NOx|Infant mortality", US_national_yearly!$D:$AM, 10, FALSE), 1)</f>
        <v>5.1276285972265164E-8</v>
      </c>
      <c r="AA3" s="7">
        <f>$B3 * IFERROR(VLOOKUP("LULUCF|NOx|Infant mortality", US_national_yearly!$D:$AM, 35, FALSE) / VLOOKUP("LULUCF|NOx|Infant mortality", US_national_yearly!$D:$AM, 10, FALSE), 1)</f>
        <v>5.0933960425412416E-8</v>
      </c>
      <c r="AB3" s="7">
        <f>$B3 * IFERROR(VLOOKUP("LULUCF|NOx|Infant mortality", US_national_yearly!$D:$AM, 36, FALSE) / VLOOKUP("LULUCF|NOx|Infant mortality", US_national_yearly!$D:$AM, 10, FALSE), 1)</f>
        <v>5.0591634878559675E-8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1.8383188568089516E-4</v>
      </c>
      <c r="C6" s="7">
        <f>$B6 * IFERROR(VLOOKUP("LULUCF|NOx|Asthma symptoms cough", US_national_yearly!$D:$AM, 11, FALSE) / VLOOKUP("LULUCF|NOx|Asthma symptoms cough", US_national_yearly!$D:$AM, 10, FALSE), 1)</f>
        <v>1.863451681113888E-4</v>
      </c>
      <c r="D6" s="7">
        <f>$B6 * IFERROR(VLOOKUP("LULUCF|NOx|Asthma symptoms cough", US_national_yearly!$D:$AM, 12, FALSE) / VLOOKUP("LULUCF|NOx|Asthma symptoms cough", US_national_yearly!$D:$AM, 10, FALSE), 1)</f>
        <v>1.8885845054188242E-4</v>
      </c>
      <c r="E6" s="7">
        <f>$B6 * IFERROR(VLOOKUP("LULUCF|NOx|Asthma symptoms cough", US_national_yearly!$D:$AM, 13, FALSE) / VLOOKUP("LULUCF|NOx|Asthma symptoms cough", US_national_yearly!$D:$AM, 10, FALSE), 1)</f>
        <v>1.9137173297237607E-4</v>
      </c>
      <c r="F6" s="7">
        <f>$B6 * IFERROR(VLOOKUP("LULUCF|NOx|Asthma symptoms cough", US_national_yearly!$D:$AM, 14, FALSE) / VLOOKUP("LULUCF|NOx|Asthma symptoms cough", US_national_yearly!$D:$AM, 10, FALSE), 1)</f>
        <v>1.9388501540286969E-4</v>
      </c>
      <c r="G6" s="7">
        <f>$B6 * IFERROR(VLOOKUP("LULUCF|NOx|Asthma symptoms cough", US_national_yearly!$D:$AM, 15, FALSE) / VLOOKUP("LULUCF|NOx|Asthma symptoms cough", US_national_yearly!$D:$AM, 10, FALSE), 1)</f>
        <v>1.9589152021612662E-4</v>
      </c>
      <c r="H6" s="7">
        <f>$B6 * IFERROR(VLOOKUP("LULUCF|NOx|Asthma symptoms cough", US_national_yearly!$D:$AM, 16, FALSE) / VLOOKUP("LULUCF|NOx|Asthma symptoms cough", US_national_yearly!$D:$AM, 10, FALSE), 1)</f>
        <v>1.978980250293836E-4</v>
      </c>
      <c r="I6" s="7">
        <f>$B6 * IFERROR(VLOOKUP("LULUCF|NOx|Asthma symptoms cough", US_national_yearly!$D:$AM, 17, FALSE) / VLOOKUP("LULUCF|NOx|Asthma symptoms cough", US_national_yearly!$D:$AM, 10, FALSE), 1)</f>
        <v>1.9858863530161281E-4</v>
      </c>
      <c r="J6" s="7">
        <f>$B6 * IFERROR(VLOOKUP("LULUCF|NOx|Asthma symptoms cough", US_national_yearly!$D:$AM, 18, FALSE) / VLOOKUP("LULUCF|NOx|Asthma symptoms cough", US_national_yearly!$D:$AM, 10, FALSE), 1)</f>
        <v>1.9927924557384209E-4</v>
      </c>
      <c r="K6" s="7">
        <f>$B6 * IFERROR(VLOOKUP("LULUCF|NOx|Asthma symptoms cough", US_national_yearly!$D:$AM, 19, FALSE) / VLOOKUP("LULUCF|NOx|Asthma symptoms cough", US_national_yearly!$D:$AM, 10, FALSE), 1)</f>
        <v>1.999698558460713E-4</v>
      </c>
      <c r="L6" s="7">
        <f>$B6 * IFERROR(VLOOKUP("LULUCF|NOx|Asthma symptoms cough", US_national_yearly!$D:$AM, 20, FALSE) / VLOOKUP("LULUCF|NOx|Asthma symptoms cough", US_national_yearly!$D:$AM, 10, FALSE), 1)</f>
        <v>2.0066046611830053E-4</v>
      </c>
      <c r="M6" s="7">
        <f>$B6 * IFERROR(VLOOKUP("LULUCF|NOx|Asthma symptoms cough", US_national_yearly!$D:$AM, 21, FALSE) / VLOOKUP("LULUCF|NOx|Asthma symptoms cough", US_national_yearly!$D:$AM, 10, FALSE), 1)</f>
        <v>2.0135107639052978E-4</v>
      </c>
      <c r="N6" s="7">
        <f>$B6 * IFERROR(VLOOKUP("LULUCF|NOx|Asthma symptoms cough", US_national_yearly!$D:$AM, 22, FALSE) / VLOOKUP("LULUCF|NOx|Asthma symptoms cough", US_national_yearly!$D:$AM, 10, FALSE), 1)</f>
        <v>2.0215189042904094E-4</v>
      </c>
      <c r="O6" s="7">
        <f>$B6 * IFERROR(VLOOKUP("LULUCF|NOx|Asthma symptoms cough", US_national_yearly!$D:$AM, 23, FALSE) / VLOOKUP("LULUCF|NOx|Asthma symptoms cough", US_national_yearly!$D:$AM, 10, FALSE), 1)</f>
        <v>2.0295270446755206E-4</v>
      </c>
      <c r="P6" s="7">
        <f>$B6 * IFERROR(VLOOKUP("LULUCF|NOx|Asthma symptoms cough", US_national_yearly!$D:$AM, 24, FALSE) / VLOOKUP("LULUCF|NOx|Asthma symptoms cough", US_national_yearly!$D:$AM, 10, FALSE), 1)</f>
        <v>2.0375351850606321E-4</v>
      </c>
      <c r="Q6" s="7">
        <f>$B6 * IFERROR(VLOOKUP("LULUCF|NOx|Asthma symptoms cough", US_national_yearly!$D:$AM, 25, FALSE) / VLOOKUP("LULUCF|NOx|Asthma symptoms cough", US_national_yearly!$D:$AM, 10, FALSE), 1)</f>
        <v>2.0455433254457436E-4</v>
      </c>
      <c r="R6" s="7">
        <f>$B6 * IFERROR(VLOOKUP("LULUCF|NOx|Asthma symptoms cough", US_national_yearly!$D:$AM, 26, FALSE) / VLOOKUP("LULUCF|NOx|Asthma symptoms cough", US_national_yearly!$D:$AM, 10, FALSE), 1)</f>
        <v>2.0535514658308551E-4</v>
      </c>
      <c r="S6" s="7">
        <f>$B6 * IFERROR(VLOOKUP("LULUCF|NOx|Asthma symptoms cough", US_national_yearly!$D:$AM, 27, FALSE) / VLOOKUP("LULUCF|NOx|Asthma symptoms cough", US_national_yearly!$D:$AM, 10, FALSE), 1)</f>
        <v>2.0640126477476238E-4</v>
      </c>
      <c r="T6" s="7">
        <f>$B6 * IFERROR(VLOOKUP("LULUCF|NOx|Asthma symptoms cough", US_national_yearly!$D:$AM, 28, FALSE) / VLOOKUP("LULUCF|NOx|Asthma symptoms cough", US_national_yearly!$D:$AM, 10, FALSE), 1)</f>
        <v>2.0744738296643919E-4</v>
      </c>
      <c r="U6" s="7">
        <f>$B6 * IFERROR(VLOOKUP("LULUCF|NOx|Asthma symptoms cough", US_national_yearly!$D:$AM, 29, FALSE) / VLOOKUP("LULUCF|NOx|Asthma symptoms cough", US_national_yearly!$D:$AM, 10, FALSE), 1)</f>
        <v>2.0849350115811598E-4</v>
      </c>
      <c r="V6" s="7">
        <f>$B6 * IFERROR(VLOOKUP("LULUCF|NOx|Asthma symptoms cough", US_national_yearly!$D:$AM, 30, FALSE) / VLOOKUP("LULUCF|NOx|Asthma symptoms cough", US_national_yearly!$D:$AM, 10, FALSE), 1)</f>
        <v>2.0953961934979282E-4</v>
      </c>
      <c r="W6" s="7">
        <f>$B6 * IFERROR(VLOOKUP("LULUCF|NOx|Asthma symptoms cough", US_national_yearly!$D:$AM, 31, FALSE) / VLOOKUP("LULUCF|NOx|Asthma symptoms cough", US_national_yearly!$D:$AM, 10, FALSE), 1)</f>
        <v>2.1058573754146966E-4</v>
      </c>
      <c r="X6" s="7">
        <f>$B6 * IFERROR(VLOOKUP("LULUCF|NOx|Asthma symptoms cough", US_national_yearly!$D:$AM, 32, FALSE) / VLOOKUP("LULUCF|NOx|Asthma symptoms cough", US_national_yearly!$D:$AM, 10, FALSE), 1)</f>
        <v>2.1155773165360274E-4</v>
      </c>
      <c r="Y6" s="7">
        <f>$B6 * IFERROR(VLOOKUP("LULUCF|NOx|Asthma symptoms cough", US_national_yearly!$D:$AM, 33, FALSE) / VLOOKUP("LULUCF|NOx|Asthma symptoms cough", US_national_yearly!$D:$AM, 10, FALSE), 1)</f>
        <v>2.1252972576573585E-4</v>
      </c>
      <c r="Z6" s="7">
        <f>$B6 * IFERROR(VLOOKUP("LULUCF|NOx|Asthma symptoms cough", US_national_yearly!$D:$AM, 34, FALSE) / VLOOKUP("LULUCF|NOx|Asthma symptoms cough", US_national_yearly!$D:$AM, 10, FALSE), 1)</f>
        <v>2.1350171987786893E-4</v>
      </c>
      <c r="AA6" s="7">
        <f>$B6 * IFERROR(VLOOKUP("LULUCF|NOx|Asthma symptoms cough", US_national_yearly!$D:$AM, 35, FALSE) / VLOOKUP("LULUCF|NOx|Asthma symptoms cough", US_national_yearly!$D:$AM, 10, FALSE), 1)</f>
        <v>2.1447371399000204E-4</v>
      </c>
      <c r="AB6" s="7">
        <f>$B6 * IFERROR(VLOOKUP("LULUCF|NOx|Asthma symptoms cough", US_national_yearly!$D:$AM, 36, FALSE) / VLOOKUP("LULUCF|NOx|Asthma symptoms cough", US_national_yearly!$D:$AM, 10, FALSE), 1)</f>
        <v>2.1544570810213515E-4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2.4755430990053658E-4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2.5093878204950461E-4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2.5432325419847259E-4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2.5770772634744056E-4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2.6109219849640859E-4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2.6379422655698148E-4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2.6649625461755433E-4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2.6742625404385201E-4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2.6835625347014969E-4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2.6928625289644736E-4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2.7021625232274499E-4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2.7114625174904267E-4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2.7222465534200338E-4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2.7330305893496408E-4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2.7438146252792473E-4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2.7545986612088544E-4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2.7653826971384615E-4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2.7794700827919993E-4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2.7935574684455377E-4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2.8076448540990755E-4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2.8217322397526123E-4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2.8358196254061501E-4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2.8489088308233853E-4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2.8619980362406205E-4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2.8750872416578562E-4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2.8881764470750914E-4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2.9012656524923265E-4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3.7822816065000609E-4</v>
      </c>
      <c r="C8" s="7">
        <f>$B8 * IFERROR(VLOOKUP("LULUCF|NOx|Asthma symptoms wheeze", US_national_yearly!$D:$AM, 11, FALSE) / VLOOKUP("LULUCF|NOx|Asthma symptoms wheeze", US_national_yearly!$D:$AM, 10, FALSE), 1)</f>
        <v>3.8339915799178657E-4</v>
      </c>
      <c r="D8" s="7">
        <f>$B8 * IFERROR(VLOOKUP("LULUCF|NOx|Asthma symptoms wheeze", US_national_yearly!$D:$AM, 12, FALSE) / VLOOKUP("LULUCF|NOx|Asthma symptoms wheeze", US_national_yearly!$D:$AM, 10, FALSE), 1)</f>
        <v>3.8857015533356722E-4</v>
      </c>
      <c r="E8" s="7">
        <f>$B8 * IFERROR(VLOOKUP("LULUCF|NOx|Asthma symptoms wheeze", US_national_yearly!$D:$AM, 13, FALSE) / VLOOKUP("LULUCF|NOx|Asthma symptoms wheeze", US_national_yearly!$D:$AM, 10, FALSE), 1)</f>
        <v>3.937411526753477E-4</v>
      </c>
      <c r="F8" s="7">
        <f>$B8 * IFERROR(VLOOKUP("LULUCF|NOx|Asthma symptoms wheeze", US_national_yearly!$D:$AM, 14, FALSE) / VLOOKUP("LULUCF|NOx|Asthma symptoms wheeze", US_national_yearly!$D:$AM, 10, FALSE), 1)</f>
        <v>3.9891215001712819E-4</v>
      </c>
      <c r="G8" s="7">
        <f>$B8 * IFERROR(VLOOKUP("LULUCF|NOx|Asthma symptoms wheeze", US_national_yearly!$D:$AM, 15, FALSE) / VLOOKUP("LULUCF|NOx|Asthma symptoms wheeze", US_national_yearly!$D:$AM, 10, FALSE), 1)</f>
        <v>4.030404687995554E-4</v>
      </c>
      <c r="H8" s="7">
        <f>$B8 * IFERROR(VLOOKUP("LULUCF|NOx|Asthma symptoms wheeze", US_national_yearly!$D:$AM, 16, FALSE) / VLOOKUP("LULUCF|NOx|Asthma symptoms wheeze", US_national_yearly!$D:$AM, 10, FALSE), 1)</f>
        <v>4.0716878758198256E-4</v>
      </c>
      <c r="I8" s="7">
        <f>$B8 * IFERROR(VLOOKUP("LULUCF|NOx|Asthma symptoms wheeze", US_national_yearly!$D:$AM, 17, FALSE) / VLOOKUP("LULUCF|NOx|Asthma symptoms wheeze", US_national_yearly!$D:$AM, 10, FALSE), 1)</f>
        <v>4.0858969589472319E-4</v>
      </c>
      <c r="J8" s="7">
        <f>$B8 * IFERROR(VLOOKUP("LULUCF|NOx|Asthma symptoms wheeze", US_national_yearly!$D:$AM, 18, FALSE) / VLOOKUP("LULUCF|NOx|Asthma symptoms wheeze", US_national_yearly!$D:$AM, 10, FALSE), 1)</f>
        <v>4.1001060420746389E-4</v>
      </c>
      <c r="K8" s="7">
        <f>$B8 * IFERROR(VLOOKUP("LULUCF|NOx|Asthma symptoms wheeze", US_national_yearly!$D:$AM, 19, FALSE) / VLOOKUP("LULUCF|NOx|Asthma symptoms wheeze", US_national_yearly!$D:$AM, 10, FALSE), 1)</f>
        <v>4.1143151252020442E-4</v>
      </c>
      <c r="L8" s="7">
        <f>$B8 * IFERROR(VLOOKUP("LULUCF|NOx|Asthma symptoms wheeze", US_national_yearly!$D:$AM, 20, FALSE) / VLOOKUP("LULUCF|NOx|Asthma symptoms wheeze", US_national_yearly!$D:$AM, 10, FALSE), 1)</f>
        <v>4.1285242083294511E-4</v>
      </c>
      <c r="M8" s="7">
        <f>$B8 * IFERROR(VLOOKUP("LULUCF|NOx|Asthma symptoms wheeze", US_national_yearly!$D:$AM, 21, FALSE) / VLOOKUP("LULUCF|NOx|Asthma symptoms wheeze", US_national_yearly!$D:$AM, 10, FALSE), 1)</f>
        <v>4.1427332914568575E-4</v>
      </c>
      <c r="N8" s="7">
        <f>$B8 * IFERROR(VLOOKUP("LULUCF|NOx|Asthma symptoms wheeze", US_national_yearly!$D:$AM, 22, FALSE) / VLOOKUP("LULUCF|NOx|Asthma symptoms wheeze", US_national_yearly!$D:$AM, 10, FALSE), 1)</f>
        <v>4.1592097814612829E-4</v>
      </c>
      <c r="O8" s="7">
        <f>$B8 * IFERROR(VLOOKUP("LULUCF|NOx|Asthma symptoms wheeze", US_national_yearly!$D:$AM, 23, FALSE) / VLOOKUP("LULUCF|NOx|Asthma symptoms wheeze", US_national_yearly!$D:$AM, 10, FALSE), 1)</f>
        <v>4.1756862714657095E-4</v>
      </c>
      <c r="P8" s="7">
        <f>$B8 * IFERROR(VLOOKUP("LULUCF|NOx|Asthma symptoms wheeze", US_national_yearly!$D:$AM, 24, FALSE) / VLOOKUP("LULUCF|NOx|Asthma symptoms wheeze", US_national_yearly!$D:$AM, 10, FALSE), 1)</f>
        <v>4.1921627614701355E-4</v>
      </c>
      <c r="Q8" s="7">
        <f>$B8 * IFERROR(VLOOKUP("LULUCF|NOx|Asthma symptoms wheeze", US_national_yearly!$D:$AM, 25, FALSE) / VLOOKUP("LULUCF|NOx|Asthma symptoms wheeze", US_national_yearly!$D:$AM, 10, FALSE), 1)</f>
        <v>4.208639251474562E-4</v>
      </c>
      <c r="R8" s="7">
        <f>$B8 * IFERROR(VLOOKUP("LULUCF|NOx|Asthma symptoms wheeze", US_national_yearly!$D:$AM, 26, FALSE) / VLOOKUP("LULUCF|NOx|Asthma symptoms wheeze", US_national_yearly!$D:$AM, 10, FALSE), 1)</f>
        <v>4.2251157414789875E-4</v>
      </c>
      <c r="S8" s="7">
        <f>$B8 * IFERROR(VLOOKUP("LULUCF|NOx|Asthma symptoms wheeze", US_national_yearly!$D:$AM, 27, FALSE) / VLOOKUP("LULUCF|NOx|Asthma symptoms wheeze", US_national_yearly!$D:$AM, 10, FALSE), 1)</f>
        <v>4.2466392851351985E-4</v>
      </c>
      <c r="T8" s="7">
        <f>$B8 * IFERROR(VLOOKUP("LULUCF|NOx|Asthma symptoms wheeze", US_national_yearly!$D:$AM, 28, FALSE) / VLOOKUP("LULUCF|NOx|Asthma symptoms wheeze", US_national_yearly!$D:$AM, 10, FALSE), 1)</f>
        <v>4.2681628287914096E-4</v>
      </c>
      <c r="U8" s="7">
        <f>$B8 * IFERROR(VLOOKUP("LULUCF|NOx|Asthma symptoms wheeze", US_national_yearly!$D:$AM, 29, FALSE) / VLOOKUP("LULUCF|NOx|Asthma symptoms wheeze", US_national_yearly!$D:$AM, 10, FALSE), 1)</f>
        <v>4.2896863724476206E-4</v>
      </c>
      <c r="V8" s="7">
        <f>$B8 * IFERROR(VLOOKUP("LULUCF|NOx|Asthma symptoms wheeze", US_national_yearly!$D:$AM, 30, FALSE) / VLOOKUP("LULUCF|NOx|Asthma symptoms wheeze", US_national_yearly!$D:$AM, 10, FALSE), 1)</f>
        <v>4.3112099161038328E-4</v>
      </c>
      <c r="W8" s="7">
        <f>$B8 * IFERROR(VLOOKUP("LULUCF|NOx|Asthma symptoms wheeze", US_national_yearly!$D:$AM, 31, FALSE) / VLOOKUP("LULUCF|NOx|Asthma symptoms wheeze", US_national_yearly!$D:$AM, 10, FALSE), 1)</f>
        <v>4.3327334597600427E-4</v>
      </c>
      <c r="X8" s="7">
        <f>$B8 * IFERROR(VLOOKUP("LULUCF|NOx|Asthma symptoms wheeze", US_national_yearly!$D:$AM, 32, FALSE) / VLOOKUP("LULUCF|NOx|Asthma symptoms wheeze", US_national_yearly!$D:$AM, 10, FALSE), 1)</f>
        <v>4.3527319244320272E-4</v>
      </c>
      <c r="Y8" s="7">
        <f>$B8 * IFERROR(VLOOKUP("LULUCF|NOx|Asthma symptoms wheeze", US_national_yearly!$D:$AM, 33, FALSE) / VLOOKUP("LULUCF|NOx|Asthma symptoms wheeze", US_national_yearly!$D:$AM, 10, FALSE), 1)</f>
        <v>4.3727303891040101E-4</v>
      </c>
      <c r="Z8" s="7">
        <f>$B8 * IFERROR(VLOOKUP("LULUCF|NOx|Asthma symptoms wheeze", US_national_yearly!$D:$AM, 34, FALSE) / VLOOKUP("LULUCF|NOx|Asthma symptoms wheeze", US_national_yearly!$D:$AM, 10, FALSE), 1)</f>
        <v>4.3927288537759946E-4</v>
      </c>
      <c r="AA8" s="7">
        <f>$B8 * IFERROR(VLOOKUP("LULUCF|NOx|Asthma symptoms wheeze", US_national_yearly!$D:$AM, 35, FALSE) / VLOOKUP("LULUCF|NOx|Asthma symptoms wheeze", US_national_yearly!$D:$AM, 10, FALSE), 1)</f>
        <v>4.4127273184479775E-4</v>
      </c>
      <c r="AB8" s="7">
        <f>$B8 * IFERROR(VLOOKUP("LULUCF|NOx|Asthma symptoms wheeze", US_national_yearly!$D:$AM, 36, FALSE) / VLOOKUP("LULUCF|NOx|Asthma symptoms wheeze", US_national_yearly!$D:$AM, 10, FALSE), 1)</f>
        <v>4.4327257831199614E-4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1.0370185708084284E-5</v>
      </c>
      <c r="C12" s="7">
        <f>$B12 * IFERROR(VLOOKUP("LULUCF|NOx|Respiratory hospital admissions", US_national_yearly!$D:$AM, 11, FALSE) / VLOOKUP("LULUCF|NOx|Respiratory hospital admissions", US_national_yearly!$D:$AM, 10, FALSE), 1)</f>
        <v>1.0628866513476061E-5</v>
      </c>
      <c r="D12" s="7">
        <f>$B12 * IFERROR(VLOOKUP("LULUCF|NOx|Respiratory hospital admissions", US_national_yearly!$D:$AM, 12, FALSE) / VLOOKUP("LULUCF|NOx|Respiratory hospital admissions", US_national_yearly!$D:$AM, 10, FALSE), 1)</f>
        <v>1.0887547318867842E-5</v>
      </c>
      <c r="E12" s="7">
        <f>$B12 * IFERROR(VLOOKUP("LULUCF|NOx|Respiratory hospital admissions", US_national_yearly!$D:$AM, 13, FALSE) / VLOOKUP("LULUCF|NOx|Respiratory hospital admissions", US_national_yearly!$D:$AM, 10, FALSE), 1)</f>
        <v>1.1146228124259622E-5</v>
      </c>
      <c r="F12" s="7">
        <f>$B12 * IFERROR(VLOOKUP("LULUCF|NOx|Respiratory hospital admissions", US_national_yearly!$D:$AM, 14, FALSE) / VLOOKUP("LULUCF|NOx|Respiratory hospital admissions", US_national_yearly!$D:$AM, 10, FALSE), 1)</f>
        <v>1.1404908929651403E-5</v>
      </c>
      <c r="G12" s="7">
        <f>$B12 * IFERROR(VLOOKUP("LULUCF|NOx|Respiratory hospital admissions", US_national_yearly!$D:$AM, 15, FALSE) / VLOOKUP("LULUCF|NOx|Respiratory hospital admissions", US_national_yearly!$D:$AM, 10, FALSE), 1)</f>
        <v>1.1652216584052519E-5</v>
      </c>
      <c r="H12" s="7">
        <f>$B12 * IFERROR(VLOOKUP("LULUCF|NOx|Respiratory hospital admissions", US_national_yearly!$D:$AM, 16, FALSE) / VLOOKUP("LULUCF|NOx|Respiratory hospital admissions", US_national_yearly!$D:$AM, 10, FALSE), 1)</f>
        <v>1.1899524238453636E-5</v>
      </c>
      <c r="I12" s="7">
        <f>$B12 * IFERROR(VLOOKUP("LULUCF|NOx|Respiratory hospital admissions", US_national_yearly!$D:$AM, 17, FALSE) / VLOOKUP("LULUCF|NOx|Respiratory hospital admissions", US_national_yearly!$D:$AM, 10, FALSE), 1)</f>
        <v>1.210949352117104E-5</v>
      </c>
      <c r="J12" s="7">
        <f>$B12 * IFERROR(VLOOKUP("LULUCF|NOx|Respiratory hospital admissions", US_national_yearly!$D:$AM, 18, FALSE) / VLOOKUP("LULUCF|NOx|Respiratory hospital admissions", US_national_yearly!$D:$AM, 10, FALSE), 1)</f>
        <v>1.2319462803888444E-5</v>
      </c>
      <c r="K12" s="7">
        <f>$B12 * IFERROR(VLOOKUP("LULUCF|NOx|Respiratory hospital admissions", US_national_yearly!$D:$AM, 19, FALSE) / VLOOKUP("LULUCF|NOx|Respiratory hospital admissions", US_national_yearly!$D:$AM, 10, FALSE), 1)</f>
        <v>1.2529432086605847E-5</v>
      </c>
      <c r="L12" s="7">
        <f>$B12 * IFERROR(VLOOKUP("LULUCF|NOx|Respiratory hospital admissions", US_national_yearly!$D:$AM, 20, FALSE) / VLOOKUP("LULUCF|NOx|Respiratory hospital admissions", US_national_yearly!$D:$AM, 10, FALSE), 1)</f>
        <v>1.2739401369323253E-5</v>
      </c>
      <c r="M12" s="7">
        <f>$B12 * IFERROR(VLOOKUP("LULUCF|NOx|Respiratory hospital admissions", US_national_yearly!$D:$AM, 21, FALSE) / VLOOKUP("LULUCF|NOx|Respiratory hospital admissions", US_national_yearly!$D:$AM, 10, FALSE), 1)</f>
        <v>1.2949370652040657E-5</v>
      </c>
      <c r="N12" s="7">
        <f>$B12 * IFERROR(VLOOKUP("LULUCF|NOx|Respiratory hospital admissions", US_national_yearly!$D:$AM, 22, FALSE) / VLOOKUP("LULUCF|NOx|Respiratory hospital admissions", US_national_yearly!$D:$AM, 10, FALSE), 1)</f>
        <v>1.3089738897941653E-5</v>
      </c>
      <c r="O12" s="7">
        <f>$B12 * IFERROR(VLOOKUP("LULUCF|NOx|Respiratory hospital admissions", US_national_yearly!$D:$AM, 23, FALSE) / VLOOKUP("LULUCF|NOx|Respiratory hospital admissions", US_national_yearly!$D:$AM, 10, FALSE), 1)</f>
        <v>1.3230107143842655E-5</v>
      </c>
      <c r="P12" s="7">
        <f>$B12 * IFERROR(VLOOKUP("LULUCF|NOx|Respiratory hospital admissions", US_national_yearly!$D:$AM, 24, FALSE) / VLOOKUP("LULUCF|NOx|Respiratory hospital admissions", US_national_yearly!$D:$AM, 10, FALSE), 1)</f>
        <v>1.3370475389743654E-5</v>
      </c>
      <c r="Q12" s="7">
        <f>$B12 * IFERROR(VLOOKUP("LULUCF|NOx|Respiratory hospital admissions", US_national_yearly!$D:$AM, 25, FALSE) / VLOOKUP("LULUCF|NOx|Respiratory hospital admissions", US_national_yearly!$D:$AM, 10, FALSE), 1)</f>
        <v>1.3510843635644656E-5</v>
      </c>
      <c r="R12" s="7">
        <f>$B12 * IFERROR(VLOOKUP("LULUCF|NOx|Respiratory hospital admissions", US_national_yearly!$D:$AM, 26, FALSE) / VLOOKUP("LULUCF|NOx|Respiratory hospital admissions", US_national_yearly!$D:$AM, 10, FALSE), 1)</f>
        <v>1.3651211881545654E-5</v>
      </c>
      <c r="S12" s="7">
        <f>$B12 * IFERROR(VLOOKUP("LULUCF|NOx|Respiratory hospital admissions", US_national_yearly!$D:$AM, 27, FALSE) / VLOOKUP("LULUCF|NOx|Respiratory hospital admissions", US_national_yearly!$D:$AM, 10, FALSE), 1)</f>
        <v>1.3726417384160522E-5</v>
      </c>
      <c r="T12" s="7">
        <f>$B12 * IFERROR(VLOOKUP("LULUCF|NOx|Respiratory hospital admissions", US_national_yearly!$D:$AM, 28, FALSE) / VLOOKUP("LULUCF|NOx|Respiratory hospital admissions", US_national_yearly!$D:$AM, 10, FALSE), 1)</f>
        <v>1.3801622886775391E-5</v>
      </c>
      <c r="U12" s="7">
        <f>$B12 * IFERROR(VLOOKUP("LULUCF|NOx|Respiratory hospital admissions", US_national_yearly!$D:$AM, 29, FALSE) / VLOOKUP("LULUCF|NOx|Respiratory hospital admissions", US_national_yearly!$D:$AM, 10, FALSE), 1)</f>
        <v>1.3876828389390259E-5</v>
      </c>
      <c r="V12" s="7">
        <f>$B12 * IFERROR(VLOOKUP("LULUCF|NOx|Respiratory hospital admissions", US_national_yearly!$D:$AM, 30, FALSE) / VLOOKUP("LULUCF|NOx|Respiratory hospital admissions", US_national_yearly!$D:$AM, 10, FALSE), 1)</f>
        <v>1.3952033892005125E-5</v>
      </c>
      <c r="W12" s="7">
        <f>$B12 * IFERROR(VLOOKUP("LULUCF|NOx|Respiratory hospital admissions", US_national_yearly!$D:$AM, 31, FALSE) / VLOOKUP("LULUCF|NOx|Respiratory hospital admissions", US_national_yearly!$D:$AM, 10, FALSE), 1)</f>
        <v>1.4027239394619996E-5</v>
      </c>
      <c r="X12" s="7">
        <f>$B12 * IFERROR(VLOOKUP("LULUCF|NOx|Respiratory hospital admissions", US_national_yearly!$D:$AM, 32, FALSE) / VLOOKUP("LULUCF|NOx|Respiratory hospital admissions", US_national_yearly!$D:$AM, 10, FALSE), 1)</f>
        <v>1.4078632585222705E-5</v>
      </c>
      <c r="Y12" s="7">
        <f>$B12 * IFERROR(VLOOKUP("LULUCF|NOx|Respiratory hospital admissions", US_national_yearly!$D:$AM, 33, FALSE) / VLOOKUP("LULUCF|NOx|Respiratory hospital admissions", US_national_yearly!$D:$AM, 10, FALSE), 1)</f>
        <v>1.413002577582542E-5</v>
      </c>
      <c r="Z12" s="7">
        <f>$B12 * IFERROR(VLOOKUP("LULUCF|NOx|Respiratory hospital admissions", US_national_yearly!$D:$AM, 34, FALSE) / VLOOKUP("LULUCF|NOx|Respiratory hospital admissions", US_national_yearly!$D:$AM, 10, FALSE), 1)</f>
        <v>1.4181418966428133E-5</v>
      </c>
      <c r="AA12" s="7">
        <f>$B12 * IFERROR(VLOOKUP("LULUCF|NOx|Respiratory hospital admissions", US_national_yearly!$D:$AM, 35, FALSE) / VLOOKUP("LULUCF|NOx|Respiratory hospital admissions", US_national_yearly!$D:$AM, 10, FALSE), 1)</f>
        <v>1.4232812157030847E-5</v>
      </c>
      <c r="AB12" s="7">
        <f>$B12 * IFERROR(VLOOKUP("LULUCF|NOx|Respiratory hospital admissions", US_national_yearly!$D:$AM, 36, FALSE) / VLOOKUP("LULUCF|NOx|Respiratory hospital admissions", US_national_yearly!$D:$AM, 10, FALSE), 1)</f>
        <v>1.4284205347633558E-5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3.6739074286581025E-5</v>
      </c>
      <c r="C13" s="7">
        <f>$B13 * IFERROR(VLOOKUP("LULUCF|NOx|Non-fatal heart attacks", US_national_yearly!$D:$AM, 11, FALSE) / VLOOKUP("LULUCF|NOx|Non-fatal heart attacks", US_national_yearly!$D:$AM, 10, FALSE), 1)</f>
        <v>3.7789412051244701E-5</v>
      </c>
      <c r="D13" s="7">
        <f>$B13 * IFERROR(VLOOKUP("LULUCF|NOx|Non-fatal heart attacks", US_national_yearly!$D:$AM, 12, FALSE) / VLOOKUP("LULUCF|NOx|Non-fatal heart attacks", US_national_yearly!$D:$AM, 10, FALSE), 1)</f>
        <v>3.8839749815908377E-5</v>
      </c>
      <c r="E13" s="7">
        <f>$B13 * IFERROR(VLOOKUP("LULUCF|NOx|Non-fatal heart attacks", US_national_yearly!$D:$AM, 13, FALSE) / VLOOKUP("LULUCF|NOx|Non-fatal heart attacks", US_national_yearly!$D:$AM, 10, FALSE), 1)</f>
        <v>3.9890087580572046E-5</v>
      </c>
      <c r="F13" s="7">
        <f>$B13 * IFERROR(VLOOKUP("LULUCF|NOx|Non-fatal heart attacks", US_national_yearly!$D:$AM, 14, FALSE) / VLOOKUP("LULUCF|NOx|Non-fatal heart attacks", US_national_yearly!$D:$AM, 10, FALSE), 1)</f>
        <v>4.0940425345235722E-5</v>
      </c>
      <c r="G13" s="7">
        <f>$B13 * IFERROR(VLOOKUP("LULUCF|NOx|Non-fatal heart attacks", US_national_yearly!$D:$AM, 15, FALSE) / VLOOKUP("LULUCF|NOx|Non-fatal heart attacks", US_national_yearly!$D:$AM, 10, FALSE), 1)</f>
        <v>4.1921963803347462E-5</v>
      </c>
      <c r="H13" s="7">
        <f>$B13 * IFERROR(VLOOKUP("LULUCF|NOx|Non-fatal heart attacks", US_national_yearly!$D:$AM, 16, FALSE) / VLOOKUP("LULUCF|NOx|Non-fatal heart attacks", US_national_yearly!$D:$AM, 10, FALSE), 1)</f>
        <v>4.2903502261459202E-5</v>
      </c>
      <c r="I13" s="7">
        <f>$B13 * IFERROR(VLOOKUP("LULUCF|NOx|Non-fatal heart attacks", US_national_yearly!$D:$AM, 17, FALSE) / VLOOKUP("LULUCF|NOx|Non-fatal heart attacks", US_national_yearly!$D:$AM, 10, FALSE), 1)</f>
        <v>4.3677333135121487E-5</v>
      </c>
      <c r="J13" s="7">
        <f>$B13 * IFERROR(VLOOKUP("LULUCF|NOx|Non-fatal heart attacks", US_national_yearly!$D:$AM, 18, FALSE) / VLOOKUP("LULUCF|NOx|Non-fatal heart attacks", US_national_yearly!$D:$AM, 10, FALSE), 1)</f>
        <v>4.445116400878378E-5</v>
      </c>
      <c r="K13" s="7">
        <f>$B13 * IFERROR(VLOOKUP("LULUCF|NOx|Non-fatal heart attacks", US_national_yearly!$D:$AM, 19, FALSE) / VLOOKUP("LULUCF|NOx|Non-fatal heart attacks", US_national_yearly!$D:$AM, 10, FALSE), 1)</f>
        <v>4.5224994882446038E-5</v>
      </c>
      <c r="L13" s="7">
        <f>$B13 * IFERROR(VLOOKUP("LULUCF|NOx|Non-fatal heart attacks", US_national_yearly!$D:$AM, 20, FALSE) / VLOOKUP("LULUCF|NOx|Non-fatal heart attacks", US_national_yearly!$D:$AM, 10, FALSE), 1)</f>
        <v>4.5998825756108357E-5</v>
      </c>
      <c r="M13" s="7">
        <f>$B13 * IFERROR(VLOOKUP("LULUCF|NOx|Non-fatal heart attacks", US_national_yearly!$D:$AM, 21, FALSE) / VLOOKUP("LULUCF|NOx|Non-fatal heart attacks", US_national_yearly!$D:$AM, 10, FALSE), 1)</f>
        <v>4.6772656629770629E-5</v>
      </c>
      <c r="N13" s="7">
        <f>$B13 * IFERROR(VLOOKUP("LULUCF|NOx|Non-fatal heart attacks", US_national_yearly!$D:$AM, 22, FALSE) / VLOOKUP("LULUCF|NOx|Non-fatal heart attacks", US_national_yearly!$D:$AM, 10, FALSE), 1)</f>
        <v>4.7238216751008008E-5</v>
      </c>
      <c r="O13" s="7">
        <f>$B13 * IFERROR(VLOOKUP("LULUCF|NOx|Non-fatal heart attacks", US_national_yearly!$D:$AM, 23, FALSE) / VLOOKUP("LULUCF|NOx|Non-fatal heart attacks", US_national_yearly!$D:$AM, 10, FALSE), 1)</f>
        <v>4.7703776872245388E-5</v>
      </c>
      <c r="P13" s="7">
        <f>$B13 * IFERROR(VLOOKUP("LULUCF|NOx|Non-fatal heart attacks", US_national_yearly!$D:$AM, 24, FALSE) / VLOOKUP("LULUCF|NOx|Non-fatal heart attacks", US_national_yearly!$D:$AM, 10, FALSE), 1)</f>
        <v>4.8169336993482753E-5</v>
      </c>
      <c r="Q13" s="7">
        <f>$B13 * IFERROR(VLOOKUP("LULUCF|NOx|Non-fatal heart attacks", US_national_yearly!$D:$AM, 25, FALSE) / VLOOKUP("LULUCF|NOx|Non-fatal heart attacks", US_national_yearly!$D:$AM, 10, FALSE), 1)</f>
        <v>4.8634897114720139E-5</v>
      </c>
      <c r="R13" s="7">
        <f>$B13 * IFERROR(VLOOKUP("LULUCF|NOx|Non-fatal heart attacks", US_national_yearly!$D:$AM, 26, FALSE) / VLOOKUP("LULUCF|NOx|Non-fatal heart attacks", US_national_yearly!$D:$AM, 10, FALSE), 1)</f>
        <v>4.9100457235957518E-5</v>
      </c>
      <c r="S13" s="7">
        <f>$B13 * IFERROR(VLOOKUP("LULUCF|NOx|Non-fatal heart attacks", US_national_yearly!$D:$AM, 27, FALSE) / VLOOKUP("LULUCF|NOx|Non-fatal heart attacks", US_national_yearly!$D:$AM, 10, FALSE), 1)</f>
        <v>4.9311638526937788E-5</v>
      </c>
      <c r="T13" s="7">
        <f>$B13 * IFERROR(VLOOKUP("LULUCF|NOx|Non-fatal heart attacks", US_national_yearly!$D:$AM, 28, FALSE) / VLOOKUP("LULUCF|NOx|Non-fatal heart attacks", US_national_yearly!$D:$AM, 10, FALSE), 1)</f>
        <v>4.9522819817918051E-5</v>
      </c>
      <c r="U13" s="7">
        <f>$B13 * IFERROR(VLOOKUP("LULUCF|NOx|Non-fatal heart attacks", US_national_yearly!$D:$AM, 29, FALSE) / VLOOKUP("LULUCF|NOx|Non-fatal heart attacks", US_national_yearly!$D:$AM, 10, FALSE), 1)</f>
        <v>4.9734001108898321E-5</v>
      </c>
      <c r="V13" s="7">
        <f>$B13 * IFERROR(VLOOKUP("LULUCF|NOx|Non-fatal heart attacks", US_national_yearly!$D:$AM, 30, FALSE) / VLOOKUP("LULUCF|NOx|Non-fatal heart attacks", US_national_yearly!$D:$AM, 10, FALSE), 1)</f>
        <v>4.9945182399878584E-5</v>
      </c>
      <c r="W13" s="7">
        <f>$B13 * IFERROR(VLOOKUP("LULUCF|NOx|Non-fatal heart attacks", US_national_yearly!$D:$AM, 31, FALSE) / VLOOKUP("LULUCF|NOx|Non-fatal heart attacks", US_national_yearly!$D:$AM, 10, FALSE), 1)</f>
        <v>5.0156363690858854E-5</v>
      </c>
      <c r="X13" s="7">
        <f>$B13 * IFERROR(VLOOKUP("LULUCF|NOx|Non-fatal heart attacks", US_national_yearly!$D:$AM, 32, FALSE) / VLOOKUP("LULUCF|NOx|Non-fatal heart attacks", US_national_yearly!$D:$AM, 10, FALSE), 1)</f>
        <v>5.0297486141473488E-5</v>
      </c>
      <c r="Y13" s="7">
        <f>$B13 * IFERROR(VLOOKUP("LULUCF|NOx|Non-fatal heart attacks", US_national_yearly!$D:$AM, 33, FALSE) / VLOOKUP("LULUCF|NOx|Non-fatal heart attacks", US_national_yearly!$D:$AM, 10, FALSE), 1)</f>
        <v>5.0438608592088136E-5</v>
      </c>
      <c r="Z13" s="7">
        <f>$B13 * IFERROR(VLOOKUP("LULUCF|NOx|Non-fatal heart attacks", US_national_yearly!$D:$AM, 34, FALSE) / VLOOKUP("LULUCF|NOx|Non-fatal heart attacks", US_national_yearly!$D:$AM, 10, FALSE), 1)</f>
        <v>5.0579731042702764E-5</v>
      </c>
      <c r="AA13" s="7">
        <f>$B13 * IFERROR(VLOOKUP("LULUCF|NOx|Non-fatal heart attacks", US_national_yearly!$D:$AM, 35, FALSE) / VLOOKUP("LULUCF|NOx|Non-fatal heart attacks", US_national_yearly!$D:$AM, 10, FALSE), 1)</f>
        <v>5.0720853493317398E-5</v>
      </c>
      <c r="AB13" s="7">
        <f>$B13 * IFERROR(VLOOKUP("LULUCF|NOx|Non-fatal heart attacks", US_national_yearly!$D:$AM, 36, FALSE) / VLOOKUP("LULUCF|NOx|Non-fatal heart attacks", US_national_yearly!$D:$AM, 10, FALSE), 1)</f>
        <v>5.0861975943932046E-5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2.3825363903973992E-2</v>
      </c>
      <c r="C14" s="7">
        <f>$B14 * IFERROR(VLOOKUP("LULUCF|NOx|Minor restricted activity days", US_national_yearly!$D:$AM, 11, FALSE) / VLOOKUP("LULUCF|NOx|Minor restricted activity days", US_national_yearly!$D:$AM, 10, FALSE), 1)</f>
        <v>2.3861892185178531E-2</v>
      </c>
      <c r="D14" s="7">
        <f>$B14 * IFERROR(VLOOKUP("LULUCF|NOx|Minor restricted activity days", US_national_yearly!$D:$AM, 12, FALSE) / VLOOKUP("LULUCF|NOx|Minor restricted activity days", US_national_yearly!$D:$AM, 10, FALSE), 1)</f>
        <v>2.3898420466383075E-2</v>
      </c>
      <c r="E14" s="7">
        <f>$B14 * IFERROR(VLOOKUP("LULUCF|NOx|Minor restricted activity days", US_national_yearly!$D:$AM, 13, FALSE) / VLOOKUP("LULUCF|NOx|Minor restricted activity days", US_national_yearly!$D:$AM, 10, FALSE), 1)</f>
        <v>2.3934948747587621E-2</v>
      </c>
      <c r="F14" s="7">
        <f>$B14 * IFERROR(VLOOKUP("LULUCF|NOx|Minor restricted activity days", US_national_yearly!$D:$AM, 14, FALSE) / VLOOKUP("LULUCF|NOx|Minor restricted activity days", US_national_yearly!$D:$AM, 10, FALSE), 1)</f>
        <v>2.3971477028792158E-2</v>
      </c>
      <c r="G14" s="7">
        <f>$B14 * IFERROR(VLOOKUP("LULUCF|NOx|Minor restricted activity days", US_national_yearly!$D:$AM, 15, FALSE) / VLOOKUP("LULUCF|NOx|Minor restricted activity days", US_national_yearly!$D:$AM, 10, FALSE), 1)</f>
        <v>2.4037438410169528E-2</v>
      </c>
      <c r="H14" s="7">
        <f>$B14 * IFERROR(VLOOKUP("LULUCF|NOx|Minor restricted activity days", US_national_yearly!$D:$AM, 16, FALSE) / VLOOKUP("LULUCF|NOx|Minor restricted activity days", US_national_yearly!$D:$AM, 10, FALSE), 1)</f>
        <v>2.4103399791546895E-2</v>
      </c>
      <c r="I14" s="7">
        <f>$B14 * IFERROR(VLOOKUP("LULUCF|NOx|Minor restricted activity days", US_national_yearly!$D:$AM, 17, FALSE) / VLOOKUP("LULUCF|NOx|Minor restricted activity days", US_national_yearly!$D:$AM, 10, FALSE), 1)</f>
        <v>2.4232417645138105E-2</v>
      </c>
      <c r="J14" s="7">
        <f>$B14 * IFERROR(VLOOKUP("LULUCF|NOx|Minor restricted activity days", US_national_yearly!$D:$AM, 18, FALSE) / VLOOKUP("LULUCF|NOx|Minor restricted activity days", US_national_yearly!$D:$AM, 10, FALSE), 1)</f>
        <v>2.4361435498729312E-2</v>
      </c>
      <c r="K14" s="7">
        <f>$B14 * IFERROR(VLOOKUP("LULUCF|NOx|Minor restricted activity days", US_national_yearly!$D:$AM, 19, FALSE) / VLOOKUP("LULUCF|NOx|Minor restricted activity days", US_national_yearly!$D:$AM, 10, FALSE), 1)</f>
        <v>2.4490453352320522E-2</v>
      </c>
      <c r="L14" s="7">
        <f>$B14 * IFERROR(VLOOKUP("LULUCF|NOx|Minor restricted activity days", US_national_yearly!$D:$AM, 20, FALSE) / VLOOKUP("LULUCF|NOx|Minor restricted activity days", US_national_yearly!$D:$AM, 10, FALSE), 1)</f>
        <v>2.4619471205911729E-2</v>
      </c>
      <c r="M14" s="7">
        <f>$B14 * IFERROR(VLOOKUP("LULUCF|NOx|Minor restricted activity days", US_national_yearly!$D:$AM, 21, FALSE) / VLOOKUP("LULUCF|NOx|Minor restricted activity days", US_national_yearly!$D:$AM, 10, FALSE), 1)</f>
        <v>2.4748489059502943E-2</v>
      </c>
      <c r="N14" s="7">
        <f>$B14 * IFERROR(VLOOKUP("LULUCF|NOx|Minor restricted activity days", US_national_yearly!$D:$AM, 22, FALSE) / VLOOKUP("LULUCF|NOx|Minor restricted activity days", US_national_yearly!$D:$AM, 10, FALSE), 1)</f>
        <v>2.493321337168088E-2</v>
      </c>
      <c r="O14" s="7">
        <f>$B14 * IFERROR(VLOOKUP("LULUCF|NOx|Minor restricted activity days", US_national_yearly!$D:$AM, 23, FALSE) / VLOOKUP("LULUCF|NOx|Minor restricted activity days", US_national_yearly!$D:$AM, 10, FALSE), 1)</f>
        <v>2.511793768385882E-2</v>
      </c>
      <c r="P14" s="7">
        <f>$B14 * IFERROR(VLOOKUP("LULUCF|NOx|Minor restricted activity days", US_national_yearly!$D:$AM, 24, FALSE) / VLOOKUP("LULUCF|NOx|Minor restricted activity days", US_national_yearly!$D:$AM, 10, FALSE), 1)</f>
        <v>2.5302661996036761E-2</v>
      </c>
      <c r="Q14" s="7">
        <f>$B14 * IFERROR(VLOOKUP("LULUCF|NOx|Minor restricted activity days", US_national_yearly!$D:$AM, 25, FALSE) / VLOOKUP("LULUCF|NOx|Minor restricted activity days", US_national_yearly!$D:$AM, 10, FALSE), 1)</f>
        <v>2.5487386308214701E-2</v>
      </c>
      <c r="R14" s="7">
        <f>$B14 * IFERROR(VLOOKUP("LULUCF|NOx|Minor restricted activity days", US_national_yearly!$D:$AM, 26, FALSE) / VLOOKUP("LULUCF|NOx|Minor restricted activity days", US_national_yearly!$D:$AM, 10, FALSE), 1)</f>
        <v>2.5672110620392641E-2</v>
      </c>
      <c r="S14" s="7">
        <f>$B14 * IFERROR(VLOOKUP("LULUCF|NOx|Minor restricted activity days", US_national_yearly!$D:$AM, 27, FALSE) / VLOOKUP("LULUCF|NOx|Minor restricted activity days", US_national_yearly!$D:$AM, 10, FALSE), 1)</f>
        <v>2.5856796094679321E-2</v>
      </c>
      <c r="T14" s="7">
        <f>$B14 * IFERROR(VLOOKUP("LULUCF|NOx|Minor restricted activity days", US_national_yearly!$D:$AM, 28, FALSE) / VLOOKUP("LULUCF|NOx|Minor restricted activity days", US_national_yearly!$D:$AM, 10, FALSE), 1)</f>
        <v>2.6041481568965994E-2</v>
      </c>
      <c r="U14" s="7">
        <f>$B14 * IFERROR(VLOOKUP("LULUCF|NOx|Minor restricted activity days", US_national_yearly!$D:$AM, 29, FALSE) / VLOOKUP("LULUCF|NOx|Minor restricted activity days", US_national_yearly!$D:$AM, 10, FALSE), 1)</f>
        <v>2.622616704325267E-2</v>
      </c>
      <c r="V14" s="7">
        <f>$B14 * IFERROR(VLOOKUP("LULUCF|NOx|Minor restricted activity days", US_national_yearly!$D:$AM, 30, FALSE) / VLOOKUP("LULUCF|NOx|Minor restricted activity days", US_national_yearly!$D:$AM, 10, FALSE), 1)</f>
        <v>2.641085251753935E-2</v>
      </c>
      <c r="W14" s="7">
        <f>$B14 * IFERROR(VLOOKUP("LULUCF|NOx|Minor restricted activity days", US_national_yearly!$D:$AM, 31, FALSE) / VLOOKUP("LULUCF|NOx|Minor restricted activity days", US_national_yearly!$D:$AM, 10, FALSE), 1)</f>
        <v>2.6595537991826023E-2</v>
      </c>
      <c r="X14" s="7">
        <f>$B14 * IFERROR(VLOOKUP("LULUCF|NOx|Minor restricted activity days", US_national_yearly!$D:$AM, 32, FALSE) / VLOOKUP("LULUCF|NOx|Minor restricted activity days", US_national_yearly!$D:$AM, 10, FALSE), 1)</f>
        <v>2.6751682524589E-2</v>
      </c>
      <c r="Y14" s="7">
        <f>$B14 * IFERROR(VLOOKUP("LULUCF|NOx|Minor restricted activity days", US_national_yearly!$D:$AM, 33, FALSE) / VLOOKUP("LULUCF|NOx|Minor restricted activity days", US_national_yearly!$D:$AM, 10, FALSE), 1)</f>
        <v>2.690782705735198E-2</v>
      </c>
      <c r="Z14" s="7">
        <f>$B14 * IFERROR(VLOOKUP("LULUCF|NOx|Minor restricted activity days", US_national_yearly!$D:$AM, 34, FALSE) / VLOOKUP("LULUCF|NOx|Minor restricted activity days", US_national_yearly!$D:$AM, 10, FALSE), 1)</f>
        <v>2.7063971590114956E-2</v>
      </c>
      <c r="AA14" s="7">
        <f>$B14 * IFERROR(VLOOKUP("LULUCF|NOx|Minor restricted activity days", US_national_yearly!$D:$AM, 35, FALSE) / VLOOKUP("LULUCF|NOx|Minor restricted activity days", US_national_yearly!$D:$AM, 10, FALSE), 1)</f>
        <v>2.7220116122877933E-2</v>
      </c>
      <c r="AB14" s="7">
        <f>$B14 * IFERROR(VLOOKUP("LULUCF|NOx|Minor restricted activity days", US_national_yearly!$D:$AM, 36, FALSE) / VLOOKUP("LULUCF|NOx|Minor restricted activity days", US_national_yearly!$D:$AM, 10, FALSE), 1)</f>
        <v>2.7376260655640913E-2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3.9864244560940147E-3</v>
      </c>
      <c r="C15" s="7">
        <f>$B15 * IFERROR(VLOOKUP("LULUCF|NOx|Work loss days", US_national_yearly!$D:$AM, 11, FALSE) / VLOOKUP("LULUCF|NOx|Work loss days", US_national_yearly!$D:$AM, 10, FALSE), 1)</f>
        <v>3.9952920428405073E-3</v>
      </c>
      <c r="D15" s="7">
        <f>$B15 * IFERROR(VLOOKUP("LULUCF|NOx|Work loss days", US_national_yearly!$D:$AM, 12, FALSE) / VLOOKUP("LULUCF|NOx|Work loss days", US_national_yearly!$D:$AM, 10, FALSE), 1)</f>
        <v>4.0041596295869999E-3</v>
      </c>
      <c r="E15" s="7">
        <f>$B15 * IFERROR(VLOOKUP("LULUCF|NOx|Work loss days", US_national_yearly!$D:$AM, 13, FALSE) / VLOOKUP("LULUCF|NOx|Work loss days", US_national_yearly!$D:$AM, 10, FALSE), 1)</f>
        <v>4.0130272163334925E-3</v>
      </c>
      <c r="F15" s="7">
        <f>$B15 * IFERROR(VLOOKUP("LULUCF|NOx|Work loss days", US_national_yearly!$D:$AM, 14, FALSE) / VLOOKUP("LULUCF|NOx|Work loss days", US_national_yearly!$D:$AM, 10, FALSE), 1)</f>
        <v>4.0218948030799851E-3</v>
      </c>
      <c r="G15" s="7">
        <f>$B15 * IFERROR(VLOOKUP("LULUCF|NOx|Work loss days", US_national_yearly!$D:$AM, 15, FALSE) / VLOOKUP("LULUCF|NOx|Work loss days", US_national_yearly!$D:$AM, 10, FALSE), 1)</f>
        <v>4.0348415553743168E-3</v>
      </c>
      <c r="H15" s="7">
        <f>$B15 * IFERROR(VLOOKUP("LULUCF|NOx|Work loss days", US_national_yearly!$D:$AM, 16, FALSE) / VLOOKUP("LULUCF|NOx|Work loss days", US_national_yearly!$D:$AM, 10, FALSE), 1)</f>
        <v>4.0477883076686485E-3</v>
      </c>
      <c r="I15" s="7">
        <f>$B15 * IFERROR(VLOOKUP("LULUCF|NOx|Work loss days", US_national_yearly!$D:$AM, 17, FALSE) / VLOOKUP("LULUCF|NOx|Work loss days", US_national_yearly!$D:$AM, 10, FALSE), 1)</f>
        <v>4.0687613447204724E-3</v>
      </c>
      <c r="J15" s="7">
        <f>$B15 * IFERROR(VLOOKUP("LULUCF|NOx|Work loss days", US_national_yearly!$D:$AM, 18, FALSE) / VLOOKUP("LULUCF|NOx|Work loss days", US_national_yearly!$D:$AM, 10, FALSE), 1)</f>
        <v>4.0897343817722972E-3</v>
      </c>
      <c r="K15" s="7">
        <f>$B15 * IFERROR(VLOOKUP("LULUCF|NOx|Work loss days", US_national_yearly!$D:$AM, 19, FALSE) / VLOOKUP("LULUCF|NOx|Work loss days", US_national_yearly!$D:$AM, 10, FALSE), 1)</f>
        <v>4.1107074188241211E-3</v>
      </c>
      <c r="L15" s="7">
        <f>$B15 * IFERROR(VLOOKUP("LULUCF|NOx|Work loss days", US_national_yearly!$D:$AM, 20, FALSE) / VLOOKUP("LULUCF|NOx|Work loss days", US_national_yearly!$D:$AM, 10, FALSE), 1)</f>
        <v>4.1316804558759451E-3</v>
      </c>
      <c r="M15" s="7">
        <f>$B15 * IFERROR(VLOOKUP("LULUCF|NOx|Work loss days", US_national_yearly!$D:$AM, 21, FALSE) / VLOOKUP("LULUCF|NOx|Work loss days", US_national_yearly!$D:$AM, 10, FALSE), 1)</f>
        <v>4.1526534929277699E-3</v>
      </c>
      <c r="N15" s="7">
        <f>$B15 * IFERROR(VLOOKUP("LULUCF|NOx|Work loss days", US_national_yearly!$D:$AM, 22, FALSE) / VLOOKUP("LULUCF|NOx|Work loss days", US_national_yearly!$D:$AM, 10, FALSE), 1)</f>
        <v>4.1799486136878394E-3</v>
      </c>
      <c r="O15" s="7">
        <f>$B15 * IFERROR(VLOOKUP("LULUCF|NOx|Work loss days", US_national_yearly!$D:$AM, 23, FALSE) / VLOOKUP("LULUCF|NOx|Work loss days", US_national_yearly!$D:$AM, 10, FALSE), 1)</f>
        <v>4.2072437344479099E-3</v>
      </c>
      <c r="P15" s="7">
        <f>$B15 * IFERROR(VLOOKUP("LULUCF|NOx|Work loss days", US_national_yearly!$D:$AM, 24, FALSE) / VLOOKUP("LULUCF|NOx|Work loss days", US_national_yearly!$D:$AM, 10, FALSE), 1)</f>
        <v>4.2345388552079803E-3</v>
      </c>
      <c r="Q15" s="7">
        <f>$B15 * IFERROR(VLOOKUP("LULUCF|NOx|Work loss days", US_national_yearly!$D:$AM, 25, FALSE) / VLOOKUP("LULUCF|NOx|Work loss days", US_national_yearly!$D:$AM, 10, FALSE), 1)</f>
        <v>4.261833975968049E-3</v>
      </c>
      <c r="R15" s="7">
        <f>$B15 * IFERROR(VLOOKUP("LULUCF|NOx|Work loss days", US_national_yearly!$D:$AM, 26, FALSE) / VLOOKUP("LULUCF|NOx|Work loss days", US_national_yearly!$D:$AM, 10, FALSE), 1)</f>
        <v>4.2891290967281203E-3</v>
      </c>
      <c r="S15" s="7">
        <f>$B15 * IFERROR(VLOOKUP("LULUCF|NOx|Work loss days", US_national_yearly!$D:$AM, 27, FALSE) / VLOOKUP("LULUCF|NOx|Work loss days", US_national_yearly!$D:$AM, 10, FALSE), 1)</f>
        <v>4.3195596663667402E-3</v>
      </c>
      <c r="T15" s="7">
        <f>$B15 * IFERROR(VLOOKUP("LULUCF|NOx|Work loss days", US_national_yearly!$D:$AM, 28, FALSE) / VLOOKUP("LULUCF|NOx|Work loss days", US_national_yearly!$D:$AM, 10, FALSE), 1)</f>
        <v>4.34999023600536E-3</v>
      </c>
      <c r="U15" s="7">
        <f>$B15 * IFERROR(VLOOKUP("LULUCF|NOx|Work loss days", US_national_yearly!$D:$AM, 29, FALSE) / VLOOKUP("LULUCF|NOx|Work loss days", US_national_yearly!$D:$AM, 10, FALSE), 1)</f>
        <v>4.3804208056439789E-3</v>
      </c>
      <c r="V15" s="7">
        <f>$B15 * IFERROR(VLOOKUP("LULUCF|NOx|Work loss days", US_national_yearly!$D:$AM, 30, FALSE) / VLOOKUP("LULUCF|NOx|Work loss days", US_national_yearly!$D:$AM, 10, FALSE), 1)</f>
        <v>4.4108513752825988E-3</v>
      </c>
      <c r="W15" s="7">
        <f>$B15 * IFERROR(VLOOKUP("LULUCF|NOx|Work loss days", US_national_yearly!$D:$AM, 31, FALSE) / VLOOKUP("LULUCF|NOx|Work loss days", US_national_yearly!$D:$AM, 10, FALSE), 1)</f>
        <v>4.4412819449212177E-3</v>
      </c>
      <c r="X15" s="7">
        <f>$B15 * IFERROR(VLOOKUP("LULUCF|NOx|Work loss days", US_national_yearly!$D:$AM, 32, FALSE) / VLOOKUP("LULUCF|NOx|Work loss days", US_national_yearly!$D:$AM, 10, FALSE), 1)</f>
        <v>4.4676940569087532E-3</v>
      </c>
      <c r="Y15" s="7">
        <f>$B15 * IFERROR(VLOOKUP("LULUCF|NOx|Work loss days", US_national_yearly!$D:$AM, 33, FALSE) / VLOOKUP("LULUCF|NOx|Work loss days", US_national_yearly!$D:$AM, 10, FALSE), 1)</f>
        <v>4.4941061688962879E-3</v>
      </c>
      <c r="Z15" s="7">
        <f>$B15 * IFERROR(VLOOKUP("LULUCF|NOx|Work loss days", US_national_yearly!$D:$AM, 34, FALSE) / VLOOKUP("LULUCF|NOx|Work loss days", US_national_yearly!$D:$AM, 10, FALSE), 1)</f>
        <v>4.5205182808838226E-3</v>
      </c>
      <c r="AA15" s="7">
        <f>$B15 * IFERROR(VLOOKUP("LULUCF|NOx|Work loss days", US_national_yearly!$D:$AM, 35, FALSE) / VLOOKUP("LULUCF|NOx|Work loss days", US_national_yearly!$D:$AM, 10, FALSE), 1)</f>
        <v>4.5469303928713572E-3</v>
      </c>
      <c r="AB15" s="7">
        <f>$B15 * IFERROR(VLOOKUP("LULUCF|NOx|Work loss days", US_national_yearly!$D:$AM, 36, FALSE) / VLOOKUP("LULUCF|NOx|Work loss days", US_national_yearly!$D:$AM, 10, FALSE), 1)</f>
        <v>4.5733425048588919E-3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8.7202810796793067E-6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8.9765233276701275E-6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9.2327655756609484E-6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9.4890078236517675E-6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9.7452500716425884E-6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9.9886378312749859E-6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1.0232025590907385E-5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1.043669592045237E-5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1.0641366249997356E-5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1.0846036579542341E-5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1.1050706909087325E-5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1.1255377238632313E-5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1.1383364377404325E-5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1.1511351516176339E-5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1.1639338654948353E-5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1.1767325793720367E-5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1.189531293249238E-5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1.1953709949325696E-5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1.2012106966159012E-5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1.2070503982992325E-5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1.2128900999825641E-5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1.2187298016658957E-5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1.2219797981128779E-5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1.2252297945598602E-5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1.2284797910068422E-5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1.2317297874538245E-5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1.2349797839008066E-5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1.0745556757510803E-4</v>
      </c>
      <c r="C2" s="7">
        <f>$B2 * IFERROR(VLOOKUP("LULUCF|SO2|Premature mortality", US_national_yearly!$D:$AM, 11, FALSE) / VLOOKUP("LULUCF|SO2|Premature mortality", US_national_yearly!$D:$AM, 10, FALSE), 1)</f>
        <v>1.0881643419806125E-4</v>
      </c>
      <c r="D2" s="7">
        <f>$B2 * IFERROR(VLOOKUP("LULUCF|SO2|Premature mortality", US_national_yearly!$D:$AM, 12, FALSE) / VLOOKUP("LULUCF|SO2|Premature mortality", US_national_yearly!$D:$AM, 10, FALSE), 1)</f>
        <v>1.101773008210145E-4</v>
      </c>
      <c r="E2" s="7">
        <f>$B2 * IFERROR(VLOOKUP("LULUCF|SO2|Premature mortality", US_national_yearly!$D:$AM, 13, FALSE) / VLOOKUP("LULUCF|SO2|Premature mortality", US_national_yearly!$D:$AM, 10, FALSE), 1)</f>
        <v>1.1153816744396774E-4</v>
      </c>
      <c r="F2" s="7">
        <f>$B2 * IFERROR(VLOOKUP("LULUCF|SO2|Premature mortality", US_national_yearly!$D:$AM, 14, FALSE) / VLOOKUP("LULUCF|SO2|Premature mortality", US_national_yearly!$D:$AM, 10, FALSE), 1)</f>
        <v>1.1289903406692096E-4</v>
      </c>
      <c r="G2" s="7">
        <f>$B2 * IFERROR(VLOOKUP("LULUCF|SO2|Premature mortality", US_national_yearly!$D:$AM, 15, FALSE) / VLOOKUP("LULUCF|SO2|Premature mortality", US_national_yearly!$D:$AM, 10, FALSE), 1)</f>
        <v>1.155213469237986E-4</v>
      </c>
      <c r="H2" s="7">
        <f>$B2 * IFERROR(VLOOKUP("LULUCF|SO2|Premature mortality", US_national_yearly!$D:$AM, 16, FALSE) / VLOOKUP("LULUCF|SO2|Premature mortality", US_national_yearly!$D:$AM, 10, FALSE), 1)</f>
        <v>1.1814365978067622E-4</v>
      </c>
      <c r="I2" s="7">
        <f>$B2 * IFERROR(VLOOKUP("LULUCF|SO2|Premature mortality", US_national_yearly!$D:$AM, 17, FALSE) / VLOOKUP("LULUCF|SO2|Premature mortality", US_national_yearly!$D:$AM, 10, FALSE), 1)</f>
        <v>1.1987664479614989E-4</v>
      </c>
      <c r="J2" s="7">
        <f>$B2 * IFERROR(VLOOKUP("LULUCF|SO2|Premature mortality", US_national_yearly!$D:$AM, 18, FALSE) / VLOOKUP("LULUCF|SO2|Premature mortality", US_national_yearly!$D:$AM, 10, FALSE), 1)</f>
        <v>1.2160962981162356E-4</v>
      </c>
      <c r="K2" s="7">
        <f>$B2 * IFERROR(VLOOKUP("LULUCF|SO2|Premature mortality", US_national_yearly!$D:$AM, 19, FALSE) / VLOOKUP("LULUCF|SO2|Premature mortality", US_national_yearly!$D:$AM, 10, FALSE), 1)</f>
        <v>1.2334261482709722E-4</v>
      </c>
      <c r="L2" s="7">
        <f>$B2 * IFERROR(VLOOKUP("LULUCF|SO2|Premature mortality", US_national_yearly!$D:$AM, 20, FALSE) / VLOOKUP("LULUCF|SO2|Premature mortality", US_national_yearly!$D:$AM, 10, FALSE), 1)</f>
        <v>1.250755998425709E-4</v>
      </c>
      <c r="M2" s="7">
        <f>$B2 * IFERROR(VLOOKUP("LULUCF|SO2|Premature mortality", US_national_yearly!$D:$AM, 21, FALSE) / VLOOKUP("LULUCF|SO2|Premature mortality", US_national_yearly!$D:$AM, 10, FALSE), 1)</f>
        <v>1.2680858485804457E-4</v>
      </c>
      <c r="N2" s="7">
        <f>$B2 * IFERROR(VLOOKUP("LULUCF|SO2|Premature mortality", US_national_yearly!$D:$AM, 22, FALSE) / VLOOKUP("LULUCF|SO2|Premature mortality", US_national_yearly!$D:$AM, 10, FALSE), 1)</f>
        <v>1.2816264534730307E-4</v>
      </c>
      <c r="O2" s="7">
        <f>$B2 * IFERROR(VLOOKUP("LULUCF|SO2|Premature mortality", US_national_yearly!$D:$AM, 23, FALSE) / VLOOKUP("LULUCF|SO2|Premature mortality", US_national_yearly!$D:$AM, 10, FALSE), 1)</f>
        <v>1.295167058365616E-4</v>
      </c>
      <c r="P2" s="7">
        <f>$B2 * IFERROR(VLOOKUP("LULUCF|SO2|Premature mortality", US_national_yearly!$D:$AM, 24, FALSE) / VLOOKUP("LULUCF|SO2|Premature mortality", US_national_yearly!$D:$AM, 10, FALSE), 1)</f>
        <v>1.308707663258201E-4</v>
      </c>
      <c r="Q2" s="7">
        <f>$B2 * IFERROR(VLOOKUP("LULUCF|SO2|Premature mortality", US_national_yearly!$D:$AM, 25, FALSE) / VLOOKUP("LULUCF|SO2|Premature mortality", US_national_yearly!$D:$AM, 10, FALSE), 1)</f>
        <v>1.3222482681507863E-4</v>
      </c>
      <c r="R2" s="7">
        <f>$B2 * IFERROR(VLOOKUP("LULUCF|SO2|Premature mortality", US_national_yearly!$D:$AM, 26, FALSE) / VLOOKUP("LULUCF|SO2|Premature mortality", US_national_yearly!$D:$AM, 10, FALSE), 1)</f>
        <v>1.3357888730433713E-4</v>
      </c>
      <c r="S2" s="7">
        <f>$B2 * IFERROR(VLOOKUP("LULUCF|SO2|Premature mortality", US_national_yearly!$D:$AM, 27, FALSE) / VLOOKUP("LULUCF|SO2|Premature mortality", US_national_yearly!$D:$AM, 10, FALSE), 1)</f>
        <v>1.3430400472592028E-4</v>
      </c>
      <c r="T2" s="7">
        <f>$B2 * IFERROR(VLOOKUP("LULUCF|SO2|Premature mortality", US_national_yearly!$D:$AM, 28, FALSE) / VLOOKUP("LULUCF|SO2|Premature mortality", US_national_yearly!$D:$AM, 10, FALSE), 1)</f>
        <v>1.350291221475034E-4</v>
      </c>
      <c r="U2" s="7">
        <f>$B2 * IFERROR(VLOOKUP("LULUCF|SO2|Premature mortality", US_national_yearly!$D:$AM, 29, FALSE) / VLOOKUP("LULUCF|SO2|Premature mortality", US_national_yearly!$D:$AM, 10, FALSE), 1)</f>
        <v>1.3575423956908652E-4</v>
      </c>
      <c r="V2" s="7">
        <f>$B2 * IFERROR(VLOOKUP("LULUCF|SO2|Premature mortality", US_national_yearly!$D:$AM, 30, FALSE) / VLOOKUP("LULUCF|SO2|Premature mortality", US_national_yearly!$D:$AM, 10, FALSE), 1)</f>
        <v>1.3647935699066964E-4</v>
      </c>
      <c r="W2" s="7">
        <f>$B2 * IFERROR(VLOOKUP("LULUCF|SO2|Premature mortality", US_national_yearly!$D:$AM, 31, FALSE) / VLOOKUP("LULUCF|SO2|Premature mortality", US_national_yearly!$D:$AM, 10, FALSE), 1)</f>
        <v>1.3720447441225279E-4</v>
      </c>
      <c r="X2" s="7">
        <f>$B2 * IFERROR(VLOOKUP("LULUCF|SO2|Premature mortality", US_national_yearly!$D:$AM, 32, FALSE) / VLOOKUP("LULUCF|SO2|Premature mortality", US_national_yearly!$D:$AM, 10, FALSE), 1)</f>
        <v>1.3735178423441479E-4</v>
      </c>
      <c r="Y2" s="7">
        <f>$B2 * IFERROR(VLOOKUP("LULUCF|SO2|Premature mortality", US_national_yearly!$D:$AM, 33, FALSE) / VLOOKUP("LULUCF|SO2|Premature mortality", US_national_yearly!$D:$AM, 10, FALSE), 1)</f>
        <v>1.3749909405657681E-4</v>
      </c>
      <c r="Z2" s="7">
        <f>$B2 * IFERROR(VLOOKUP("LULUCF|SO2|Premature mortality", US_national_yearly!$D:$AM, 34, FALSE) / VLOOKUP("LULUCF|SO2|Premature mortality", US_national_yearly!$D:$AM, 10, FALSE), 1)</f>
        <v>1.3764640387873886E-4</v>
      </c>
      <c r="AA2" s="7">
        <f>$B2 * IFERROR(VLOOKUP("LULUCF|SO2|Premature mortality", US_national_yearly!$D:$AM, 35, FALSE) / VLOOKUP("LULUCF|SO2|Premature mortality", US_national_yearly!$D:$AM, 10, FALSE), 1)</f>
        <v>1.3779371370090088E-4</v>
      </c>
      <c r="AB2" s="7">
        <f>$B2 * IFERROR(VLOOKUP("LULUCF|SO2|Premature mortality", US_national_yearly!$D:$AM, 36, FALSE) / VLOOKUP("LULUCF|SO2|Premature mortality", US_national_yearly!$D:$AM, 10, FALSE), 1)</f>
        <v>1.3794102352306288E-4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1.81749624690459E-7</v>
      </c>
      <c r="C3" s="7">
        <f>$B3 * IFERROR(VLOOKUP("LULUCF|SO2|Infant mortality", US_national_yearly!$D:$AM, 11, FALSE) / VLOOKUP("LULUCF|SO2|Infant mortality", US_national_yearly!$D:$AM, 10, FALSE), 1)</f>
        <v>1.8018836226222389E-7</v>
      </c>
      <c r="D3" s="7">
        <f>$B3 * IFERROR(VLOOKUP("LULUCF|SO2|Infant mortality", US_national_yearly!$D:$AM, 12, FALSE) / VLOOKUP("LULUCF|SO2|Infant mortality", US_national_yearly!$D:$AM, 10, FALSE), 1)</f>
        <v>1.7862709983398879E-7</v>
      </c>
      <c r="E3" s="7">
        <f>$B3 * IFERROR(VLOOKUP("LULUCF|SO2|Infant mortality", US_national_yearly!$D:$AM, 13, FALSE) / VLOOKUP("LULUCF|SO2|Infant mortality", US_national_yearly!$D:$AM, 10, FALSE), 1)</f>
        <v>1.7706583740575366E-7</v>
      </c>
      <c r="F3" s="7">
        <f>$B3 * IFERROR(VLOOKUP("LULUCF|SO2|Infant mortality", US_national_yearly!$D:$AM, 14, FALSE) / VLOOKUP("LULUCF|SO2|Infant mortality", US_national_yearly!$D:$AM, 10, FALSE), 1)</f>
        <v>1.7550457497751858E-7</v>
      </c>
      <c r="G3" s="7">
        <f>$B3 * IFERROR(VLOOKUP("LULUCF|SO2|Infant mortality", US_national_yearly!$D:$AM, 15, FALSE) / VLOOKUP("LULUCF|SO2|Infant mortality", US_national_yearly!$D:$AM, 10, FALSE), 1)</f>
        <v>1.1690018235091456E-7</v>
      </c>
      <c r="H3" s="7">
        <f>$B3 * IFERROR(VLOOKUP("LULUCF|SO2|Infant mortality", US_national_yearly!$D:$AM, 16, FALSE) / VLOOKUP("LULUCF|SO2|Infant mortality", US_national_yearly!$D:$AM, 10, FALSE), 1)</f>
        <v>5.8295789724310622E-8</v>
      </c>
      <c r="I3" s="7">
        <f>$B3 * IFERROR(VLOOKUP("LULUCF|SO2|Infant mortality", US_national_yearly!$D:$AM, 17, FALSE) / VLOOKUP("LULUCF|SO2|Infant mortality", US_national_yearly!$D:$AM, 10, FALSE), 1)</f>
        <v>5.7930082631552943E-8</v>
      </c>
      <c r="J3" s="7">
        <f>$B3 * IFERROR(VLOOKUP("LULUCF|SO2|Infant mortality", US_national_yearly!$D:$AM, 18, FALSE) / VLOOKUP("LULUCF|SO2|Infant mortality", US_national_yearly!$D:$AM, 10, FALSE), 1)</f>
        <v>5.7564375538795264E-8</v>
      </c>
      <c r="K3" s="7">
        <f>$B3 * IFERROR(VLOOKUP("LULUCF|SO2|Infant mortality", US_national_yearly!$D:$AM, 19, FALSE) / VLOOKUP("LULUCF|SO2|Infant mortality", US_national_yearly!$D:$AM, 10, FALSE), 1)</f>
        <v>5.7198668446037586E-8</v>
      </c>
      <c r="L3" s="7">
        <f>$B3 * IFERROR(VLOOKUP("LULUCF|SO2|Infant mortality", US_national_yearly!$D:$AM, 20, FALSE) / VLOOKUP("LULUCF|SO2|Infant mortality", US_national_yearly!$D:$AM, 10, FALSE), 1)</f>
        <v>5.683296135327992E-8</v>
      </c>
      <c r="M3" s="7">
        <f>$B3 * IFERROR(VLOOKUP("LULUCF|SO2|Infant mortality", US_national_yearly!$D:$AM, 21, FALSE) / VLOOKUP("LULUCF|SO2|Infant mortality", US_national_yearly!$D:$AM, 10, FALSE), 1)</f>
        <v>5.6467254260522241E-8</v>
      </c>
      <c r="N3" s="7">
        <f>$B3 * IFERROR(VLOOKUP("LULUCF|SO2|Infant mortality", US_national_yearly!$D:$AM, 22, FALSE) / VLOOKUP("LULUCF|SO2|Infant mortality", US_national_yearly!$D:$AM, 10, FALSE), 1)</f>
        <v>5.6237702656323725E-8</v>
      </c>
      <c r="O3" s="7">
        <f>$B3 * IFERROR(VLOOKUP("LULUCF|SO2|Infant mortality", US_national_yearly!$D:$AM, 23, FALSE) / VLOOKUP("LULUCF|SO2|Infant mortality", US_national_yearly!$D:$AM, 10, FALSE), 1)</f>
        <v>5.6008151052125203E-8</v>
      </c>
      <c r="P3" s="7">
        <f>$B3 * IFERROR(VLOOKUP("LULUCF|SO2|Infant mortality", US_national_yearly!$D:$AM, 24, FALSE) / VLOOKUP("LULUCF|SO2|Infant mortality", US_national_yearly!$D:$AM, 10, FALSE), 1)</f>
        <v>5.577859944792668E-8</v>
      </c>
      <c r="Q3" s="7">
        <f>$B3 * IFERROR(VLOOKUP("LULUCF|SO2|Infant mortality", US_national_yearly!$D:$AM, 25, FALSE) / VLOOKUP("LULUCF|SO2|Infant mortality", US_national_yearly!$D:$AM, 10, FALSE), 1)</f>
        <v>5.5549047843728164E-8</v>
      </c>
      <c r="R3" s="7">
        <f>$B3 * IFERROR(VLOOKUP("LULUCF|SO2|Infant mortality", US_national_yearly!$D:$AM, 26, FALSE) / VLOOKUP("LULUCF|SO2|Infant mortality", US_national_yearly!$D:$AM, 10, FALSE), 1)</f>
        <v>5.5319496239529635E-8</v>
      </c>
      <c r="S3" s="7">
        <f>$B3 * IFERROR(VLOOKUP("LULUCF|SO2|Infant mortality", US_national_yearly!$D:$AM, 27, FALSE) / VLOOKUP("LULUCF|SO2|Infant mortality", US_national_yearly!$D:$AM, 10, FALSE), 1)</f>
        <v>5.5031280215875315E-8</v>
      </c>
      <c r="T3" s="7">
        <f>$B3 * IFERROR(VLOOKUP("LULUCF|SO2|Infant mortality", US_national_yearly!$D:$AM, 28, FALSE) / VLOOKUP("LULUCF|SO2|Infant mortality", US_national_yearly!$D:$AM, 10, FALSE), 1)</f>
        <v>5.4743064192220995E-8</v>
      </c>
      <c r="U3" s="7">
        <f>$B3 * IFERROR(VLOOKUP("LULUCF|SO2|Infant mortality", US_national_yearly!$D:$AM, 29, FALSE) / VLOOKUP("LULUCF|SO2|Infant mortality", US_national_yearly!$D:$AM, 10, FALSE), 1)</f>
        <v>5.4454848168566662E-8</v>
      </c>
      <c r="V3" s="7">
        <f>$B3 * IFERROR(VLOOKUP("LULUCF|SO2|Infant mortality", US_national_yearly!$D:$AM, 30, FALSE) / VLOOKUP("LULUCF|SO2|Infant mortality", US_national_yearly!$D:$AM, 10, FALSE), 1)</f>
        <v>5.4166632144912348E-8</v>
      </c>
      <c r="W3" s="7">
        <f>$B3 * IFERROR(VLOOKUP("LULUCF|SO2|Infant mortality", US_national_yearly!$D:$AM, 31, FALSE) / VLOOKUP("LULUCF|SO2|Infant mortality", US_national_yearly!$D:$AM, 10, FALSE), 1)</f>
        <v>5.3878416121258022E-8</v>
      </c>
      <c r="X3" s="7">
        <f>$B3 * IFERROR(VLOOKUP("LULUCF|SO2|Infant mortality", US_national_yearly!$D:$AM, 32, FALSE) / VLOOKUP("LULUCF|SO2|Infant mortality", US_national_yearly!$D:$AM, 10, FALSE), 1)</f>
        <v>5.3563307043166701E-8</v>
      </c>
      <c r="Y3" s="7">
        <f>$B3 * IFERROR(VLOOKUP("LULUCF|SO2|Infant mortality", US_national_yearly!$D:$AM, 33, FALSE) / VLOOKUP("LULUCF|SO2|Infant mortality", US_national_yearly!$D:$AM, 10, FALSE), 1)</f>
        <v>5.3248197965075367E-8</v>
      </c>
      <c r="Z3" s="7">
        <f>$B3 * IFERROR(VLOOKUP("LULUCF|SO2|Infant mortality", US_national_yearly!$D:$AM, 34, FALSE) / VLOOKUP("LULUCF|SO2|Infant mortality", US_national_yearly!$D:$AM, 10, FALSE), 1)</f>
        <v>5.2933088886984047E-8</v>
      </c>
      <c r="AA3" s="7">
        <f>$B3 * IFERROR(VLOOKUP("LULUCF|SO2|Infant mortality", US_national_yearly!$D:$AM, 35, FALSE) / VLOOKUP("LULUCF|SO2|Infant mortality", US_national_yearly!$D:$AM, 10, FALSE), 1)</f>
        <v>5.2617979808892713E-8</v>
      </c>
      <c r="AB3" s="7">
        <f>$B3 * IFERROR(VLOOKUP("LULUCF|SO2|Infant mortality", US_national_yearly!$D:$AM, 36, FALSE) / VLOOKUP("LULUCF|SO2|Infant mortality", US_national_yearly!$D:$AM, 10, FALSE), 1)</f>
        <v>5.2302870730801399E-8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1.8383188568089516E-4</v>
      </c>
      <c r="C6" s="7">
        <f>$B6 * IFERROR(VLOOKUP("LULUCF|SO2|Asthma symptoms cough", US_national_yearly!$D:$AM, 11, FALSE) / VLOOKUP("LULUCF|SO2|Asthma symptoms cough", US_national_yearly!$D:$AM, 10, FALSE), 1)</f>
        <v>1.8383188568089516E-4</v>
      </c>
      <c r="D6" s="7">
        <f>$B6 * IFERROR(VLOOKUP("LULUCF|SO2|Asthma symptoms cough", US_national_yearly!$D:$AM, 12, FALSE) / VLOOKUP("LULUCF|SO2|Asthma symptoms cough", US_national_yearly!$D:$AM, 10, FALSE), 1)</f>
        <v>1.8383188568089516E-4</v>
      </c>
      <c r="E6" s="7">
        <f>$B6 * IFERROR(VLOOKUP("LULUCF|SO2|Asthma symptoms cough", US_national_yearly!$D:$AM, 13, FALSE) / VLOOKUP("LULUCF|SO2|Asthma symptoms cough", US_national_yearly!$D:$AM, 10, FALSE), 1)</f>
        <v>1.8383188568089516E-4</v>
      </c>
      <c r="F6" s="7">
        <f>$B6 * IFERROR(VLOOKUP("LULUCF|SO2|Asthma symptoms cough", US_national_yearly!$D:$AM, 14, FALSE) / VLOOKUP("LULUCF|SO2|Asthma symptoms cough", US_national_yearly!$D:$AM, 10, FALSE), 1)</f>
        <v>1.8383188568089516E-4</v>
      </c>
      <c r="G6" s="7">
        <f>$B6 * IFERROR(VLOOKUP("LULUCF|SO2|Asthma symptoms cough", US_national_yearly!$D:$AM, 15, FALSE) / VLOOKUP("LULUCF|SO2|Asthma symptoms cough", US_national_yearly!$D:$AM, 10, FALSE), 1)</f>
        <v>1.8383188568089516E-4</v>
      </c>
      <c r="H6" s="7">
        <f>$B6 * IFERROR(VLOOKUP("LULUCF|SO2|Asthma symptoms cough", US_national_yearly!$D:$AM, 16, FALSE) / VLOOKUP("LULUCF|SO2|Asthma symptoms cough", US_national_yearly!$D:$AM, 10, FALSE), 1)</f>
        <v>1.8383188568089516E-4</v>
      </c>
      <c r="I6" s="7">
        <f>$B6 * IFERROR(VLOOKUP("LULUCF|SO2|Asthma symptoms cough", US_national_yearly!$D:$AM, 17, FALSE) / VLOOKUP("LULUCF|SO2|Asthma symptoms cough", US_national_yearly!$D:$AM, 10, FALSE), 1)</f>
        <v>1.8383188568089516E-4</v>
      </c>
      <c r="J6" s="7">
        <f>$B6 * IFERROR(VLOOKUP("LULUCF|SO2|Asthma symptoms cough", US_national_yearly!$D:$AM, 18, FALSE) / VLOOKUP("LULUCF|SO2|Asthma symptoms cough", US_national_yearly!$D:$AM, 10, FALSE), 1)</f>
        <v>1.8383188568089516E-4</v>
      </c>
      <c r="K6" s="7">
        <f>$B6 * IFERROR(VLOOKUP("LULUCF|SO2|Asthma symptoms cough", US_national_yearly!$D:$AM, 19, FALSE) / VLOOKUP("LULUCF|SO2|Asthma symptoms cough", US_national_yearly!$D:$AM, 10, FALSE), 1)</f>
        <v>1.8383188568089516E-4</v>
      </c>
      <c r="L6" s="7">
        <f>$B6 * IFERROR(VLOOKUP("LULUCF|SO2|Asthma symptoms cough", US_national_yearly!$D:$AM, 20, FALSE) / VLOOKUP("LULUCF|SO2|Asthma symptoms cough", US_national_yearly!$D:$AM, 10, FALSE), 1)</f>
        <v>1.8383188568089516E-4</v>
      </c>
      <c r="M6" s="7">
        <f>$B6 * IFERROR(VLOOKUP("LULUCF|SO2|Asthma symptoms cough", US_national_yearly!$D:$AM, 21, FALSE) / VLOOKUP("LULUCF|SO2|Asthma symptoms cough", US_national_yearly!$D:$AM, 10, FALSE), 1)</f>
        <v>1.8383188568089516E-4</v>
      </c>
      <c r="N6" s="7">
        <f>$B6 * IFERROR(VLOOKUP("LULUCF|SO2|Asthma symptoms cough", US_national_yearly!$D:$AM, 22, FALSE) / VLOOKUP("LULUCF|SO2|Asthma symptoms cough", US_national_yearly!$D:$AM, 10, FALSE), 1)</f>
        <v>1.8383188568089516E-4</v>
      </c>
      <c r="O6" s="7">
        <f>$B6 * IFERROR(VLOOKUP("LULUCF|SO2|Asthma symptoms cough", US_national_yearly!$D:$AM, 23, FALSE) / VLOOKUP("LULUCF|SO2|Asthma symptoms cough", US_national_yearly!$D:$AM, 10, FALSE), 1)</f>
        <v>1.8383188568089516E-4</v>
      </c>
      <c r="P6" s="7">
        <f>$B6 * IFERROR(VLOOKUP("LULUCF|SO2|Asthma symptoms cough", US_national_yearly!$D:$AM, 24, FALSE) / VLOOKUP("LULUCF|SO2|Asthma symptoms cough", US_national_yearly!$D:$AM, 10, FALSE), 1)</f>
        <v>1.8383188568089516E-4</v>
      </c>
      <c r="Q6" s="7">
        <f>$B6 * IFERROR(VLOOKUP("LULUCF|SO2|Asthma symptoms cough", US_national_yearly!$D:$AM, 25, FALSE) / VLOOKUP("LULUCF|SO2|Asthma symptoms cough", US_national_yearly!$D:$AM, 10, FALSE), 1)</f>
        <v>1.8383188568089516E-4</v>
      </c>
      <c r="R6" s="7">
        <f>$B6 * IFERROR(VLOOKUP("LULUCF|SO2|Asthma symptoms cough", US_national_yearly!$D:$AM, 26, FALSE) / VLOOKUP("LULUCF|SO2|Asthma symptoms cough", US_national_yearly!$D:$AM, 10, FALSE), 1)</f>
        <v>1.8383188568089516E-4</v>
      </c>
      <c r="S6" s="7">
        <f>$B6 * IFERROR(VLOOKUP("LULUCF|SO2|Asthma symptoms cough", US_national_yearly!$D:$AM, 27, FALSE) / VLOOKUP("LULUCF|SO2|Asthma symptoms cough", US_national_yearly!$D:$AM, 10, FALSE), 1)</f>
        <v>1.8383188568089516E-4</v>
      </c>
      <c r="T6" s="7">
        <f>$B6 * IFERROR(VLOOKUP("LULUCF|SO2|Asthma symptoms cough", US_national_yearly!$D:$AM, 28, FALSE) / VLOOKUP("LULUCF|SO2|Asthma symptoms cough", US_national_yearly!$D:$AM, 10, FALSE), 1)</f>
        <v>1.8383188568089516E-4</v>
      </c>
      <c r="U6" s="7">
        <f>$B6 * IFERROR(VLOOKUP("LULUCF|SO2|Asthma symptoms cough", US_national_yearly!$D:$AM, 29, FALSE) / VLOOKUP("LULUCF|SO2|Asthma symptoms cough", US_national_yearly!$D:$AM, 10, FALSE), 1)</f>
        <v>1.8383188568089516E-4</v>
      </c>
      <c r="V6" s="7">
        <f>$B6 * IFERROR(VLOOKUP("LULUCF|SO2|Asthma symptoms cough", US_national_yearly!$D:$AM, 30, FALSE) / VLOOKUP("LULUCF|SO2|Asthma symptoms cough", US_national_yearly!$D:$AM, 10, FALSE), 1)</f>
        <v>1.8383188568089516E-4</v>
      </c>
      <c r="W6" s="7">
        <f>$B6 * IFERROR(VLOOKUP("LULUCF|SO2|Asthma symptoms cough", US_national_yearly!$D:$AM, 31, FALSE) / VLOOKUP("LULUCF|SO2|Asthma symptoms cough", US_national_yearly!$D:$AM, 10, FALSE), 1)</f>
        <v>1.8383188568089516E-4</v>
      </c>
      <c r="X6" s="7">
        <f>$B6 * IFERROR(VLOOKUP("LULUCF|SO2|Asthma symptoms cough", US_national_yearly!$D:$AM, 32, FALSE) / VLOOKUP("LULUCF|SO2|Asthma symptoms cough", US_national_yearly!$D:$AM, 10, FALSE), 1)</f>
        <v>1.8383188568089516E-4</v>
      </c>
      <c r="Y6" s="7">
        <f>$B6 * IFERROR(VLOOKUP("LULUCF|SO2|Asthma symptoms cough", US_national_yearly!$D:$AM, 33, FALSE) / VLOOKUP("LULUCF|SO2|Asthma symptoms cough", US_national_yearly!$D:$AM, 10, FALSE), 1)</f>
        <v>1.8383188568089516E-4</v>
      </c>
      <c r="Z6" s="7">
        <f>$B6 * IFERROR(VLOOKUP("LULUCF|SO2|Asthma symptoms cough", US_national_yearly!$D:$AM, 34, FALSE) / VLOOKUP("LULUCF|SO2|Asthma symptoms cough", US_national_yearly!$D:$AM, 10, FALSE), 1)</f>
        <v>1.8383188568089516E-4</v>
      </c>
      <c r="AA6" s="7">
        <f>$B6 * IFERROR(VLOOKUP("LULUCF|SO2|Asthma symptoms cough", US_national_yearly!$D:$AM, 35, FALSE) / VLOOKUP("LULUCF|SO2|Asthma symptoms cough", US_national_yearly!$D:$AM, 10, FALSE), 1)</f>
        <v>1.8383188568089516E-4</v>
      </c>
      <c r="AB6" s="7">
        <f>$B6 * IFERROR(VLOOKUP("LULUCF|SO2|Asthma symptoms cough", US_national_yearly!$D:$AM, 36, FALSE) / VLOOKUP("LULUCF|SO2|Asthma symptoms cough", US_national_yearly!$D:$AM, 10, FALSE), 1)</f>
        <v>1.8383188568089516E-4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2.4755430990053658E-4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2.4755430990053658E-4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2.4755430990053658E-4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2.4755430990053658E-4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2.4755430990053658E-4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2.4755430990053658E-4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2.4755430990053658E-4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2.4755430990053658E-4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2.4755430990053658E-4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2.4755430990053658E-4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2.4755430990053658E-4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2.4755430990053658E-4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2.4755430990053658E-4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2.4755430990053658E-4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2.4755430990053658E-4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2.4755430990053658E-4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2.4755430990053658E-4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2.4755430990053658E-4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2.4755430990053658E-4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2.4755430990053658E-4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2.4755430990053658E-4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2.4755430990053658E-4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2.4755430990053658E-4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2.4755430990053658E-4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2.4755430990053658E-4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2.4755430990053658E-4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2.4755430990053658E-4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3.7822816065000609E-4</v>
      </c>
      <c r="C8" s="7">
        <f>$B8 * IFERROR(VLOOKUP("LULUCF|SO2|Asthma symptoms wheeze", US_national_yearly!$D:$AM, 11, FALSE) / VLOOKUP("LULUCF|SO2|Asthma symptoms wheeze", US_national_yearly!$D:$AM, 10, FALSE), 1)</f>
        <v>3.7822816065000609E-4</v>
      </c>
      <c r="D8" s="7">
        <f>$B8 * IFERROR(VLOOKUP("LULUCF|SO2|Asthma symptoms wheeze", US_national_yearly!$D:$AM, 12, FALSE) / VLOOKUP("LULUCF|SO2|Asthma symptoms wheeze", US_national_yearly!$D:$AM, 10, FALSE), 1)</f>
        <v>3.7822816065000609E-4</v>
      </c>
      <c r="E8" s="7">
        <f>$B8 * IFERROR(VLOOKUP("LULUCF|SO2|Asthma symptoms wheeze", US_national_yearly!$D:$AM, 13, FALSE) / VLOOKUP("LULUCF|SO2|Asthma symptoms wheeze", US_national_yearly!$D:$AM, 10, FALSE), 1)</f>
        <v>3.7822816065000609E-4</v>
      </c>
      <c r="F8" s="7">
        <f>$B8 * IFERROR(VLOOKUP("LULUCF|SO2|Asthma symptoms wheeze", US_national_yearly!$D:$AM, 14, FALSE) / VLOOKUP("LULUCF|SO2|Asthma symptoms wheeze", US_national_yearly!$D:$AM, 10, FALSE), 1)</f>
        <v>3.7822816065000609E-4</v>
      </c>
      <c r="G8" s="7">
        <f>$B8 * IFERROR(VLOOKUP("LULUCF|SO2|Asthma symptoms wheeze", US_national_yearly!$D:$AM, 15, FALSE) / VLOOKUP("LULUCF|SO2|Asthma symptoms wheeze", US_national_yearly!$D:$AM, 10, FALSE), 1)</f>
        <v>3.7822816065000609E-4</v>
      </c>
      <c r="H8" s="7">
        <f>$B8 * IFERROR(VLOOKUP("LULUCF|SO2|Asthma symptoms wheeze", US_national_yearly!$D:$AM, 16, FALSE) / VLOOKUP("LULUCF|SO2|Asthma symptoms wheeze", US_national_yearly!$D:$AM, 10, FALSE), 1)</f>
        <v>3.7822816065000609E-4</v>
      </c>
      <c r="I8" s="7">
        <f>$B8 * IFERROR(VLOOKUP("LULUCF|SO2|Asthma symptoms wheeze", US_national_yearly!$D:$AM, 17, FALSE) / VLOOKUP("LULUCF|SO2|Asthma symptoms wheeze", US_national_yearly!$D:$AM, 10, FALSE), 1)</f>
        <v>3.7822816065000609E-4</v>
      </c>
      <c r="J8" s="7">
        <f>$B8 * IFERROR(VLOOKUP("LULUCF|SO2|Asthma symptoms wheeze", US_national_yearly!$D:$AM, 18, FALSE) / VLOOKUP("LULUCF|SO2|Asthma symptoms wheeze", US_national_yearly!$D:$AM, 10, FALSE), 1)</f>
        <v>3.7822816065000609E-4</v>
      </c>
      <c r="K8" s="7">
        <f>$B8 * IFERROR(VLOOKUP("LULUCF|SO2|Asthma symptoms wheeze", US_national_yearly!$D:$AM, 19, FALSE) / VLOOKUP("LULUCF|SO2|Asthma symptoms wheeze", US_national_yearly!$D:$AM, 10, FALSE), 1)</f>
        <v>3.7822816065000609E-4</v>
      </c>
      <c r="L8" s="7">
        <f>$B8 * IFERROR(VLOOKUP("LULUCF|SO2|Asthma symptoms wheeze", US_national_yearly!$D:$AM, 20, FALSE) / VLOOKUP("LULUCF|SO2|Asthma symptoms wheeze", US_national_yearly!$D:$AM, 10, FALSE), 1)</f>
        <v>3.7822816065000609E-4</v>
      </c>
      <c r="M8" s="7">
        <f>$B8 * IFERROR(VLOOKUP("LULUCF|SO2|Asthma symptoms wheeze", US_national_yearly!$D:$AM, 21, FALSE) / VLOOKUP("LULUCF|SO2|Asthma symptoms wheeze", US_national_yearly!$D:$AM, 10, FALSE), 1)</f>
        <v>3.7822816065000609E-4</v>
      </c>
      <c r="N8" s="7">
        <f>$B8 * IFERROR(VLOOKUP("LULUCF|SO2|Asthma symptoms wheeze", US_national_yearly!$D:$AM, 22, FALSE) / VLOOKUP("LULUCF|SO2|Asthma symptoms wheeze", US_national_yearly!$D:$AM, 10, FALSE), 1)</f>
        <v>3.7822816065000609E-4</v>
      </c>
      <c r="O8" s="7">
        <f>$B8 * IFERROR(VLOOKUP("LULUCF|SO2|Asthma symptoms wheeze", US_national_yearly!$D:$AM, 23, FALSE) / VLOOKUP("LULUCF|SO2|Asthma symptoms wheeze", US_national_yearly!$D:$AM, 10, FALSE), 1)</f>
        <v>3.7822816065000609E-4</v>
      </c>
      <c r="P8" s="7">
        <f>$B8 * IFERROR(VLOOKUP("LULUCF|SO2|Asthma symptoms wheeze", US_national_yearly!$D:$AM, 24, FALSE) / VLOOKUP("LULUCF|SO2|Asthma symptoms wheeze", US_national_yearly!$D:$AM, 10, FALSE), 1)</f>
        <v>3.7822816065000609E-4</v>
      </c>
      <c r="Q8" s="7">
        <f>$B8 * IFERROR(VLOOKUP("LULUCF|SO2|Asthma symptoms wheeze", US_national_yearly!$D:$AM, 25, FALSE) / VLOOKUP("LULUCF|SO2|Asthma symptoms wheeze", US_national_yearly!$D:$AM, 10, FALSE), 1)</f>
        <v>3.7822816065000609E-4</v>
      </c>
      <c r="R8" s="7">
        <f>$B8 * IFERROR(VLOOKUP("LULUCF|SO2|Asthma symptoms wheeze", US_national_yearly!$D:$AM, 26, FALSE) / VLOOKUP("LULUCF|SO2|Asthma symptoms wheeze", US_national_yearly!$D:$AM, 10, FALSE), 1)</f>
        <v>3.7822816065000609E-4</v>
      </c>
      <c r="S8" s="7">
        <f>$B8 * IFERROR(VLOOKUP("LULUCF|SO2|Asthma symptoms wheeze", US_national_yearly!$D:$AM, 27, FALSE) / VLOOKUP("LULUCF|SO2|Asthma symptoms wheeze", US_national_yearly!$D:$AM, 10, FALSE), 1)</f>
        <v>3.7822816065000609E-4</v>
      </c>
      <c r="T8" s="7">
        <f>$B8 * IFERROR(VLOOKUP("LULUCF|SO2|Asthma symptoms wheeze", US_national_yearly!$D:$AM, 28, FALSE) / VLOOKUP("LULUCF|SO2|Asthma symptoms wheeze", US_national_yearly!$D:$AM, 10, FALSE), 1)</f>
        <v>3.7822816065000609E-4</v>
      </c>
      <c r="U8" s="7">
        <f>$B8 * IFERROR(VLOOKUP("LULUCF|SO2|Asthma symptoms wheeze", US_national_yearly!$D:$AM, 29, FALSE) / VLOOKUP("LULUCF|SO2|Asthma symptoms wheeze", US_national_yearly!$D:$AM, 10, FALSE), 1)</f>
        <v>3.7822816065000609E-4</v>
      </c>
      <c r="V8" s="7">
        <f>$B8 * IFERROR(VLOOKUP("LULUCF|SO2|Asthma symptoms wheeze", US_national_yearly!$D:$AM, 30, FALSE) / VLOOKUP("LULUCF|SO2|Asthma symptoms wheeze", US_national_yearly!$D:$AM, 10, FALSE), 1)</f>
        <v>3.7822816065000609E-4</v>
      </c>
      <c r="W8" s="7">
        <f>$B8 * IFERROR(VLOOKUP("LULUCF|SO2|Asthma symptoms wheeze", US_national_yearly!$D:$AM, 31, FALSE) / VLOOKUP("LULUCF|SO2|Asthma symptoms wheeze", US_national_yearly!$D:$AM, 10, FALSE), 1)</f>
        <v>3.7822816065000609E-4</v>
      </c>
      <c r="X8" s="7">
        <f>$B8 * IFERROR(VLOOKUP("LULUCF|SO2|Asthma symptoms wheeze", US_national_yearly!$D:$AM, 32, FALSE) / VLOOKUP("LULUCF|SO2|Asthma symptoms wheeze", US_national_yearly!$D:$AM, 10, FALSE), 1)</f>
        <v>3.7822816065000609E-4</v>
      </c>
      <c r="Y8" s="7">
        <f>$B8 * IFERROR(VLOOKUP("LULUCF|SO2|Asthma symptoms wheeze", US_national_yearly!$D:$AM, 33, FALSE) / VLOOKUP("LULUCF|SO2|Asthma symptoms wheeze", US_national_yearly!$D:$AM, 10, FALSE), 1)</f>
        <v>3.7822816065000609E-4</v>
      </c>
      <c r="Z8" s="7">
        <f>$B8 * IFERROR(VLOOKUP("LULUCF|SO2|Asthma symptoms wheeze", US_national_yearly!$D:$AM, 34, FALSE) / VLOOKUP("LULUCF|SO2|Asthma symptoms wheeze", US_national_yearly!$D:$AM, 10, FALSE), 1)</f>
        <v>3.7822816065000609E-4</v>
      </c>
      <c r="AA8" s="7">
        <f>$B8 * IFERROR(VLOOKUP("LULUCF|SO2|Asthma symptoms wheeze", US_national_yearly!$D:$AM, 35, FALSE) / VLOOKUP("LULUCF|SO2|Asthma symptoms wheeze", US_national_yearly!$D:$AM, 10, FALSE), 1)</f>
        <v>3.7822816065000609E-4</v>
      </c>
      <c r="AB8" s="7">
        <f>$B8 * IFERROR(VLOOKUP("LULUCF|SO2|Asthma symptoms wheeze", US_national_yearly!$D:$AM, 36, FALSE) / VLOOKUP("LULUCF|SO2|Asthma symptoms wheeze", US_national_yearly!$D:$AM, 10, FALSE), 1)</f>
        <v>3.7822816065000609E-4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1.0370185708084284E-5</v>
      </c>
      <c r="C12" s="7">
        <f>$B12 * IFERROR(VLOOKUP("LULUCF|SO2|Respiratory hospital admissions", US_national_yearly!$D:$AM, 11, FALSE) / VLOOKUP("LULUCF|SO2|Respiratory hospital admissions", US_national_yearly!$D:$AM, 10, FALSE), 1)</f>
        <v>1.0431349578735902E-5</v>
      </c>
      <c r="D12" s="7">
        <f>$B12 * IFERROR(VLOOKUP("LULUCF|SO2|Respiratory hospital admissions", US_national_yearly!$D:$AM, 12, FALSE) / VLOOKUP("LULUCF|SO2|Respiratory hospital admissions", US_national_yearly!$D:$AM, 10, FALSE), 1)</f>
        <v>1.0492513449387518E-5</v>
      </c>
      <c r="E12" s="7">
        <f>$B12 * IFERROR(VLOOKUP("LULUCF|SO2|Respiratory hospital admissions", US_national_yearly!$D:$AM, 13, FALSE) / VLOOKUP("LULUCF|SO2|Respiratory hospital admissions", US_national_yearly!$D:$AM, 10, FALSE), 1)</f>
        <v>1.0553677320039136E-5</v>
      </c>
      <c r="F12" s="7">
        <f>$B12 * IFERROR(VLOOKUP("LULUCF|SO2|Respiratory hospital admissions", US_national_yearly!$D:$AM, 14, FALSE) / VLOOKUP("LULUCF|SO2|Respiratory hospital admissions", US_national_yearly!$D:$AM, 10, FALSE), 1)</f>
        <v>1.0614841190690755E-5</v>
      </c>
      <c r="G12" s="7">
        <f>$B12 * IFERROR(VLOOKUP("LULUCF|SO2|Respiratory hospital admissions", US_national_yearly!$D:$AM, 15, FALSE) / VLOOKUP("LULUCF|SO2|Respiratory hospital admissions", US_national_yearly!$D:$AM, 10, FALSE), 1)</f>
        <v>1.0681520126271922E-5</v>
      </c>
      <c r="H12" s="7">
        <f>$B12 * IFERROR(VLOOKUP("LULUCF|SO2|Respiratory hospital admissions", US_national_yearly!$D:$AM, 16, FALSE) / VLOOKUP("LULUCF|SO2|Respiratory hospital admissions", US_national_yearly!$D:$AM, 10, FALSE), 1)</f>
        <v>1.0748199061853089E-5</v>
      </c>
      <c r="I12" s="7">
        <f>$B12 * IFERROR(VLOOKUP("LULUCF|SO2|Respiratory hospital admissions", US_national_yearly!$D:$AM, 17, FALSE) / VLOOKUP("LULUCF|SO2|Respiratory hospital admissions", US_national_yearly!$D:$AM, 10, FALSE), 1)</f>
        <v>1.0813952431405607E-5</v>
      </c>
      <c r="J12" s="7">
        <f>$B12 * IFERROR(VLOOKUP("LULUCF|SO2|Respiratory hospital admissions", US_national_yearly!$D:$AM, 18, FALSE) / VLOOKUP("LULUCF|SO2|Respiratory hospital admissions", US_national_yearly!$D:$AM, 10, FALSE), 1)</f>
        <v>1.0879705800958126E-5</v>
      </c>
      <c r="K12" s="7">
        <f>$B12 * IFERROR(VLOOKUP("LULUCF|SO2|Respiratory hospital admissions", US_national_yearly!$D:$AM, 19, FALSE) / VLOOKUP("LULUCF|SO2|Respiratory hospital admissions", US_national_yearly!$D:$AM, 10, FALSE), 1)</f>
        <v>1.0945459170510643E-5</v>
      </c>
      <c r="L12" s="7">
        <f>$B12 * IFERROR(VLOOKUP("LULUCF|SO2|Respiratory hospital admissions", US_national_yearly!$D:$AM, 20, FALSE) / VLOOKUP("LULUCF|SO2|Respiratory hospital admissions", US_national_yearly!$D:$AM, 10, FALSE), 1)</f>
        <v>1.1011212540063162E-5</v>
      </c>
      <c r="M12" s="7">
        <f>$B12 * IFERROR(VLOOKUP("LULUCF|SO2|Respiratory hospital admissions", US_national_yearly!$D:$AM, 21, FALSE) / VLOOKUP("LULUCF|SO2|Respiratory hospital admissions", US_national_yearly!$D:$AM, 10, FALSE), 1)</f>
        <v>1.1076965909615678E-5</v>
      </c>
      <c r="N12" s="7">
        <f>$B12 * IFERROR(VLOOKUP("LULUCF|SO2|Respiratory hospital admissions", US_national_yearly!$D:$AM, 22, FALSE) / VLOOKUP("LULUCF|SO2|Respiratory hospital admissions", US_national_yearly!$D:$AM, 10, FALSE), 1)</f>
        <v>1.1124963839674707E-5</v>
      </c>
      <c r="O12" s="7">
        <f>$B12 * IFERROR(VLOOKUP("LULUCF|SO2|Respiratory hospital admissions", US_national_yearly!$D:$AM, 23, FALSE) / VLOOKUP("LULUCF|SO2|Respiratory hospital admissions", US_national_yearly!$D:$AM, 10, FALSE), 1)</f>
        <v>1.1172961769733733E-5</v>
      </c>
      <c r="P12" s="7">
        <f>$B12 * IFERROR(VLOOKUP("LULUCF|SO2|Respiratory hospital admissions", US_national_yearly!$D:$AM, 24, FALSE) / VLOOKUP("LULUCF|SO2|Respiratory hospital admissions", US_national_yearly!$D:$AM, 10, FALSE), 1)</f>
        <v>1.122095969979276E-5</v>
      </c>
      <c r="Q12" s="7">
        <f>$B12 * IFERROR(VLOOKUP("LULUCF|SO2|Respiratory hospital admissions", US_national_yearly!$D:$AM, 25, FALSE) / VLOOKUP("LULUCF|SO2|Respiratory hospital admissions", US_national_yearly!$D:$AM, 10, FALSE), 1)</f>
        <v>1.1268957629851789E-5</v>
      </c>
      <c r="R12" s="7">
        <f>$B12 * IFERROR(VLOOKUP("LULUCF|SO2|Respiratory hospital admissions", US_national_yearly!$D:$AM, 26, FALSE) / VLOOKUP("LULUCF|SO2|Respiratory hospital admissions", US_national_yearly!$D:$AM, 10, FALSE), 1)</f>
        <v>1.1316955559910817E-5</v>
      </c>
      <c r="S12" s="7">
        <f>$B12 * IFERROR(VLOOKUP("LULUCF|SO2|Respiratory hospital admissions", US_national_yearly!$D:$AM, 27, FALSE) / VLOOKUP("LULUCF|SO2|Respiratory hospital admissions", US_national_yearly!$D:$AM, 10, FALSE), 1)</f>
        <v>1.1362741922841721E-5</v>
      </c>
      <c r="T12" s="7">
        <f>$B12 * IFERROR(VLOOKUP("LULUCF|SO2|Respiratory hospital admissions", US_national_yearly!$D:$AM, 28, FALSE) / VLOOKUP("LULUCF|SO2|Respiratory hospital admissions", US_national_yearly!$D:$AM, 10, FALSE), 1)</f>
        <v>1.1408528285772625E-5</v>
      </c>
      <c r="U12" s="7">
        <f>$B12 * IFERROR(VLOOKUP("LULUCF|SO2|Respiratory hospital admissions", US_national_yearly!$D:$AM, 29, FALSE) / VLOOKUP("LULUCF|SO2|Respiratory hospital admissions", US_national_yearly!$D:$AM, 10, FALSE), 1)</f>
        <v>1.145431464870353E-5</v>
      </c>
      <c r="V12" s="7">
        <f>$B12 * IFERROR(VLOOKUP("LULUCF|SO2|Respiratory hospital admissions", US_national_yearly!$D:$AM, 30, FALSE) / VLOOKUP("LULUCF|SO2|Respiratory hospital admissions", US_national_yearly!$D:$AM, 10, FALSE), 1)</f>
        <v>1.1500101011634436E-5</v>
      </c>
      <c r="W12" s="7">
        <f>$B12 * IFERROR(VLOOKUP("LULUCF|SO2|Respiratory hospital admissions", US_national_yearly!$D:$AM, 31, FALSE) / VLOOKUP("LULUCF|SO2|Respiratory hospital admissions", US_national_yearly!$D:$AM, 10, FALSE), 1)</f>
        <v>1.1545887374565342E-5</v>
      </c>
      <c r="X12" s="7">
        <f>$B12 * IFERROR(VLOOKUP("LULUCF|SO2|Respiratory hospital admissions", US_national_yearly!$D:$AM, 32, FALSE) / VLOOKUP("LULUCF|SO2|Respiratory hospital admissions", US_national_yearly!$D:$AM, 10, FALSE), 1)</f>
        <v>1.1589331115759321E-5</v>
      </c>
      <c r="Y12" s="7">
        <f>$B12 * IFERROR(VLOOKUP("LULUCF|SO2|Respiratory hospital admissions", US_national_yearly!$D:$AM, 33, FALSE) / VLOOKUP("LULUCF|SO2|Respiratory hospital admissions", US_national_yearly!$D:$AM, 10, FALSE), 1)</f>
        <v>1.1632774856953301E-5</v>
      </c>
      <c r="Z12" s="7">
        <f>$B12 * IFERROR(VLOOKUP("LULUCF|SO2|Respiratory hospital admissions", US_national_yearly!$D:$AM, 34, FALSE) / VLOOKUP("LULUCF|SO2|Respiratory hospital admissions", US_national_yearly!$D:$AM, 10, FALSE), 1)</f>
        <v>1.167621859814728E-5</v>
      </c>
      <c r="AA12" s="7">
        <f>$B12 * IFERROR(VLOOKUP("LULUCF|SO2|Respiratory hospital admissions", US_national_yearly!$D:$AM, 35, FALSE) / VLOOKUP("LULUCF|SO2|Respiratory hospital admissions", US_national_yearly!$D:$AM, 10, FALSE), 1)</f>
        <v>1.171966233934126E-5</v>
      </c>
      <c r="AB12" s="7">
        <f>$B12 * IFERROR(VLOOKUP("LULUCF|SO2|Respiratory hospital admissions", US_national_yearly!$D:$AM, 36, FALSE) / VLOOKUP("LULUCF|SO2|Respiratory hospital admissions", US_national_yearly!$D:$AM, 10, FALSE), 1)</f>
        <v>1.1763106080535241E-5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3.6739074286581025E-5</v>
      </c>
      <c r="C13" s="7">
        <f>$B13 * IFERROR(VLOOKUP("LULUCF|SO2|Non-fatal heart attacks", US_national_yearly!$D:$AM, 11, FALSE) / VLOOKUP("LULUCF|SO2|Non-fatal heart attacks", US_national_yearly!$D:$AM, 10, FALSE), 1)</f>
        <v>3.7817600064000416E-5</v>
      </c>
      <c r="D13" s="7">
        <f>$B13 * IFERROR(VLOOKUP("LULUCF|SO2|Non-fatal heart attacks", US_national_yearly!$D:$AM, 12, FALSE) / VLOOKUP("LULUCF|SO2|Non-fatal heart attacks", US_national_yearly!$D:$AM, 10, FALSE), 1)</f>
        <v>3.8896125841419813E-5</v>
      </c>
      <c r="E13" s="7">
        <f>$B13 * IFERROR(VLOOKUP("LULUCF|SO2|Non-fatal heart attacks", US_national_yearly!$D:$AM, 13, FALSE) / VLOOKUP("LULUCF|SO2|Non-fatal heart attacks", US_national_yearly!$D:$AM, 10, FALSE), 1)</f>
        <v>3.9974651618839203E-5</v>
      </c>
      <c r="F13" s="7">
        <f>$B13 * IFERROR(VLOOKUP("LULUCF|SO2|Non-fatal heart attacks", US_national_yearly!$D:$AM, 14, FALSE) / VLOOKUP("LULUCF|SO2|Non-fatal heart attacks", US_national_yearly!$D:$AM, 10, FALSE), 1)</f>
        <v>4.1053177396258586E-5</v>
      </c>
      <c r="G13" s="7">
        <f>$B13 * IFERROR(VLOOKUP("LULUCF|SO2|Non-fatal heart attacks", US_national_yearly!$D:$AM, 15, FALSE) / VLOOKUP("LULUCF|SO2|Non-fatal heart attacks", US_national_yearly!$D:$AM, 10, FALSE), 1)</f>
        <v>4.2070327243742319E-5</v>
      </c>
      <c r="H13" s="7">
        <f>$B13 * IFERROR(VLOOKUP("LULUCF|SO2|Non-fatal heart attacks", US_national_yearly!$D:$AM, 16, FALSE) / VLOOKUP("LULUCF|SO2|Non-fatal heart attacks", US_national_yearly!$D:$AM, 10, FALSE), 1)</f>
        <v>4.3087477091226052E-5</v>
      </c>
      <c r="I13" s="7">
        <f>$B13 * IFERROR(VLOOKUP("LULUCF|SO2|Non-fatal heart attacks", US_national_yearly!$D:$AM, 17, FALSE) / VLOOKUP("LULUCF|SO2|Non-fatal heart attacks", US_national_yearly!$D:$AM, 10, FALSE), 1)</f>
        <v>4.3905963856720322E-5</v>
      </c>
      <c r="J13" s="7">
        <f>$B13 * IFERROR(VLOOKUP("LULUCF|SO2|Non-fatal heart attacks", US_national_yearly!$D:$AM, 18, FALSE) / VLOOKUP("LULUCF|SO2|Non-fatal heart attacks", US_national_yearly!$D:$AM, 10, FALSE), 1)</f>
        <v>4.4724450622214599E-5</v>
      </c>
      <c r="K13" s="7">
        <f>$B13 * IFERROR(VLOOKUP("LULUCF|SO2|Non-fatal heart attacks", US_national_yearly!$D:$AM, 19, FALSE) / VLOOKUP("LULUCF|SO2|Non-fatal heart attacks", US_national_yearly!$D:$AM, 10, FALSE), 1)</f>
        <v>4.5542937387708862E-5</v>
      </c>
      <c r="L13" s="7">
        <f>$B13 * IFERROR(VLOOKUP("LULUCF|SO2|Non-fatal heart attacks", US_national_yearly!$D:$AM, 20, FALSE) / VLOOKUP("LULUCF|SO2|Non-fatal heart attacks", US_national_yearly!$D:$AM, 10, FALSE), 1)</f>
        <v>4.6361424153203146E-5</v>
      </c>
      <c r="M13" s="7">
        <f>$B13 * IFERROR(VLOOKUP("LULUCF|SO2|Non-fatal heart attacks", US_national_yearly!$D:$AM, 21, FALSE) / VLOOKUP("LULUCF|SO2|Non-fatal heart attacks", US_national_yearly!$D:$AM, 10, FALSE), 1)</f>
        <v>4.7179910918697423E-5</v>
      </c>
      <c r="N13" s="7">
        <f>$B13 * IFERROR(VLOOKUP("LULUCF|SO2|Non-fatal heart attacks", US_national_yearly!$D:$AM, 22, FALSE) / VLOOKUP("LULUCF|SO2|Non-fatal heart attacks", US_national_yearly!$D:$AM, 10, FALSE), 1)</f>
        <v>4.7711364264164951E-5</v>
      </c>
      <c r="O13" s="7">
        <f>$B13 * IFERROR(VLOOKUP("LULUCF|SO2|Non-fatal heart attacks", US_national_yearly!$D:$AM, 23, FALSE) / VLOOKUP("LULUCF|SO2|Non-fatal heart attacks", US_national_yearly!$D:$AM, 10, FALSE), 1)</f>
        <v>4.8242817609632487E-5</v>
      </c>
      <c r="P13" s="7">
        <f>$B13 * IFERROR(VLOOKUP("LULUCF|SO2|Non-fatal heart attacks", US_national_yearly!$D:$AM, 24, FALSE) / VLOOKUP("LULUCF|SO2|Non-fatal heart attacks", US_national_yearly!$D:$AM, 10, FALSE), 1)</f>
        <v>4.8774270955100029E-5</v>
      </c>
      <c r="Q13" s="7">
        <f>$B13 * IFERROR(VLOOKUP("LULUCF|SO2|Non-fatal heart attacks", US_national_yearly!$D:$AM, 25, FALSE) / VLOOKUP("LULUCF|SO2|Non-fatal heart attacks", US_national_yearly!$D:$AM, 10, FALSE), 1)</f>
        <v>4.9305724300567565E-5</v>
      </c>
      <c r="R13" s="7">
        <f>$B13 * IFERROR(VLOOKUP("LULUCF|SO2|Non-fatal heart attacks", US_national_yearly!$D:$AM, 26, FALSE) / VLOOKUP("LULUCF|SO2|Non-fatal heart attacks", US_national_yearly!$D:$AM, 10, FALSE), 1)</f>
        <v>4.9837177646035093E-5</v>
      </c>
      <c r="S13" s="7">
        <f>$B13 * IFERROR(VLOOKUP("LULUCF|SO2|Non-fatal heart attacks", US_national_yearly!$D:$AM, 27, FALSE) / VLOOKUP("LULUCF|SO2|Non-fatal heart attacks", US_national_yearly!$D:$AM, 10, FALSE), 1)</f>
        <v>5.0114646448390743E-5</v>
      </c>
      <c r="T13" s="7">
        <f>$B13 * IFERROR(VLOOKUP("LULUCF|SO2|Non-fatal heart attacks", US_national_yearly!$D:$AM, 28, FALSE) / VLOOKUP("LULUCF|SO2|Non-fatal heart attacks", US_national_yearly!$D:$AM, 10, FALSE), 1)</f>
        <v>5.0392115250746387E-5</v>
      </c>
      <c r="U13" s="7">
        <f>$B13 * IFERROR(VLOOKUP("LULUCF|SO2|Non-fatal heart attacks", US_national_yearly!$D:$AM, 29, FALSE) / VLOOKUP("LULUCF|SO2|Non-fatal heart attacks", US_national_yearly!$D:$AM, 10, FALSE), 1)</f>
        <v>5.0669584053102023E-5</v>
      </c>
      <c r="V13" s="7">
        <f>$B13 * IFERROR(VLOOKUP("LULUCF|SO2|Non-fatal heart attacks", US_national_yearly!$D:$AM, 30, FALSE) / VLOOKUP("LULUCF|SO2|Non-fatal heart attacks", US_national_yearly!$D:$AM, 10, FALSE), 1)</f>
        <v>5.0947052855457667E-5</v>
      </c>
      <c r="W13" s="7">
        <f>$B13 * IFERROR(VLOOKUP("LULUCF|SO2|Non-fatal heart attacks", US_national_yearly!$D:$AM, 31, FALSE) / VLOOKUP("LULUCF|SO2|Non-fatal heart attacks", US_national_yearly!$D:$AM, 10, FALSE), 1)</f>
        <v>5.1224521657813317E-5</v>
      </c>
      <c r="X13" s="7">
        <f>$B13 * IFERROR(VLOOKUP("LULUCF|SO2|Non-fatal heart attacks", US_national_yearly!$D:$AM, 32, FALSE) / VLOOKUP("LULUCF|SO2|Non-fatal heart attacks", US_national_yearly!$D:$AM, 10, FALSE), 1)</f>
        <v>5.14339863323271E-5</v>
      </c>
      <c r="Y13" s="7">
        <f>$B13 * IFERROR(VLOOKUP("LULUCF|SO2|Non-fatal heart attacks", US_national_yearly!$D:$AM, 33, FALSE) / VLOOKUP("LULUCF|SO2|Non-fatal heart attacks", US_national_yearly!$D:$AM, 10, FALSE), 1)</f>
        <v>5.1643451006840889E-5</v>
      </c>
      <c r="Z13" s="7">
        <f>$B13 * IFERROR(VLOOKUP("LULUCF|SO2|Non-fatal heart attacks", US_national_yearly!$D:$AM, 34, FALSE) / VLOOKUP("LULUCF|SO2|Non-fatal heart attacks", US_national_yearly!$D:$AM, 10, FALSE), 1)</f>
        <v>5.1852915681354672E-5</v>
      </c>
      <c r="AA13" s="7">
        <f>$B13 * IFERROR(VLOOKUP("LULUCF|SO2|Non-fatal heart attacks", US_national_yearly!$D:$AM, 35, FALSE) / VLOOKUP("LULUCF|SO2|Non-fatal heart attacks", US_national_yearly!$D:$AM, 10, FALSE), 1)</f>
        <v>5.2062380355868455E-5</v>
      </c>
      <c r="AB13" s="7">
        <f>$B13 * IFERROR(VLOOKUP("LULUCF|SO2|Non-fatal heart attacks", US_national_yearly!$D:$AM, 36, FALSE) / VLOOKUP("LULUCF|SO2|Non-fatal heart attacks", US_national_yearly!$D:$AM, 10, FALSE), 1)</f>
        <v>5.2271845030382245E-5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2.3825363903973992E-2</v>
      </c>
      <c r="C14" s="7">
        <f>$B14 * IFERROR(VLOOKUP("LULUCF|SO2|Minor restricted activity days", US_national_yearly!$D:$AM, 11, FALSE) / VLOOKUP("LULUCF|SO2|Minor restricted activity days", US_national_yearly!$D:$AM, 10, FALSE), 1)</f>
        <v>2.3885419707947577E-2</v>
      </c>
      <c r="D14" s="7">
        <f>$B14 * IFERROR(VLOOKUP("LULUCF|SO2|Minor restricted activity days", US_national_yearly!$D:$AM, 12, FALSE) / VLOOKUP("LULUCF|SO2|Minor restricted activity days", US_national_yearly!$D:$AM, 10, FALSE), 1)</f>
        <v>2.3945475511921159E-2</v>
      </c>
      <c r="E14" s="7">
        <f>$B14 * IFERROR(VLOOKUP("LULUCF|SO2|Minor restricted activity days", US_national_yearly!$D:$AM, 13, FALSE) / VLOOKUP("LULUCF|SO2|Minor restricted activity days", US_national_yearly!$D:$AM, 10, FALSE), 1)</f>
        <v>2.4005531315894748E-2</v>
      </c>
      <c r="F14" s="7">
        <f>$B14 * IFERROR(VLOOKUP("LULUCF|SO2|Minor restricted activity days", US_national_yearly!$D:$AM, 14, FALSE) / VLOOKUP("LULUCF|SO2|Minor restricted activity days", US_national_yearly!$D:$AM, 10, FALSE), 1)</f>
        <v>2.406558711986833E-2</v>
      </c>
      <c r="G14" s="7">
        <f>$B14 * IFERROR(VLOOKUP("LULUCF|SO2|Minor restricted activity days", US_national_yearly!$D:$AM, 15, FALSE) / VLOOKUP("LULUCF|SO2|Minor restricted activity days", US_national_yearly!$D:$AM, 10, FALSE), 1)</f>
        <v>2.4153983363402319E-2</v>
      </c>
      <c r="H14" s="7">
        <f>$B14 * IFERROR(VLOOKUP("LULUCF|SO2|Minor restricted activity days", US_national_yearly!$D:$AM, 16, FALSE) / VLOOKUP("LULUCF|SO2|Minor restricted activity days", US_national_yearly!$D:$AM, 10, FALSE), 1)</f>
        <v>2.4242379606936312E-2</v>
      </c>
      <c r="I14" s="7">
        <f>$B14 * IFERROR(VLOOKUP("LULUCF|SO2|Minor restricted activity days", US_national_yearly!$D:$AM, 17, FALSE) / VLOOKUP("LULUCF|SO2|Minor restricted activity days", US_national_yearly!$D:$AM, 10, FALSE), 1)</f>
        <v>2.4393131160788267E-2</v>
      </c>
      <c r="J14" s="7">
        <f>$B14 * IFERROR(VLOOKUP("LULUCF|SO2|Minor restricted activity days", US_national_yearly!$D:$AM, 18, FALSE) / VLOOKUP("LULUCF|SO2|Minor restricted activity days", US_national_yearly!$D:$AM, 10, FALSE), 1)</f>
        <v>2.4543882714640222E-2</v>
      </c>
      <c r="K14" s="7">
        <f>$B14 * IFERROR(VLOOKUP("LULUCF|SO2|Minor restricted activity days", US_national_yearly!$D:$AM, 19, FALSE) / VLOOKUP("LULUCF|SO2|Minor restricted activity days", US_national_yearly!$D:$AM, 10, FALSE), 1)</f>
        <v>2.469463426849218E-2</v>
      </c>
      <c r="L14" s="7">
        <f>$B14 * IFERROR(VLOOKUP("LULUCF|SO2|Minor restricted activity days", US_national_yearly!$D:$AM, 20, FALSE) / VLOOKUP("LULUCF|SO2|Minor restricted activity days", US_national_yearly!$D:$AM, 10, FALSE), 1)</f>
        <v>2.4845385822344135E-2</v>
      </c>
      <c r="M14" s="7">
        <f>$B14 * IFERROR(VLOOKUP("LULUCF|SO2|Minor restricted activity days", US_national_yearly!$D:$AM, 21, FALSE) / VLOOKUP("LULUCF|SO2|Minor restricted activity days", US_national_yearly!$D:$AM, 10, FALSE), 1)</f>
        <v>2.499613737619609E-2</v>
      </c>
      <c r="N14" s="7">
        <f>$B14 * IFERROR(VLOOKUP("LULUCF|SO2|Minor restricted activity days", US_national_yearly!$D:$AM, 22, FALSE) / VLOOKUP("LULUCF|SO2|Minor restricted activity days", US_national_yearly!$D:$AM, 10, FALSE), 1)</f>
        <v>2.5202341312425245E-2</v>
      </c>
      <c r="O14" s="7">
        <f>$B14 * IFERROR(VLOOKUP("LULUCF|SO2|Minor restricted activity days", US_national_yearly!$D:$AM, 23, FALSE) / VLOOKUP("LULUCF|SO2|Minor restricted activity days", US_national_yearly!$D:$AM, 10, FALSE), 1)</f>
        <v>2.5408545248654397E-2</v>
      </c>
      <c r="P14" s="7">
        <f>$B14 * IFERROR(VLOOKUP("LULUCF|SO2|Minor restricted activity days", US_national_yearly!$D:$AM, 24, FALSE) / VLOOKUP("LULUCF|SO2|Minor restricted activity days", US_national_yearly!$D:$AM, 10, FALSE), 1)</f>
        <v>2.5614749184883549E-2</v>
      </c>
      <c r="Q14" s="7">
        <f>$B14 * IFERROR(VLOOKUP("LULUCF|SO2|Minor restricted activity days", US_national_yearly!$D:$AM, 25, FALSE) / VLOOKUP("LULUCF|SO2|Minor restricted activity days", US_national_yearly!$D:$AM, 10, FALSE), 1)</f>
        <v>2.58209531211127E-2</v>
      </c>
      <c r="R14" s="7">
        <f>$B14 * IFERROR(VLOOKUP("LULUCF|SO2|Minor restricted activity days", US_national_yearly!$D:$AM, 26, FALSE) / VLOOKUP("LULUCF|SO2|Minor restricted activity days", US_national_yearly!$D:$AM, 10, FALSE), 1)</f>
        <v>2.6027157057341852E-2</v>
      </c>
      <c r="S14" s="7">
        <f>$B14 * IFERROR(VLOOKUP("LULUCF|SO2|Minor restricted activity days", US_national_yearly!$D:$AM, 27, FALSE) / VLOOKUP("LULUCF|SO2|Minor restricted activity days", US_national_yearly!$D:$AM, 10, FALSE), 1)</f>
        <v>2.6237402152316038E-2</v>
      </c>
      <c r="T14" s="7">
        <f>$B14 * IFERROR(VLOOKUP("LULUCF|SO2|Minor restricted activity days", US_national_yearly!$D:$AM, 28, FALSE) / VLOOKUP("LULUCF|SO2|Minor restricted activity days", US_national_yearly!$D:$AM, 10, FALSE), 1)</f>
        <v>2.6447647247290224E-2</v>
      </c>
      <c r="U14" s="7">
        <f>$B14 * IFERROR(VLOOKUP("LULUCF|SO2|Minor restricted activity days", US_national_yearly!$D:$AM, 29, FALSE) / VLOOKUP("LULUCF|SO2|Minor restricted activity days", US_national_yearly!$D:$AM, 10, FALSE), 1)</f>
        <v>2.6657892342264407E-2</v>
      </c>
      <c r="V14" s="7">
        <f>$B14 * IFERROR(VLOOKUP("LULUCF|SO2|Minor restricted activity days", US_national_yearly!$D:$AM, 30, FALSE) / VLOOKUP("LULUCF|SO2|Minor restricted activity days", US_national_yearly!$D:$AM, 10, FALSE), 1)</f>
        <v>2.6868137437238593E-2</v>
      </c>
      <c r="W14" s="7">
        <f>$B14 * IFERROR(VLOOKUP("LULUCF|SO2|Minor restricted activity days", US_national_yearly!$D:$AM, 31, FALSE) / VLOOKUP("LULUCF|SO2|Minor restricted activity days", US_national_yearly!$D:$AM, 10, FALSE), 1)</f>
        <v>2.7078382532212782E-2</v>
      </c>
      <c r="X14" s="7">
        <f>$B14 * IFERROR(VLOOKUP("LULUCF|SO2|Minor restricted activity days", US_national_yearly!$D:$AM, 32, FALSE) / VLOOKUP("LULUCF|SO2|Minor restricted activity days", US_national_yearly!$D:$AM, 10, FALSE), 1)</f>
        <v>2.7263276339059804E-2</v>
      </c>
      <c r="Y14" s="7">
        <f>$B14 * IFERROR(VLOOKUP("LULUCF|SO2|Minor restricted activity days", US_national_yearly!$D:$AM, 33, FALSE) / VLOOKUP("LULUCF|SO2|Minor restricted activity days", US_national_yearly!$D:$AM, 10, FALSE), 1)</f>
        <v>2.7448170145906826E-2</v>
      </c>
      <c r="Z14" s="7">
        <f>$B14 * IFERROR(VLOOKUP("LULUCF|SO2|Minor restricted activity days", US_national_yearly!$D:$AM, 34, FALSE) / VLOOKUP("LULUCF|SO2|Minor restricted activity days", US_national_yearly!$D:$AM, 10, FALSE), 1)</f>
        <v>2.7633063952753854E-2</v>
      </c>
      <c r="AA14" s="7">
        <f>$B14 * IFERROR(VLOOKUP("LULUCF|SO2|Minor restricted activity days", US_national_yearly!$D:$AM, 35, FALSE) / VLOOKUP("LULUCF|SO2|Minor restricted activity days", US_national_yearly!$D:$AM, 10, FALSE), 1)</f>
        <v>2.7817957759600873E-2</v>
      </c>
      <c r="AB14" s="7">
        <f>$B14 * IFERROR(VLOOKUP("LULUCF|SO2|Minor restricted activity days", US_national_yearly!$D:$AM, 36, FALSE) / VLOOKUP("LULUCF|SO2|Minor restricted activity days", US_national_yearly!$D:$AM, 10, FALSE), 1)</f>
        <v>2.8002851566447901E-2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3.9864244560940147E-3</v>
      </c>
      <c r="C15" s="7">
        <f>$B15 * IFERROR(VLOOKUP("LULUCF|SO2|Work loss days", US_national_yearly!$D:$AM, 11, FALSE) / VLOOKUP("LULUCF|SO2|Work loss days", US_national_yearly!$D:$AM, 10, FALSE), 1)</f>
        <v>3.9993398377456352E-3</v>
      </c>
      <c r="D15" s="7">
        <f>$B15 * IFERROR(VLOOKUP("LULUCF|SO2|Work loss days", US_national_yearly!$D:$AM, 12, FALSE) / VLOOKUP("LULUCF|SO2|Work loss days", US_national_yearly!$D:$AM, 10, FALSE), 1)</f>
        <v>4.0122552193972566E-3</v>
      </c>
      <c r="E15" s="7">
        <f>$B15 * IFERROR(VLOOKUP("LULUCF|SO2|Work loss days", US_national_yearly!$D:$AM, 13, FALSE) / VLOOKUP("LULUCF|SO2|Work loss days", US_national_yearly!$D:$AM, 10, FALSE), 1)</f>
        <v>4.0251706010488771E-3</v>
      </c>
      <c r="F15" s="7">
        <f>$B15 * IFERROR(VLOOKUP("LULUCF|SO2|Work loss days", US_national_yearly!$D:$AM, 14, FALSE) / VLOOKUP("LULUCF|SO2|Work loss days", US_national_yearly!$D:$AM, 10, FALSE), 1)</f>
        <v>4.0380859827004985E-3</v>
      </c>
      <c r="G15" s="7">
        <f>$B15 * IFERROR(VLOOKUP("LULUCF|SO2|Work loss days", US_national_yearly!$D:$AM, 15, FALSE) / VLOOKUP("LULUCF|SO2|Work loss days", US_national_yearly!$D:$AM, 10, FALSE), 1)</f>
        <v>4.0549615091262916E-3</v>
      </c>
      <c r="H15" s="7">
        <f>$B15 * IFERROR(VLOOKUP("LULUCF|SO2|Work loss days", US_national_yearly!$D:$AM, 16, FALSE) / VLOOKUP("LULUCF|SO2|Work loss days", US_national_yearly!$D:$AM, 10, FALSE), 1)</f>
        <v>4.0718370355520847E-3</v>
      </c>
      <c r="I15" s="7">
        <f>$B15 * IFERROR(VLOOKUP("LULUCF|SO2|Work loss days", US_national_yearly!$D:$AM, 17, FALSE) / VLOOKUP("LULUCF|SO2|Work loss days", US_national_yearly!$D:$AM, 10, FALSE), 1)</f>
        <v>4.0965236653370323E-3</v>
      </c>
      <c r="J15" s="7">
        <f>$B15 * IFERROR(VLOOKUP("LULUCF|SO2|Work loss days", US_national_yearly!$D:$AM, 18, FALSE) / VLOOKUP("LULUCF|SO2|Work loss days", US_national_yearly!$D:$AM, 10, FALSE), 1)</f>
        <v>4.1212102951219791E-3</v>
      </c>
      <c r="K15" s="7">
        <f>$B15 * IFERROR(VLOOKUP("LULUCF|SO2|Work loss days", US_national_yearly!$D:$AM, 19, FALSE) / VLOOKUP("LULUCF|SO2|Work loss days", US_national_yearly!$D:$AM, 10, FALSE), 1)</f>
        <v>4.1458969249069258E-3</v>
      </c>
      <c r="L15" s="7">
        <f>$B15 * IFERROR(VLOOKUP("LULUCF|SO2|Work loss days", US_national_yearly!$D:$AM, 20, FALSE) / VLOOKUP("LULUCF|SO2|Work loss days", US_national_yearly!$D:$AM, 10, FALSE), 1)</f>
        <v>4.1705835546918734E-3</v>
      </c>
      <c r="M15" s="7">
        <f>$B15 * IFERROR(VLOOKUP("LULUCF|SO2|Work loss days", US_national_yearly!$D:$AM, 21, FALSE) / VLOOKUP("LULUCF|SO2|Work loss days", US_national_yearly!$D:$AM, 10, FALSE), 1)</f>
        <v>4.195270184476821E-3</v>
      </c>
      <c r="N15" s="7">
        <f>$B15 * IFERROR(VLOOKUP("LULUCF|SO2|Work loss days", US_national_yearly!$D:$AM, 22, FALSE) / VLOOKUP("LULUCF|SO2|Work loss days", US_national_yearly!$D:$AM, 10, FALSE), 1)</f>
        <v>4.2262232177445154E-3</v>
      </c>
      <c r="O15" s="7">
        <f>$B15 * IFERROR(VLOOKUP("LULUCF|SO2|Work loss days", US_national_yearly!$D:$AM, 23, FALSE) / VLOOKUP("LULUCF|SO2|Work loss days", US_national_yearly!$D:$AM, 10, FALSE), 1)</f>
        <v>4.2571762510122098E-3</v>
      </c>
      <c r="P15" s="7">
        <f>$B15 * IFERROR(VLOOKUP("LULUCF|SO2|Work loss days", US_national_yearly!$D:$AM, 24, FALSE) / VLOOKUP("LULUCF|SO2|Work loss days", US_national_yearly!$D:$AM, 10, FALSE), 1)</f>
        <v>4.2881292842799042E-3</v>
      </c>
      <c r="Q15" s="7">
        <f>$B15 * IFERROR(VLOOKUP("LULUCF|SO2|Work loss days", US_national_yearly!$D:$AM, 25, FALSE) / VLOOKUP("LULUCF|SO2|Work loss days", US_national_yearly!$D:$AM, 10, FALSE), 1)</f>
        <v>4.3190823175475986E-3</v>
      </c>
      <c r="R15" s="7">
        <f>$B15 * IFERROR(VLOOKUP("LULUCF|SO2|Work loss days", US_national_yearly!$D:$AM, 26, FALSE) / VLOOKUP("LULUCF|SO2|Work loss days", US_national_yearly!$D:$AM, 10, FALSE), 1)</f>
        <v>4.350035350815293E-3</v>
      </c>
      <c r="S15" s="7">
        <f>$B15 * IFERROR(VLOOKUP("LULUCF|SO2|Work loss days", US_national_yearly!$D:$AM, 27, FALSE) / VLOOKUP("LULUCF|SO2|Work loss days", US_national_yearly!$D:$AM, 10, FALSE), 1)</f>
        <v>4.384625263441095E-3</v>
      </c>
      <c r="T15" s="7">
        <f>$B15 * IFERROR(VLOOKUP("LULUCF|SO2|Work loss days", US_national_yearly!$D:$AM, 28, FALSE) / VLOOKUP("LULUCF|SO2|Work loss days", US_national_yearly!$D:$AM, 10, FALSE), 1)</f>
        <v>4.4192151760668969E-3</v>
      </c>
      <c r="U15" s="7">
        <f>$B15 * IFERROR(VLOOKUP("LULUCF|SO2|Work loss days", US_national_yearly!$D:$AM, 29, FALSE) / VLOOKUP("LULUCF|SO2|Work loss days", US_national_yearly!$D:$AM, 10, FALSE), 1)</f>
        <v>4.4538050886926981E-3</v>
      </c>
      <c r="V15" s="7">
        <f>$B15 * IFERROR(VLOOKUP("LULUCF|SO2|Work loss days", US_national_yearly!$D:$AM, 30, FALSE) / VLOOKUP("LULUCF|SO2|Work loss days", US_national_yearly!$D:$AM, 10, FALSE), 1)</f>
        <v>4.4883950013184992E-3</v>
      </c>
      <c r="W15" s="7">
        <f>$B15 * IFERROR(VLOOKUP("LULUCF|SO2|Work loss days", US_national_yearly!$D:$AM, 31, FALSE) / VLOOKUP("LULUCF|SO2|Work loss days", US_national_yearly!$D:$AM, 10, FALSE), 1)</f>
        <v>4.522984913944302E-3</v>
      </c>
      <c r="X15" s="7">
        <f>$B15 * IFERROR(VLOOKUP("LULUCF|SO2|Work loss days", US_national_yearly!$D:$AM, 32, FALSE) / VLOOKUP("LULUCF|SO2|Work loss days", US_national_yearly!$D:$AM, 10, FALSE), 1)</f>
        <v>4.5540418877257887E-3</v>
      </c>
      <c r="Y15" s="7">
        <f>$B15 * IFERROR(VLOOKUP("LULUCF|SO2|Work loss days", US_national_yearly!$D:$AM, 33, FALSE) / VLOOKUP("LULUCF|SO2|Work loss days", US_national_yearly!$D:$AM, 10, FALSE), 1)</f>
        <v>4.5850988615072771E-3</v>
      </c>
      <c r="Z15" s="7">
        <f>$B15 * IFERROR(VLOOKUP("LULUCF|SO2|Work loss days", US_national_yearly!$D:$AM, 34, FALSE) / VLOOKUP("LULUCF|SO2|Work loss days", US_national_yearly!$D:$AM, 10, FALSE), 1)</f>
        <v>4.6161558352887646E-3</v>
      </c>
      <c r="AA15" s="7">
        <f>$B15 * IFERROR(VLOOKUP("LULUCF|SO2|Work loss days", US_national_yearly!$D:$AM, 35, FALSE) / VLOOKUP("LULUCF|SO2|Work loss days", US_national_yearly!$D:$AM, 10, FALSE), 1)</f>
        <v>4.647212809070253E-3</v>
      </c>
      <c r="AB15" s="7">
        <f>$B15 * IFERROR(VLOOKUP("LULUCF|SO2|Work loss days", US_national_yearly!$D:$AM, 36, FALSE) / VLOOKUP("LULUCF|SO2|Work loss days", US_national_yearly!$D:$AM, 10, FALSE), 1)</f>
        <v>4.6782697828517406E-3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8.7202810796793067E-6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8.9840157731630278E-6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9.2477504666467472E-6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9.5114851601304683E-6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9.7752198536141911E-6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1.0027852612721948E-5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1.0280485371829708E-5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1.0496942345532492E-5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1.0713399319235278E-5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1.0929856292938062E-5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1.1146313266640848E-5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1.1362770240343631E-5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1.1508180019987316E-5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1.1653589799630998E-5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1.1798999579274681E-5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1.1944409358918363E-5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1.2089819138562048E-5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1.2166294329468646E-5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1.2242769520375243E-5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1.2319244711281839E-5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1.2395719902188437E-5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1.2472195093095033E-5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1.2523535416827296E-5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1.2574875740559558E-5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1.262621606429182E-5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1.2677556388024084E-5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1.2728896711756344E-5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2026-06-15T17:17:51Z</dcterms:modified>
</cp:coreProperties>
</file>