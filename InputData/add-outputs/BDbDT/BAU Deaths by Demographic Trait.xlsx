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C51FEBB0-B697-488D-9FE0-4303AB787365}"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<sst xmlns="http://schemas.openxmlformats.org/spreadsheetml/2006/main" count="5677" uniqueCount="335">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</sst>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183</v>
      </c>
    </row>
    <row r="2" spans="1:2" x14ac:dyDescent="0.25">
      <c r="A2" s="3" t="s">
        <v>2</v>
      </c>
      <c r="B2" s="4" t="str">
        <f>IFERROR(INDEX(Geography!B:B, MATCH($B$1, Geography!C:C, 0)), "")</f>
        <v>WV</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883817</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1.0072204173301107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886162</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0.99290106850563276</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1638139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1.2316001589809156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68826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0.28464086961047685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17777</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0.15554472465068406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45237</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0.53981492636383577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42592</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0.1233145518405547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1727387</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1769979</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1.2125537995763316</v>
      </c>
    </row>
    <row r="12" spans="1:28" x14ac:dyDescent="0.25">
      <c r="A12" s="4" t="s">
        <v>319</v>
      </c>
    </row>
    <row r="13" spans="1:28" x14ac:dyDescent="0.25">
      <c r="A13" s="4" t="s">
        <v>320</v>
      </c>
      <c r="B13" s="37">
        <f>INDEX(Census_pop_2020_2025!G:G, MATCH("."&amp;About!$B$1, Census_pop_2020_2025!A:A, 0))</f>
        <v>1767402</v>
      </c>
      <c r="C13" s="37">
        <f>INDEX(Census_pop_2020_2025!H:H, MATCH("."&amp;About!$B$1, Census_pop_2020_2025!A:A, 0))</f>
        <v>1766147</v>
      </c>
      <c r="D13" s="37">
        <f>INDEX(Census_pop_2020_2025!H:H, MATCH("."&amp;About!$B$1, Census_pop_2020_2025!A:A, 0))+0.2*(INDEX(Cooper_pop_2030_2050!D:D, MATCH(About!$B$1, Cooper_pop_2030_2050!B:B, 0))-INDEX(Census_pop_2020_2025!H:H, MATCH("."&amp;About!$B$1, Census_pop_2020_2025!A:A, 0)))</f>
        <v>1762958.7326315143</v>
      </c>
      <c r="E13" s="37">
        <f>INDEX(Census_pop_2020_2025!H:H, MATCH("."&amp;About!$B$1, Census_pop_2020_2025!A:A, 0))+0.4*(INDEX(Cooper_pop_2030_2050!D:D, MATCH(About!$B$1, Cooper_pop_2030_2050!B:B, 0))-INDEX(Census_pop_2020_2025!H:H, MATCH("."&amp;About!$B$1, Census_pop_2020_2025!A:A, 0)))</f>
        <v>1759770.4652630284</v>
      </c>
      <c r="F13" s="37">
        <f>INDEX(Census_pop_2020_2025!H:H, MATCH("."&amp;About!$B$1, Census_pop_2020_2025!A:A, 0))+0.6*(INDEX(Cooper_pop_2030_2050!D:D, MATCH(About!$B$1, Cooper_pop_2030_2050!B:B, 0))-INDEX(Census_pop_2020_2025!H:H, MATCH("."&amp;About!$B$1, Census_pop_2020_2025!A:A, 0)))</f>
        <v>1756582.1978945427</v>
      </c>
      <c r="G13" s="37">
        <f>INDEX(Census_pop_2020_2025!H:H, MATCH("."&amp;About!$B$1, Census_pop_2020_2025!A:A, 0))+0.8*(INDEX(Cooper_pop_2030_2050!D:D, MATCH(About!$B$1, Cooper_pop_2030_2050!B:B, 0))-INDEX(Census_pop_2020_2025!H:H, MATCH("."&amp;About!$B$1, Census_pop_2020_2025!A:A, 0)))</f>
        <v>1753393.9305260568</v>
      </c>
      <c r="H13" s="37">
        <f>INDEX(Cooper_pop_2030_2050!D:D, MATCH(About!$B$1, Cooper_pop_2030_2050!B:B, 0))</f>
        <v>1750205.6631575711</v>
      </c>
      <c r="I13" s="37">
        <f>INDEX(Cooper_pop_2030_2050!D:D, MATCH(About!$B$1, Cooper_pop_2030_2050!B:B, 0))+0.1*(INDEX(Cooper_pop_2030_2050!E:E, MATCH(About!$B$1, Cooper_pop_2030_2050!B:B, 0))-INDEX(Cooper_pop_2030_2050!D:D, MATCH(About!$B$1, Cooper_pop_2030_2050!B:B, 0)))</f>
        <v>1738075.2677232802</v>
      </c>
      <c r="J13" s="37">
        <f>INDEX(Cooper_pop_2030_2050!D:D, MATCH(About!$B$1, Cooper_pop_2030_2050!B:B, 0))+0.2*(INDEX(Cooper_pop_2030_2050!E:E, MATCH(About!$B$1, Cooper_pop_2030_2050!B:B, 0))-INDEX(Cooper_pop_2030_2050!D:D, MATCH(About!$B$1, Cooper_pop_2030_2050!B:B, 0)))</f>
        <v>1725944.8722889894</v>
      </c>
      <c r="K13" s="37">
        <f>INDEX(Cooper_pop_2030_2050!D:D, MATCH(About!$B$1, Cooper_pop_2030_2050!B:B, 0))+0.3*(INDEX(Cooper_pop_2030_2050!E:E, MATCH(About!$B$1, Cooper_pop_2030_2050!B:B, 0))-INDEX(Cooper_pop_2030_2050!D:D, MATCH(About!$B$1, Cooper_pop_2030_2050!B:B, 0)))</f>
        <v>1713814.4768546983</v>
      </c>
      <c r="L13" s="37">
        <f>INDEX(Cooper_pop_2030_2050!D:D, MATCH(About!$B$1, Cooper_pop_2030_2050!B:B, 0))+0.4*(INDEX(Cooper_pop_2030_2050!E:E, MATCH(About!$B$1, Cooper_pop_2030_2050!B:B, 0))-INDEX(Cooper_pop_2030_2050!D:D, MATCH(About!$B$1, Cooper_pop_2030_2050!B:B, 0)))</f>
        <v>1701684.0814204074</v>
      </c>
      <c r="M13" s="37">
        <f>INDEX(Cooper_pop_2030_2050!D:D, MATCH(About!$B$1, Cooper_pop_2030_2050!B:B, 0))+0.5*(INDEX(Cooper_pop_2030_2050!E:E, MATCH(About!$B$1, Cooper_pop_2030_2050!B:B, 0))-INDEX(Cooper_pop_2030_2050!D:D, MATCH(About!$B$1, Cooper_pop_2030_2050!B:B, 0)))</f>
        <v>1689553.6859861165</v>
      </c>
      <c r="N13" s="37">
        <f>INDEX(Cooper_pop_2030_2050!D:D, MATCH(About!$B$1, Cooper_pop_2030_2050!B:B, 0))+0.6*(INDEX(Cooper_pop_2030_2050!E:E, MATCH(About!$B$1, Cooper_pop_2030_2050!B:B, 0))-INDEX(Cooper_pop_2030_2050!D:D, MATCH(About!$B$1, Cooper_pop_2030_2050!B:B, 0)))</f>
        <v>1677423.2905518257</v>
      </c>
      <c r="O13" s="37">
        <f>INDEX(Cooper_pop_2030_2050!D:D, MATCH(About!$B$1, Cooper_pop_2030_2050!B:B, 0))+0.7*(INDEX(Cooper_pop_2030_2050!E:E, MATCH(About!$B$1, Cooper_pop_2030_2050!B:B, 0))-INDEX(Cooper_pop_2030_2050!D:D, MATCH(About!$B$1, Cooper_pop_2030_2050!B:B, 0)))</f>
        <v>1665292.8951175348</v>
      </c>
      <c r="P13" s="37">
        <f>INDEX(Cooper_pop_2030_2050!D:D, MATCH(About!$B$1, Cooper_pop_2030_2050!B:B, 0))+0.8*(INDEX(Cooper_pop_2030_2050!E:E, MATCH(About!$B$1, Cooper_pop_2030_2050!B:B, 0))-INDEX(Cooper_pop_2030_2050!D:D, MATCH(About!$B$1, Cooper_pop_2030_2050!B:B, 0)))</f>
        <v>1653162.4996832437</v>
      </c>
      <c r="Q13" s="37">
        <f>INDEX(Cooper_pop_2030_2050!D:D, MATCH(About!$B$1, Cooper_pop_2030_2050!B:B, 0))+0.9*(INDEX(Cooper_pop_2030_2050!E:E, MATCH(About!$B$1, Cooper_pop_2030_2050!B:B, 0))-INDEX(Cooper_pop_2030_2050!D:D, MATCH(About!$B$1, Cooper_pop_2030_2050!B:B, 0)))</f>
        <v>1641032.1042489528</v>
      </c>
      <c r="R13" s="37">
        <f>INDEX(Cooper_pop_2030_2050!E:E, MATCH(About!$B$1, Cooper_pop_2030_2050!B:B, 0))</f>
        <v>1628901.7088146619</v>
      </c>
      <c r="S13" s="37">
        <f>INDEX(Cooper_pop_2030_2050!E:E, MATCH(About!$B$1, Cooper_pop_2030_2050!B:B, 0))+0.1*(INDEX(Cooper_pop_2030_2050!F:F, MATCH(About!$B$1, Cooper_pop_2030_2050!B:B, 0))-INDEX(Cooper_pop_2030_2050!E:E, MATCH(About!$B$1, Cooper_pop_2030_2050!B:B, 0)))</f>
        <v>1615835.6124512746</v>
      </c>
      <c r="T13" s="37">
        <f>INDEX(Cooper_pop_2030_2050!E:E, MATCH(About!$B$1, Cooper_pop_2030_2050!B:B, 0))+0.2*(INDEX(Cooper_pop_2030_2050!F:F, MATCH(About!$B$1, Cooper_pop_2030_2050!B:B, 0))-INDEX(Cooper_pop_2030_2050!E:E, MATCH(About!$B$1, Cooper_pop_2030_2050!B:B, 0)))</f>
        <v>1602769.5160878871</v>
      </c>
      <c r="U13" s="37">
        <f>INDEX(Cooper_pop_2030_2050!E:E, MATCH(About!$B$1, Cooper_pop_2030_2050!B:B, 0))+0.3*(INDEX(Cooper_pop_2030_2050!F:F, MATCH(About!$B$1, Cooper_pop_2030_2050!B:B, 0))-INDEX(Cooper_pop_2030_2050!E:E, MATCH(About!$B$1, Cooper_pop_2030_2050!B:B, 0)))</f>
        <v>1589703.4197244998</v>
      </c>
      <c r="V13" s="37">
        <f>INDEX(Cooper_pop_2030_2050!E:E, MATCH(About!$B$1, Cooper_pop_2030_2050!B:B, 0))+0.4*(INDEX(Cooper_pop_2030_2050!F:F, MATCH(About!$B$1, Cooper_pop_2030_2050!B:B, 0))-INDEX(Cooper_pop_2030_2050!E:E, MATCH(About!$B$1, Cooper_pop_2030_2050!B:B, 0)))</f>
        <v>1576637.3233611123</v>
      </c>
      <c r="W13" s="37">
        <f>INDEX(Cooper_pop_2030_2050!E:E, MATCH(About!$B$1, Cooper_pop_2030_2050!B:B, 0))+0.5*(INDEX(Cooper_pop_2030_2050!F:F, MATCH(About!$B$1, Cooper_pop_2030_2050!B:B, 0))-INDEX(Cooper_pop_2030_2050!E:E, MATCH(About!$B$1, Cooper_pop_2030_2050!B:B, 0)))</f>
        <v>1563571.226997725</v>
      </c>
      <c r="X13" s="37">
        <f>INDEX(Cooper_pop_2030_2050!E:E, MATCH(About!$B$1, Cooper_pop_2030_2050!B:B, 0))+0.6*(INDEX(Cooper_pop_2030_2050!F:F, MATCH(About!$B$1, Cooper_pop_2030_2050!B:B, 0))-INDEX(Cooper_pop_2030_2050!E:E, MATCH(About!$B$1, Cooper_pop_2030_2050!B:B, 0)))</f>
        <v>1550505.1306343377</v>
      </c>
      <c r="Y13" s="37">
        <f>INDEX(Cooper_pop_2030_2050!E:E, MATCH(About!$B$1, Cooper_pop_2030_2050!B:B, 0))+0.7*(INDEX(Cooper_pop_2030_2050!F:F, MATCH(About!$B$1, Cooper_pop_2030_2050!B:B, 0))-INDEX(Cooper_pop_2030_2050!E:E, MATCH(About!$B$1, Cooper_pop_2030_2050!B:B, 0)))</f>
        <v>1537439.0342709501</v>
      </c>
      <c r="Z13" s="37">
        <f>INDEX(Cooper_pop_2030_2050!E:E, MATCH(About!$B$1, Cooper_pop_2030_2050!B:B, 0))+0.8*(INDEX(Cooper_pop_2030_2050!F:F, MATCH(About!$B$1, Cooper_pop_2030_2050!B:B, 0))-INDEX(Cooper_pop_2030_2050!E:E, MATCH(About!$B$1, Cooper_pop_2030_2050!B:B, 0)))</f>
        <v>1524372.9379075628</v>
      </c>
      <c r="AA13" s="37">
        <f>INDEX(Cooper_pop_2030_2050!E:E, MATCH(About!$B$1, Cooper_pop_2030_2050!B:B, 0))+0.9*(INDEX(Cooper_pop_2030_2050!F:F, MATCH(About!$B$1, Cooper_pop_2030_2050!B:B, 0))-INDEX(Cooper_pop_2030_2050!E:E, MATCH(About!$B$1, Cooper_pop_2030_2050!B:B, 0)))</f>
        <v>1511306.8415441753</v>
      </c>
      <c r="AB13" s="37">
        <f>INDEX(Cooper_pop_2030_2050!F:F, MATCH(About!$B$1, Cooper_pop_2030_2050!B:B, 0))</f>
        <v>1498240.745180788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5.2525874120021715E-3</v>
      </c>
      <c r="C15" s="39">
        <f t="shared" si="1"/>
        <v>5.2250356394838394E-3</v>
      </c>
      <c r="D15" s="39">
        <f t="shared" si="1"/>
        <v>5.1926097055608406E-3</v>
      </c>
      <c r="E15" s="39">
        <f t="shared" si="1"/>
        <v>5.1610637457119701E-3</v>
      </c>
      <c r="F15" s="39">
        <f t="shared" si="1"/>
        <v>5.1304331147133415E-3</v>
      </c>
      <c r="G15" s="39">
        <f t="shared" si="1"/>
        <v>5.1007260906863914E-3</v>
      </c>
      <c r="H15" s="39">
        <f t="shared" si="1"/>
        <v>5.0719783857032666E-3</v>
      </c>
      <c r="I15" s="39">
        <f t="shared" si="1"/>
        <v>5.018418205460182E-3</v>
      </c>
      <c r="J15" s="39">
        <f t="shared" si="1"/>
        <v>4.966103340893588E-3</v>
      </c>
      <c r="K15" s="39">
        <f t="shared" si="1"/>
        <v>4.9148424753660252E-3</v>
      </c>
      <c r="L15" s="39">
        <f t="shared" si="1"/>
        <v>4.864628020611589E-3</v>
      </c>
      <c r="M15" s="39">
        <f t="shared" si="1"/>
        <v>4.8154490852172042E-3</v>
      </c>
      <c r="N15" s="39">
        <f t="shared" si="1"/>
        <v>4.7672903718232098E-3</v>
      </c>
      <c r="O15" s="39">
        <f t="shared" si="1"/>
        <v>4.7201370534262262E-3</v>
      </c>
      <c r="P15" s="39">
        <f t="shared" si="1"/>
        <v>4.673968671958492E-3</v>
      </c>
      <c r="Q15" s="39">
        <f t="shared" si="1"/>
        <v>4.6287557743380017E-3</v>
      </c>
      <c r="R15" s="39">
        <f t="shared" si="1"/>
        <v>4.5844642960855917E-3</v>
      </c>
      <c r="S15" s="39">
        <f t="shared" si="1"/>
        <v>4.5384364597671478E-3</v>
      </c>
      <c r="T15" s="39">
        <f t="shared" si="1"/>
        <v>4.4932579064512635E-3</v>
      </c>
      <c r="U15" s="39">
        <f t="shared" si="1"/>
        <v>4.4488706426785742E-3</v>
      </c>
      <c r="V15" s="39">
        <f t="shared" si="1"/>
        <v>4.4052036102264856E-3</v>
      </c>
      <c r="W15" s="39">
        <f t="shared" si="1"/>
        <v>4.3621807530914835E-3</v>
      </c>
      <c r="X15" s="39">
        <f t="shared" si="1"/>
        <v>4.31972663220571E-3</v>
      </c>
      <c r="Y15" s="39">
        <f t="shared" si="1"/>
        <v>4.2777897718121157E-3</v>
      </c>
      <c r="Z15" s="39">
        <f t="shared" si="1"/>
        <v>4.2363019317442413E-3</v>
      </c>
      <c r="AA15" s="39">
        <f t="shared" si="1"/>
        <v>4.1951962124169469E-3</v>
      </c>
      <c r="AB15" s="39">
        <f t="shared" si="1"/>
        <v>4.1544088416769678E-3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49.789020526826285</v>
      </c>
      <c r="C48" s="37">
        <f t="shared" si="10"/>
        <v>49.154202472594839</v>
      </c>
      <c r="D48" s="37">
        <f t="shared" si="10"/>
        <v>48.472590105937215</v>
      </c>
      <c r="E48" s="37">
        <f t="shared" si="10"/>
        <v>47.803831459255207</v>
      </c>
      <c r="F48" s="37">
        <f t="shared" si="10"/>
        <v>47.137725037884188</v>
      </c>
      <c r="G48" s="37">
        <f t="shared" si="10"/>
        <v>46.474326706969975</v>
      </c>
      <c r="H48" s="37">
        <f t="shared" si="10"/>
        <v>45.813926471073316</v>
      </c>
      <c r="I48" s="37">
        <f t="shared" si="10"/>
        <v>44.951031612286918</v>
      </c>
      <c r="J48" s="37">
        <f t="shared" si="10"/>
        <v>44.072275547244523</v>
      </c>
      <c r="K48" s="37">
        <f t="shared" si="10"/>
        <v>43.216378186278817</v>
      </c>
      <c r="L48" s="37">
        <f t="shared" si="10"/>
        <v>42.348562284253205</v>
      </c>
      <c r="M48" s="37">
        <f t="shared" si="10"/>
        <v>41.503320878900091</v>
      </c>
      <c r="N48" s="37">
        <f t="shared" si="10"/>
        <v>40.684907452311805</v>
      </c>
      <c r="O48" s="37">
        <f t="shared" si="10"/>
        <v>39.826087644086606</v>
      </c>
      <c r="P48" s="37">
        <f t="shared" si="10"/>
        <v>38.998724946948805</v>
      </c>
      <c r="Q48" s="37">
        <f t="shared" si="10"/>
        <v>38.159921386691408</v>
      </c>
      <c r="R48" s="37">
        <f t="shared" si="10"/>
        <v>37.333021445837332</v>
      </c>
      <c r="S48" s="37">
        <f t="shared" si="10"/>
        <v>36.487365214692261</v>
      </c>
      <c r="T48" s="37">
        <f t="shared" si="10"/>
        <v>35.65799899611266</v>
      </c>
      <c r="U48" s="37">
        <f t="shared" si="10"/>
        <v>34.84420425356906</v>
      </c>
      <c r="V48" s="37">
        <f t="shared" si="10"/>
        <v>34.045185546611179</v>
      </c>
      <c r="W48" s="37">
        <f t="shared" si="10"/>
        <v>33.264532493306824</v>
      </c>
      <c r="X48" s="37">
        <f t="shared" si="10"/>
        <v>32.531805371508142</v>
      </c>
      <c r="Y48" s="37">
        <f t="shared" si="10"/>
        <v>31.810963761804924</v>
      </c>
      <c r="Z48" s="37">
        <f t="shared" si="10"/>
        <v>31.122694198485089</v>
      </c>
      <c r="AA48" s="37">
        <f t="shared" si="10"/>
        <v>30.44886133861565</v>
      </c>
      <c r="AB48" s="37">
        <f t="shared" si="10"/>
        <v>29.784597688974745</v>
      </c>
    </row>
    <row r="49" spans="1:28" x14ac:dyDescent="0.25">
      <c r="A49" s="4" t="s">
        <v>216</v>
      </c>
      <c r="B49" s="37">
        <f t="shared" ref="B49:AB49" si="11">B29*B15*$F$5</f>
        <v>39.135608602086627</v>
      </c>
      <c r="C49" s="37">
        <f t="shared" si="11"/>
        <v>38.717622112307701</v>
      </c>
      <c r="D49" s="37">
        <f t="shared" si="11"/>
        <v>38.265959614831822</v>
      </c>
      <c r="E49" s="37">
        <f t="shared" si="11"/>
        <v>37.818261723144069</v>
      </c>
      <c r="F49" s="37">
        <f t="shared" si="11"/>
        <v>37.369675857691412</v>
      </c>
      <c r="G49" s="37">
        <f t="shared" si="11"/>
        <v>36.930453483773888</v>
      </c>
      <c r="H49" s="37">
        <f t="shared" si="11"/>
        <v>36.495694581590492</v>
      </c>
      <c r="I49" s="37">
        <f t="shared" si="11"/>
        <v>35.861159770153421</v>
      </c>
      <c r="J49" s="37">
        <f t="shared" si="11"/>
        <v>35.255572591400849</v>
      </c>
      <c r="K49" s="37">
        <f t="shared" si="11"/>
        <v>34.633021794791361</v>
      </c>
      <c r="L49" s="37">
        <f t="shared" si="11"/>
        <v>34.032844857373014</v>
      </c>
      <c r="M49" s="37">
        <f t="shared" si="11"/>
        <v>33.416257884363922</v>
      </c>
      <c r="N49" s="37">
        <f t="shared" si="11"/>
        <v>32.788592246022795</v>
      </c>
      <c r="O49" s="37">
        <f t="shared" si="11"/>
        <v>32.197142080780317</v>
      </c>
      <c r="P49" s="37">
        <f t="shared" si="11"/>
        <v>31.571284087601839</v>
      </c>
      <c r="Q49" s="37">
        <f t="shared" si="11"/>
        <v>30.967150982144478</v>
      </c>
      <c r="R49" s="37">
        <f t="shared" si="11"/>
        <v>30.352199213392865</v>
      </c>
      <c r="S49" s="37">
        <f t="shared" si="11"/>
        <v>29.73202907081447</v>
      </c>
      <c r="T49" s="37">
        <f t="shared" si="11"/>
        <v>29.11483912150053</v>
      </c>
      <c r="U49" s="37">
        <f t="shared" si="11"/>
        <v>28.509179428853926</v>
      </c>
      <c r="V49" s="37">
        <f t="shared" si="11"/>
        <v>27.923177876158729</v>
      </c>
      <c r="W49" s="37">
        <f t="shared" si="11"/>
        <v>27.3516159727446</v>
      </c>
      <c r="X49" s="37">
        <f t="shared" si="11"/>
        <v>26.785187123864201</v>
      </c>
      <c r="Y49" s="37">
        <f t="shared" si="11"/>
        <v>26.244820755962476</v>
      </c>
      <c r="Z49" s="37">
        <f t="shared" si="11"/>
        <v>25.70846990327663</v>
      </c>
      <c r="AA49" s="37">
        <f t="shared" si="11"/>
        <v>25.1924287218886</v>
      </c>
      <c r="AB49" s="37">
        <f t="shared" si="11"/>
        <v>24.708252697682756</v>
      </c>
    </row>
    <row r="50" spans="1:28" x14ac:dyDescent="0.25">
      <c r="A50" s="4" t="s">
        <v>217</v>
      </c>
      <c r="B50" s="37">
        <f t="shared" ref="B50:AB50" si="12">B30*B15*$F$6</f>
        <v>63.772264493011313</v>
      </c>
      <c r="C50" s="37">
        <f t="shared" si="12"/>
        <v>63.019470214768731</v>
      </c>
      <c r="D50" s="37">
        <f t="shared" si="12"/>
        <v>62.219085056505335</v>
      </c>
      <c r="E50" s="37">
        <f t="shared" si="12"/>
        <v>61.421573641976181</v>
      </c>
      <c r="F50" s="37">
        <f t="shared" si="12"/>
        <v>60.633690932371401</v>
      </c>
      <c r="G50" s="37">
        <f t="shared" si="12"/>
        <v>59.861702706832922</v>
      </c>
      <c r="H50" s="37">
        <f t="shared" si="12"/>
        <v>59.08080989448959</v>
      </c>
      <c r="I50" s="37">
        <f t="shared" si="12"/>
        <v>58.024267585052201</v>
      </c>
      <c r="J50" s="37">
        <f t="shared" si="12"/>
        <v>56.960670374323932</v>
      </c>
      <c r="K50" s="37">
        <f t="shared" si="12"/>
        <v>55.894517227364894</v>
      </c>
      <c r="L50" s="37">
        <f t="shared" si="12"/>
        <v>54.820181288649486</v>
      </c>
      <c r="M50" s="37">
        <f t="shared" si="12"/>
        <v>53.738143909656124</v>
      </c>
      <c r="N50" s="37">
        <f t="shared" si="12"/>
        <v>52.648804164475976</v>
      </c>
      <c r="O50" s="37">
        <f t="shared" si="12"/>
        <v>51.535095500072515</v>
      </c>
      <c r="P50" s="37">
        <f t="shared" si="12"/>
        <v>50.420838040274205</v>
      </c>
      <c r="Q50" s="37">
        <f t="shared" si="12"/>
        <v>49.300313853686035</v>
      </c>
      <c r="R50" s="37">
        <f t="shared" si="12"/>
        <v>48.173608387750278</v>
      </c>
      <c r="S50" s="37">
        <f t="shared" si="12"/>
        <v>47.024792156991481</v>
      </c>
      <c r="T50" s="37">
        <f t="shared" si="12"/>
        <v>45.898142978087776</v>
      </c>
      <c r="U50" s="37">
        <f t="shared" si="12"/>
        <v>44.792703539859154</v>
      </c>
      <c r="V50" s="37">
        <f t="shared" si="12"/>
        <v>43.712846353187743</v>
      </c>
      <c r="W50" s="37">
        <f t="shared" si="12"/>
        <v>42.668097246565054</v>
      </c>
      <c r="X50" s="37">
        <f t="shared" si="12"/>
        <v>41.662298310649788</v>
      </c>
      <c r="Y50" s="37">
        <f t="shared" si="12"/>
        <v>40.683562119877784</v>
      </c>
      <c r="Z50" s="37">
        <f t="shared" si="12"/>
        <v>39.735947890090031</v>
      </c>
      <c r="AA50" s="37">
        <f t="shared" si="12"/>
        <v>38.828534481098885</v>
      </c>
      <c r="AB50" s="37">
        <f t="shared" si="12"/>
        <v>37.94960406514793</v>
      </c>
    </row>
    <row r="51" spans="1:28" x14ac:dyDescent="0.25">
      <c r="A51" s="4" t="s">
        <v>218</v>
      </c>
      <c r="B51" s="37">
        <f t="shared" ref="B51:AB51" si="13">B31*B15*$F$7</f>
        <v>6.9940827056190473</v>
      </c>
      <c r="C51" s="37">
        <f t="shared" si="13"/>
        <v>6.8636988458972308</v>
      </c>
      <c r="D51" s="37">
        <f t="shared" si="13"/>
        <v>6.7294657735572274</v>
      </c>
      <c r="E51" s="37">
        <f t="shared" si="13"/>
        <v>6.5945639807258809</v>
      </c>
      <c r="F51" s="37">
        <f t="shared" si="13"/>
        <v>6.4590437619964876</v>
      </c>
      <c r="G51" s="37">
        <f t="shared" si="13"/>
        <v>6.3258198546962126</v>
      </c>
      <c r="H51" s="37">
        <f t="shared" si="13"/>
        <v>6.1905527468538919</v>
      </c>
      <c r="I51" s="37">
        <f t="shared" si="13"/>
        <v>6.0280460111406109</v>
      </c>
      <c r="J51" s="37">
        <f t="shared" si="13"/>
        <v>5.8690844020859529</v>
      </c>
      <c r="K51" s="37">
        <f t="shared" si="13"/>
        <v>5.713373207786459</v>
      </c>
      <c r="L51" s="37">
        <f t="shared" si="13"/>
        <v>5.5636118955756322</v>
      </c>
      <c r="M51" s="37">
        <f t="shared" si="13"/>
        <v>5.4210141480416469</v>
      </c>
      <c r="N51" s="37">
        <f t="shared" si="13"/>
        <v>5.2813104153565353</v>
      </c>
      <c r="O51" s="37">
        <f t="shared" si="13"/>
        <v>5.1484602844560969</v>
      </c>
      <c r="P51" s="37">
        <f t="shared" si="13"/>
        <v>5.0182782576049698</v>
      </c>
      <c r="Q51" s="37">
        <f t="shared" si="13"/>
        <v>4.8933178176052232</v>
      </c>
      <c r="R51" s="37">
        <f t="shared" si="13"/>
        <v>4.7721140306938983</v>
      </c>
      <c r="S51" s="37">
        <f t="shared" si="13"/>
        <v>4.6505682020880537</v>
      </c>
      <c r="T51" s="37">
        <f t="shared" si="13"/>
        <v>4.5326513854340975</v>
      </c>
      <c r="U51" s="37">
        <f t="shared" si="13"/>
        <v>4.4169604649057277</v>
      </c>
      <c r="V51" s="37">
        <f t="shared" si="13"/>
        <v>4.3058959873871547</v>
      </c>
      <c r="W51" s="37">
        <f t="shared" si="13"/>
        <v>4.1955519846752329</v>
      </c>
      <c r="X51" s="37">
        <f t="shared" si="13"/>
        <v>4.0895522981047154</v>
      </c>
      <c r="Y51" s="37">
        <f t="shared" si="13"/>
        <v>3.9889683309602075</v>
      </c>
      <c r="Z51" s="37">
        <f t="shared" si="13"/>
        <v>3.889990371819906</v>
      </c>
      <c r="AA51" s="37">
        <f t="shared" si="13"/>
        <v>3.7949270193266469</v>
      </c>
      <c r="AB51" s="37">
        <f t="shared" si="13"/>
        <v>3.701270527140768</v>
      </c>
    </row>
    <row r="52" spans="1:28" x14ac:dyDescent="0.25">
      <c r="A52" s="4" t="s">
        <v>219</v>
      </c>
      <c r="B52" s="37">
        <f t="shared" ref="B52:AB52" si="14">B32*B15*$F$8</f>
        <v>0.70344755818773674</v>
      </c>
      <c r="C52" s="37">
        <f t="shared" si="14"/>
        <v>0.70219589457616538</v>
      </c>
      <c r="D52" s="37">
        <f t="shared" si="14"/>
        <v>0.70026120163622974</v>
      </c>
      <c r="E52" s="37">
        <f t="shared" si="14"/>
        <v>0.69921810437054621</v>
      </c>
      <c r="F52" s="37">
        <f t="shared" si="14"/>
        <v>0.69826033039598323</v>
      </c>
      <c r="G52" s="37">
        <f t="shared" si="14"/>
        <v>0.69739072002375546</v>
      </c>
      <c r="H52" s="37">
        <f t="shared" si="14"/>
        <v>0.69661590211013857</v>
      </c>
      <c r="I52" s="37">
        <f t="shared" si="14"/>
        <v>0.69238197994190187</v>
      </c>
      <c r="J52" s="37">
        <f t="shared" si="14"/>
        <v>0.68825399848080659</v>
      </c>
      <c r="K52" s="37">
        <f t="shared" si="14"/>
        <v>0.68573660412046844</v>
      </c>
      <c r="L52" s="37">
        <f t="shared" si="14"/>
        <v>0.68175717062062258</v>
      </c>
      <c r="M52" s="37">
        <f t="shared" si="14"/>
        <v>0.67786102033669615</v>
      </c>
      <c r="N52" s="37">
        <f t="shared" si="14"/>
        <v>0.67404792320752449</v>
      </c>
      <c r="O52" s="37">
        <f t="shared" si="14"/>
        <v>0.67031767789755892</v>
      </c>
      <c r="P52" s="37">
        <f t="shared" si="14"/>
        <v>0.66594223181682777</v>
      </c>
      <c r="Q52" s="37">
        <f t="shared" si="14"/>
        <v>0.66238025900309494</v>
      </c>
      <c r="R52" s="37">
        <f t="shared" si="14"/>
        <v>0.65746827615029446</v>
      </c>
      <c r="S52" s="37">
        <f t="shared" si="14"/>
        <v>0.65298511076817334</v>
      </c>
      <c r="T52" s="37">
        <f t="shared" si="14"/>
        <v>0.64928048181058451</v>
      </c>
      <c r="U52" s="37">
        <f t="shared" si="14"/>
        <v>0.64425047234253607</v>
      </c>
      <c r="V52" s="37">
        <f t="shared" si="14"/>
        <v>0.63998257453240814</v>
      </c>
      <c r="W52" s="37">
        <f t="shared" si="14"/>
        <v>0.63576780925681231</v>
      </c>
      <c r="X52" s="37">
        <f t="shared" si="14"/>
        <v>0.63092413750873144</v>
      </c>
      <c r="Y52" s="37">
        <f t="shared" si="14"/>
        <v>0.62746053713633654</v>
      </c>
      <c r="Z52" s="37">
        <f t="shared" si="14"/>
        <v>0.62269302454725151</v>
      </c>
      <c r="AA52" s="37">
        <f t="shared" si="14"/>
        <v>0.61795598581103939</v>
      </c>
      <c r="AB52" s="37">
        <f t="shared" si="14"/>
        <v>0.61324036401739568</v>
      </c>
    </row>
    <row r="53" spans="1:28" x14ac:dyDescent="0.25">
      <c r="A53" s="4" t="s">
        <v>220</v>
      </c>
      <c r="B53" s="37">
        <f t="shared" ref="B53:AB53" si="15">B33*B15*$F$9</f>
        <v>4.3041752821108767</v>
      </c>
      <c r="C53" s="37">
        <f t="shared" si="15"/>
        <v>4.3182654625628469</v>
      </c>
      <c r="D53" s="37">
        <f t="shared" si="15"/>
        <v>4.319497316024778</v>
      </c>
      <c r="E53" s="37">
        <f t="shared" si="15"/>
        <v>4.3266878888059344</v>
      </c>
      <c r="F53" s="37">
        <f t="shared" si="15"/>
        <v>4.3314735609884982</v>
      </c>
      <c r="G53" s="37">
        <f t="shared" si="15"/>
        <v>4.3311738283393115</v>
      </c>
      <c r="H53" s="37">
        <f t="shared" si="15"/>
        <v>4.3423564071326384</v>
      </c>
      <c r="I53" s="37">
        <f t="shared" si="15"/>
        <v>4.3208822011992565</v>
      </c>
      <c r="J53" s="37">
        <f t="shared" si="15"/>
        <v>4.3026466183938723</v>
      </c>
      <c r="K53" s="37">
        <f t="shared" si="15"/>
        <v>4.2768057902344561</v>
      </c>
      <c r="L53" s="37">
        <f t="shared" si="15"/>
        <v>4.2541180831089127</v>
      </c>
      <c r="M53" s="37">
        <f t="shared" si="15"/>
        <v>4.2241083516861542</v>
      </c>
      <c r="N53" s="37">
        <f t="shared" si="15"/>
        <v>4.1998777456658951</v>
      </c>
      <c r="O53" s="37">
        <f t="shared" si="15"/>
        <v>4.1710767136051183</v>
      </c>
      <c r="P53" s="37">
        <f t="shared" si="15"/>
        <v>4.1378480093474437</v>
      </c>
      <c r="Q53" s="37">
        <f t="shared" si="15"/>
        <v>4.1003198617254153</v>
      </c>
      <c r="R53" s="37">
        <f t="shared" si="15"/>
        <v>4.0635596250237063</v>
      </c>
      <c r="S53" s="37">
        <f t="shared" si="15"/>
        <v>4.0227616505579586</v>
      </c>
      <c r="T53" s="37">
        <f t="shared" si="15"/>
        <v>3.9730143495119177</v>
      </c>
      <c r="U53" s="37">
        <f t="shared" si="15"/>
        <v>3.9289632494292959</v>
      </c>
      <c r="V53" s="37">
        <f t="shared" si="15"/>
        <v>3.8808872891544897</v>
      </c>
      <c r="W53" s="37">
        <f t="shared" si="15"/>
        <v>3.8335660191217564</v>
      </c>
      <c r="X53" s="37">
        <f t="shared" si="15"/>
        <v>3.7915928379624173</v>
      </c>
      <c r="Y53" s="37">
        <f t="shared" si="15"/>
        <v>3.7432371432572489</v>
      </c>
      <c r="Z53" s="37">
        <f t="shared" si="15"/>
        <v>3.7023599858346388</v>
      </c>
      <c r="AA53" s="37">
        <f t="shared" si="15"/>
        <v>3.6551120686631426</v>
      </c>
      <c r="AB53" s="37">
        <f t="shared" si="15"/>
        <v>3.6150903875636544</v>
      </c>
    </row>
    <row r="54" spans="1:28" x14ac:dyDescent="0.25">
      <c r="A54" s="4" t="s">
        <v>221</v>
      </c>
      <c r="B54" s="37">
        <f t="shared" ref="B54:AB54" si="16">B34*B15*$F$10</f>
        <v>2.4878942972859597</v>
      </c>
      <c r="C54" s="37">
        <f t="shared" si="16"/>
        <v>2.4851535341980591</v>
      </c>
      <c r="D54" s="37">
        <f t="shared" si="16"/>
        <v>2.4812568125560803</v>
      </c>
      <c r="E54" s="37">
        <f t="shared" si="16"/>
        <v>2.4782750194327856</v>
      </c>
      <c r="F54" s="37">
        <f t="shared" si="16"/>
        <v>2.4774850480910069</v>
      </c>
      <c r="G54" s="37">
        <f t="shared" si="16"/>
        <v>2.4744614201099964</v>
      </c>
      <c r="H54" s="37">
        <f t="shared" si="16"/>
        <v>2.4711479779745926</v>
      </c>
      <c r="I54" s="37">
        <f t="shared" si="16"/>
        <v>2.4549541160847039</v>
      </c>
      <c r="J54" s="37">
        <f t="shared" si="16"/>
        <v>2.4379357681550498</v>
      </c>
      <c r="K54" s="37">
        <f t="shared" si="16"/>
        <v>2.4200438876862189</v>
      </c>
      <c r="L54" s="37">
        <f t="shared" si="16"/>
        <v>2.4007174557793567</v>
      </c>
      <c r="M54" s="37">
        <f t="shared" si="16"/>
        <v>2.3800103029851112</v>
      </c>
      <c r="N54" s="37">
        <f t="shared" si="16"/>
        <v>2.357971741813329</v>
      </c>
      <c r="O54" s="37">
        <f t="shared" si="16"/>
        <v>2.334649018916068</v>
      </c>
      <c r="P54" s="37">
        <f t="shared" si="16"/>
        <v>2.3083552501579128</v>
      </c>
      <c r="Q54" s="37">
        <f t="shared" si="16"/>
        <v>2.2808886037919143</v>
      </c>
      <c r="R54" s="37">
        <f t="shared" si="16"/>
        <v>2.25058334836136</v>
      </c>
      <c r="S54" s="37">
        <f t="shared" si="16"/>
        <v>2.2195927535969151</v>
      </c>
      <c r="T54" s="37">
        <f t="shared" si="16"/>
        <v>2.1869698836452489</v>
      </c>
      <c r="U54" s="37">
        <f t="shared" si="16"/>
        <v>2.1527475607921489</v>
      </c>
      <c r="V54" s="37">
        <f t="shared" si="16"/>
        <v>2.1191234906587049</v>
      </c>
      <c r="W54" s="37">
        <f t="shared" si="16"/>
        <v>2.0833655721537774</v>
      </c>
      <c r="X54" s="37">
        <f t="shared" si="16"/>
        <v>2.0508378418379998</v>
      </c>
      <c r="Y54" s="37">
        <f t="shared" si="16"/>
        <v>2.0182675255437124</v>
      </c>
      <c r="Z54" s="37">
        <f t="shared" si="16"/>
        <v>1.9861559572107543</v>
      </c>
      <c r="AA54" s="37">
        <f t="shared" si="16"/>
        <v>1.9549853115489104</v>
      </c>
      <c r="AB54" s="37">
        <f t="shared" si="16"/>
        <v>1.9252198842926653</v>
      </c>
    </row>
    <row r="55" spans="1:28" x14ac:dyDescent="0.25">
      <c r="A55" s="4" t="s">
        <v>222</v>
      </c>
      <c r="B55" s="37">
        <f t="shared" ref="B55:AB55" si="17">B35*B15*$F$11</f>
        <v>83.268892029368786</v>
      </c>
      <c r="C55" s="37">
        <f t="shared" si="17"/>
        <v>82.021154240363188</v>
      </c>
      <c r="D55" s="37">
        <f t="shared" si="17"/>
        <v>80.68732322031552</v>
      </c>
      <c r="E55" s="37">
        <f t="shared" si="17"/>
        <v>79.364811460742601</v>
      </c>
      <c r="F55" s="37">
        <f t="shared" si="17"/>
        <v>78.022855982975855</v>
      </c>
      <c r="G55" s="37">
        <f t="shared" si="17"/>
        <v>76.717559162270348</v>
      </c>
      <c r="H55" s="37">
        <f t="shared" si="17"/>
        <v>75.424172274462023</v>
      </c>
      <c r="I55" s="37">
        <f t="shared" si="17"/>
        <v>73.769692308461288</v>
      </c>
      <c r="J55" s="37">
        <f t="shared" si="17"/>
        <v>72.139576351569033</v>
      </c>
      <c r="K55" s="37">
        <f t="shared" si="17"/>
        <v>70.524852201531786</v>
      </c>
      <c r="L55" s="37">
        <f t="shared" si="17"/>
        <v>68.937209220572498</v>
      </c>
      <c r="M55" s="37">
        <f t="shared" si="17"/>
        <v>67.370279138112622</v>
      </c>
      <c r="N55" s="37">
        <f t="shared" si="17"/>
        <v>65.835208459437595</v>
      </c>
      <c r="O55" s="37">
        <f t="shared" si="17"/>
        <v>64.308348453185118</v>
      </c>
      <c r="P55" s="37">
        <f t="shared" si="17"/>
        <v>62.806553149851403</v>
      </c>
      <c r="Q55" s="37">
        <f t="shared" si="17"/>
        <v>61.329048492020355</v>
      </c>
      <c r="R55" s="37">
        <f t="shared" si="17"/>
        <v>59.880574224563922</v>
      </c>
      <c r="S55" s="37">
        <f t="shared" si="17"/>
        <v>58.409886135547914</v>
      </c>
      <c r="T55" s="37">
        <f t="shared" si="17"/>
        <v>56.978498631139026</v>
      </c>
      <c r="U55" s="37">
        <f t="shared" si="17"/>
        <v>55.595665486525682</v>
      </c>
      <c r="V55" s="37">
        <f t="shared" si="17"/>
        <v>54.248744989451033</v>
      </c>
      <c r="W55" s="37">
        <f t="shared" si="17"/>
        <v>52.962550391004015</v>
      </c>
      <c r="X55" s="37">
        <f t="shared" si="17"/>
        <v>51.708558089671492</v>
      </c>
      <c r="Y55" s="37">
        <f t="shared" si="17"/>
        <v>50.501121152213209</v>
      </c>
      <c r="Z55" s="37">
        <f t="shared" si="17"/>
        <v>49.333289409508673</v>
      </c>
      <c r="AA55" s="37">
        <f t="shared" si="17"/>
        <v>48.198387991993478</v>
      </c>
      <c r="AB55" s="37">
        <f t="shared" si="17"/>
        <v>47.100103512809348</v>
      </c>
    </row>
    <row r="57" spans="1:28" x14ac:dyDescent="0.25">
      <c r="A57" s="4" t="s">
        <v>327</v>
      </c>
    </row>
    <row r="58" spans="1:28" x14ac:dyDescent="0.25">
      <c r="A58" s="4" t="s">
        <v>215</v>
      </c>
      <c r="B58" s="37">
        <f t="shared" ref="B58:AB58" si="18">B38*B15*$F$4</f>
        <v>7895.2340149785232</v>
      </c>
      <c r="C58" s="37">
        <f t="shared" si="18"/>
        <v>7996.8782543211764</v>
      </c>
      <c r="D58" s="37">
        <f t="shared" si="18"/>
        <v>8088.2437067802839</v>
      </c>
      <c r="E58" s="37">
        <f t="shared" si="18"/>
        <v>8178.6710241730761</v>
      </c>
      <c r="F58" s="37">
        <f t="shared" si="18"/>
        <v>8268.8726485662537</v>
      </c>
      <c r="G58" s="37">
        <f t="shared" si="18"/>
        <v>8359.0955769248776</v>
      </c>
      <c r="H58" s="37">
        <f t="shared" si="18"/>
        <v>8448.7715719708522</v>
      </c>
      <c r="I58" s="37">
        <f t="shared" si="18"/>
        <v>8493.7281680638098</v>
      </c>
      <c r="J58" s="37">
        <f t="shared" si="18"/>
        <v>8535.4557466666774</v>
      </c>
      <c r="K58" s="37">
        <f t="shared" si="18"/>
        <v>8573.8670646841929</v>
      </c>
      <c r="L58" s="37">
        <f t="shared" si="18"/>
        <v>8608.3068607349869</v>
      </c>
      <c r="M58" s="37">
        <f t="shared" si="18"/>
        <v>8638.7147143586772</v>
      </c>
      <c r="N58" s="37">
        <f t="shared" si="18"/>
        <v>8664.300722317128</v>
      </c>
      <c r="O58" s="37">
        <f t="shared" si="18"/>
        <v>8684.8493073087211</v>
      </c>
      <c r="P58" s="37">
        <f t="shared" si="18"/>
        <v>8699.3708153750504</v>
      </c>
      <c r="Q58" s="37">
        <f t="shared" si="18"/>
        <v>8707.8329785129063</v>
      </c>
      <c r="R58" s="37">
        <f t="shared" si="18"/>
        <v>8709.0712542283472</v>
      </c>
      <c r="S58" s="37">
        <f t="shared" si="18"/>
        <v>8698.3190802777717</v>
      </c>
      <c r="T58" s="37">
        <f t="shared" si="18"/>
        <v>8680.2539856013609</v>
      </c>
      <c r="U58" s="37">
        <f t="shared" si="18"/>
        <v>8655.5091508764472</v>
      </c>
      <c r="V58" s="37">
        <f t="shared" si="18"/>
        <v>8622.1772920105177</v>
      </c>
      <c r="W58" s="37">
        <f t="shared" si="18"/>
        <v>8580.9664294377308</v>
      </c>
      <c r="X58" s="37">
        <f t="shared" si="18"/>
        <v>8531.5953984546322</v>
      </c>
      <c r="Y58" s="37">
        <f t="shared" si="18"/>
        <v>8477.7489484983889</v>
      </c>
      <c r="Z58" s="37">
        <f t="shared" si="18"/>
        <v>8416.4571973250113</v>
      </c>
      <c r="AA58" s="37">
        <f t="shared" si="18"/>
        <v>8348.4135324480194</v>
      </c>
      <c r="AB58" s="37">
        <f t="shared" si="18"/>
        <v>8274.5319763162697</v>
      </c>
    </row>
    <row r="59" spans="1:28" x14ac:dyDescent="0.25">
      <c r="A59" s="4" t="s">
        <v>216</v>
      </c>
      <c r="B59" s="37">
        <f t="shared" ref="B59:AB59" si="19">B39*B15*$F$5</f>
        <v>7313.5085799121689</v>
      </c>
      <c r="C59" s="37">
        <f t="shared" si="19"/>
        <v>7388.4771352446032</v>
      </c>
      <c r="D59" s="37">
        <f t="shared" si="19"/>
        <v>7454.695635554478</v>
      </c>
      <c r="E59" s="37">
        <f t="shared" si="19"/>
        <v>7524.0764048879137</v>
      </c>
      <c r="F59" s="37">
        <f t="shared" si="19"/>
        <v>7598.6875381897089</v>
      </c>
      <c r="G59" s="37">
        <f t="shared" si="19"/>
        <v>7678.850130940601</v>
      </c>
      <c r="H59" s="37">
        <f t="shared" si="19"/>
        <v>7765.1879792901836</v>
      </c>
      <c r="I59" s="37">
        <f t="shared" si="19"/>
        <v>7816.6764778201832</v>
      </c>
      <c r="J59" s="37">
        <f t="shared" si="19"/>
        <v>7871.9628651942512</v>
      </c>
      <c r="K59" s="37">
        <f t="shared" si="19"/>
        <v>7928.9124110221846</v>
      </c>
      <c r="L59" s="37">
        <f t="shared" si="19"/>
        <v>7987.2807075716755</v>
      </c>
      <c r="M59" s="37">
        <f t="shared" si="19"/>
        <v>8046.5096294238319</v>
      </c>
      <c r="N59" s="37">
        <f t="shared" si="19"/>
        <v>8104.8363643811217</v>
      </c>
      <c r="O59" s="37">
        <f t="shared" si="19"/>
        <v>8160.6445148066377</v>
      </c>
      <c r="P59" s="37">
        <f t="shared" si="19"/>
        <v>8213.6155261714393</v>
      </c>
      <c r="Q59" s="37">
        <f t="shared" si="19"/>
        <v>8261.5514745393357</v>
      </c>
      <c r="R59" s="37">
        <f t="shared" si="19"/>
        <v>8303.9347347353651</v>
      </c>
      <c r="S59" s="37">
        <f t="shared" si="19"/>
        <v>8334.5799036971093</v>
      </c>
      <c r="T59" s="37">
        <f t="shared" si="19"/>
        <v>8357.7612175435133</v>
      </c>
      <c r="U59" s="37">
        <f t="shared" si="19"/>
        <v>8372.8818444071949</v>
      </c>
      <c r="V59" s="37">
        <f t="shared" si="19"/>
        <v>8378.2480465336066</v>
      </c>
      <c r="W59" s="37">
        <f t="shared" si="19"/>
        <v>8372.4184391427007</v>
      </c>
      <c r="X59" s="37">
        <f t="shared" si="19"/>
        <v>8356.1034141631226</v>
      </c>
      <c r="Y59" s="37">
        <f t="shared" si="19"/>
        <v>8333.4123012547479</v>
      </c>
      <c r="Z59" s="37">
        <f t="shared" si="19"/>
        <v>8300.9334809453176</v>
      </c>
      <c r="AA59" s="37">
        <f t="shared" si="19"/>
        <v>8257.6349349001612</v>
      </c>
      <c r="AB59" s="37">
        <f t="shared" si="19"/>
        <v>8203.9236298564774</v>
      </c>
    </row>
    <row r="60" spans="1:28" x14ac:dyDescent="0.25">
      <c r="A60" s="4" t="s">
        <v>217</v>
      </c>
      <c r="B60" s="37">
        <f t="shared" ref="B60:AB60" si="20">B40*B15*$F$6</f>
        <v>15164.87371252831</v>
      </c>
      <c r="C60" s="37">
        <f t="shared" si="20"/>
        <v>15337.734389310326</v>
      </c>
      <c r="D60" s="37">
        <f t="shared" si="20"/>
        <v>15490.4097807253</v>
      </c>
      <c r="E60" s="37">
        <f t="shared" si="20"/>
        <v>15643.921618168326</v>
      </c>
      <c r="F60" s="37">
        <f t="shared" si="20"/>
        <v>15801.451997902628</v>
      </c>
      <c r="G60" s="37">
        <f t="shared" si="20"/>
        <v>15963.016020904375</v>
      </c>
      <c r="H60" s="37">
        <f t="shared" si="20"/>
        <v>16129.148554287067</v>
      </c>
      <c r="I60" s="37">
        <f t="shared" si="20"/>
        <v>16214.834603439422</v>
      </c>
      <c r="J60" s="37">
        <f t="shared" si="20"/>
        <v>16300.097362655482</v>
      </c>
      <c r="K60" s="37">
        <f t="shared" si="20"/>
        <v>16382.038947290293</v>
      </c>
      <c r="L60" s="37">
        <f t="shared" si="20"/>
        <v>16459.840314151697</v>
      </c>
      <c r="M60" s="37">
        <f t="shared" si="20"/>
        <v>16532.933476272145</v>
      </c>
      <c r="N60" s="37">
        <f t="shared" si="20"/>
        <v>16598.429432828081</v>
      </c>
      <c r="O60" s="37">
        <f t="shared" si="20"/>
        <v>16654.858121561898</v>
      </c>
      <c r="P60" s="37">
        <f t="shared" si="20"/>
        <v>16700.297987459882</v>
      </c>
      <c r="Q60" s="37">
        <f t="shared" si="20"/>
        <v>16732.781916721407</v>
      </c>
      <c r="R60" s="37">
        <f t="shared" si="20"/>
        <v>16750.503415717758</v>
      </c>
      <c r="S60" s="37">
        <f t="shared" si="20"/>
        <v>16742.732040710263</v>
      </c>
      <c r="T60" s="37">
        <f t="shared" si="20"/>
        <v>16718.440083997113</v>
      </c>
      <c r="U60" s="37">
        <f t="shared" si="20"/>
        <v>16677.986474131078</v>
      </c>
      <c r="V60" s="37">
        <f t="shared" si="20"/>
        <v>16617.34332452618</v>
      </c>
      <c r="W60" s="37">
        <f t="shared" si="20"/>
        <v>16535.757299997094</v>
      </c>
      <c r="X60" s="37">
        <f t="shared" si="20"/>
        <v>16434.087527669126</v>
      </c>
      <c r="Y60" s="37">
        <f t="shared" si="20"/>
        <v>16321.141893032665</v>
      </c>
      <c r="Z60" s="37">
        <f t="shared" si="20"/>
        <v>16189.941355619219</v>
      </c>
      <c r="AA60" s="37">
        <f t="shared" si="20"/>
        <v>16039.9513410447</v>
      </c>
      <c r="AB60" s="37">
        <f t="shared" si="20"/>
        <v>15873.00902672331</v>
      </c>
    </row>
    <row r="61" spans="1:28" x14ac:dyDescent="0.25">
      <c r="A61" s="4" t="s">
        <v>218</v>
      </c>
      <c r="B61" s="37">
        <f t="shared" ref="B61:AB61" si="21">B41*B15*$F$7</f>
        <v>540.72422566160901</v>
      </c>
      <c r="C61" s="37">
        <f t="shared" si="21"/>
        <v>546.00240960038821</v>
      </c>
      <c r="D61" s="37">
        <f t="shared" si="21"/>
        <v>550.66037479894021</v>
      </c>
      <c r="E61" s="37">
        <f t="shared" si="21"/>
        <v>555.33456442101567</v>
      </c>
      <c r="F61" s="37">
        <f t="shared" si="21"/>
        <v>560.20631512594275</v>
      </c>
      <c r="G61" s="37">
        <f t="shared" si="21"/>
        <v>565.28902599169726</v>
      </c>
      <c r="H61" s="37">
        <f t="shared" si="21"/>
        <v>570.56742380949493</v>
      </c>
      <c r="I61" s="37">
        <f t="shared" si="21"/>
        <v>573.11718873265465</v>
      </c>
      <c r="J61" s="37">
        <f t="shared" si="21"/>
        <v>575.78234114096074</v>
      </c>
      <c r="K61" s="37">
        <f t="shared" si="21"/>
        <v>578.52240520450073</v>
      </c>
      <c r="L61" s="37">
        <f t="shared" si="21"/>
        <v>581.33513284989829</v>
      </c>
      <c r="M61" s="37">
        <f t="shared" si="21"/>
        <v>584.18794815830347</v>
      </c>
      <c r="N61" s="37">
        <f t="shared" si="21"/>
        <v>587.10612682902718</v>
      </c>
      <c r="O61" s="37">
        <f t="shared" si="21"/>
        <v>589.93938497452928</v>
      </c>
      <c r="P61" s="37">
        <f t="shared" si="21"/>
        <v>592.75285472066503</v>
      </c>
      <c r="Q61" s="37">
        <f t="shared" si="21"/>
        <v>595.42613212742083</v>
      </c>
      <c r="R61" s="37">
        <f t="shared" si="21"/>
        <v>597.9470624792591</v>
      </c>
      <c r="S61" s="37">
        <f t="shared" si="21"/>
        <v>599.97367922488149</v>
      </c>
      <c r="T61" s="37">
        <f t="shared" si="21"/>
        <v>601.73121381862029</v>
      </c>
      <c r="U61" s="37">
        <f t="shared" si="21"/>
        <v>603.23295239216952</v>
      </c>
      <c r="V61" s="37">
        <f t="shared" si="21"/>
        <v>604.41287688301713</v>
      </c>
      <c r="W61" s="37">
        <f t="shared" si="21"/>
        <v>605.16522628082953</v>
      </c>
      <c r="X61" s="37">
        <f t="shared" si="21"/>
        <v>605.45784886317949</v>
      </c>
      <c r="Y61" s="37">
        <f t="shared" si="21"/>
        <v>605.45136050467931</v>
      </c>
      <c r="Z61" s="37">
        <f t="shared" si="21"/>
        <v>604.98514549259505</v>
      </c>
      <c r="AA61" s="37">
        <f t="shared" si="21"/>
        <v>604.06329980416467</v>
      </c>
      <c r="AB61" s="37">
        <f t="shared" si="21"/>
        <v>602.63306263306004</v>
      </c>
    </row>
    <row r="62" spans="1:28" x14ac:dyDescent="0.25">
      <c r="A62" s="4" t="s">
        <v>219</v>
      </c>
      <c r="B62" s="37">
        <f t="shared" ref="B62:AB62" si="22">B42*B15*$F$8</f>
        <v>99.555395247212857</v>
      </c>
      <c r="C62" s="37">
        <f t="shared" si="22"/>
        <v>101.36490319829686</v>
      </c>
      <c r="D62" s="37">
        <f t="shared" si="22"/>
        <v>103.12335605825901</v>
      </c>
      <c r="E62" s="37">
        <f t="shared" si="22"/>
        <v>105.01999039249051</v>
      </c>
      <c r="F62" s="37">
        <f t="shared" si="22"/>
        <v>107.08360824591567</v>
      </c>
      <c r="G62" s="37">
        <f t="shared" si="22"/>
        <v>109.31024327871779</v>
      </c>
      <c r="H62" s="37">
        <f t="shared" si="22"/>
        <v>111.70547613531242</v>
      </c>
      <c r="I62" s="37">
        <f t="shared" si="22"/>
        <v>113.68412534020142</v>
      </c>
      <c r="J62" s="37">
        <f t="shared" si="22"/>
        <v>115.74099451893395</v>
      </c>
      <c r="K62" s="37">
        <f t="shared" si="22"/>
        <v>117.8503717034595</v>
      </c>
      <c r="L62" s="37">
        <f t="shared" si="22"/>
        <v>120.03995873337119</v>
      </c>
      <c r="M62" s="37">
        <f t="shared" si="22"/>
        <v>122.2838810156339</v>
      </c>
      <c r="N62" s="37">
        <f t="shared" si="22"/>
        <v>124.56464943024508</v>
      </c>
      <c r="O62" s="37">
        <f t="shared" si="22"/>
        <v>126.85890537884504</v>
      </c>
      <c r="P62" s="37">
        <f t="shared" si="22"/>
        <v>129.15426138044896</v>
      </c>
      <c r="Q62" s="37">
        <f t="shared" si="22"/>
        <v>131.42560310726518</v>
      </c>
      <c r="R62" s="37">
        <f t="shared" si="22"/>
        <v>133.66073342010307</v>
      </c>
      <c r="S62" s="37">
        <f t="shared" si="22"/>
        <v>135.75878121302591</v>
      </c>
      <c r="T62" s="37">
        <f t="shared" si="22"/>
        <v>137.79702729250641</v>
      </c>
      <c r="U62" s="37">
        <f t="shared" si="22"/>
        <v>139.74630063124144</v>
      </c>
      <c r="V62" s="37">
        <f t="shared" si="22"/>
        <v>141.61224696058599</v>
      </c>
      <c r="W62" s="37">
        <f t="shared" si="22"/>
        <v>143.38633567063673</v>
      </c>
      <c r="X62" s="37">
        <f t="shared" si="22"/>
        <v>145.08164373528788</v>
      </c>
      <c r="Y62" s="37">
        <f t="shared" si="22"/>
        <v>146.68936122530789</v>
      </c>
      <c r="Z62" s="37">
        <f t="shared" si="22"/>
        <v>148.21477746501355</v>
      </c>
      <c r="AA62" s="37">
        <f t="shared" si="22"/>
        <v>149.65693301566296</v>
      </c>
      <c r="AB62" s="37">
        <f t="shared" si="22"/>
        <v>151.0057547155333</v>
      </c>
    </row>
    <row r="63" spans="1:28" x14ac:dyDescent="0.25">
      <c r="A63" s="4" t="s">
        <v>220</v>
      </c>
      <c r="B63" s="37">
        <f t="shared" ref="B63:AB63" si="23">B43*B15*$F$9</f>
        <v>189.78350735014973</v>
      </c>
      <c r="C63" s="37">
        <f t="shared" si="23"/>
        <v>192.96243964096152</v>
      </c>
      <c r="D63" s="37">
        <f t="shared" si="23"/>
        <v>196.07602644597617</v>
      </c>
      <c r="E63" s="37">
        <f t="shared" si="23"/>
        <v>199.52912634932611</v>
      </c>
      <c r="F63" s="37">
        <f t="shared" si="23"/>
        <v>202.9893571947903</v>
      </c>
      <c r="G63" s="37">
        <f t="shared" si="23"/>
        <v>206.74540246324571</v>
      </c>
      <c r="H63" s="37">
        <f t="shared" si="23"/>
        <v>210.6070236755717</v>
      </c>
      <c r="I63" s="37">
        <f t="shared" si="23"/>
        <v>213.43532663691903</v>
      </c>
      <c r="J63" s="37">
        <f t="shared" si="23"/>
        <v>216.29310723481171</v>
      </c>
      <c r="K63" s="37">
        <f t="shared" si="23"/>
        <v>219.40915759714596</v>
      </c>
      <c r="L63" s="37">
        <f t="shared" si="23"/>
        <v>222.56652971228144</v>
      </c>
      <c r="M63" s="37">
        <f t="shared" si="23"/>
        <v>225.82993056066849</v>
      </c>
      <c r="N63" s="37">
        <f t="shared" si="23"/>
        <v>229.09664004437192</v>
      </c>
      <c r="O63" s="37">
        <f t="shared" si="23"/>
        <v>232.38273575700302</v>
      </c>
      <c r="P63" s="37">
        <f t="shared" si="23"/>
        <v>235.74632109840718</v>
      </c>
      <c r="Q63" s="37">
        <f t="shared" si="23"/>
        <v>239.15284253836865</v>
      </c>
      <c r="R63" s="37">
        <f t="shared" si="23"/>
        <v>242.55392351291013</v>
      </c>
      <c r="S63" s="37">
        <f t="shared" si="23"/>
        <v>245.7338988038459</v>
      </c>
      <c r="T63" s="37">
        <f t="shared" si="23"/>
        <v>248.89552348911198</v>
      </c>
      <c r="U63" s="37">
        <f t="shared" si="23"/>
        <v>251.97238638760496</v>
      </c>
      <c r="V63" s="37">
        <f t="shared" si="23"/>
        <v>254.89249188106092</v>
      </c>
      <c r="W63" s="37">
        <f t="shared" si="23"/>
        <v>257.81202432650213</v>
      </c>
      <c r="X63" s="37">
        <f t="shared" si="23"/>
        <v>260.60554980187072</v>
      </c>
      <c r="Y63" s="37">
        <f t="shared" si="23"/>
        <v>263.34747087683104</v>
      </c>
      <c r="Z63" s="37">
        <f t="shared" si="23"/>
        <v>265.93647011284497</v>
      </c>
      <c r="AA63" s="37">
        <f t="shared" si="23"/>
        <v>268.4129509456198</v>
      </c>
      <c r="AB63" s="37">
        <f t="shared" si="23"/>
        <v>270.81781340086036</v>
      </c>
    </row>
    <row r="64" spans="1:28" x14ac:dyDescent="0.25">
      <c r="A64" s="4" t="s">
        <v>221</v>
      </c>
      <c r="B64" s="37">
        <f t="shared" ref="B64:AB64" si="24">B44*B15*$F$10</f>
        <v>161.98841052024102</v>
      </c>
      <c r="C64" s="37">
        <f t="shared" si="24"/>
        <v>166.82100502610456</v>
      </c>
      <c r="D64" s="37">
        <f t="shared" si="24"/>
        <v>171.54096937118354</v>
      </c>
      <c r="E64" s="37">
        <f t="shared" si="24"/>
        <v>176.35211562267807</v>
      </c>
      <c r="F64" s="37">
        <f t="shared" si="24"/>
        <v>181.25561511568574</v>
      </c>
      <c r="G64" s="37">
        <f t="shared" si="24"/>
        <v>186.27272567286599</v>
      </c>
      <c r="H64" s="37">
        <f t="shared" si="24"/>
        <v>191.46299422059235</v>
      </c>
      <c r="I64" s="37">
        <f t="shared" si="24"/>
        <v>195.81956668627444</v>
      </c>
      <c r="J64" s="37">
        <f t="shared" si="24"/>
        <v>200.23775074811996</v>
      </c>
      <c r="K64" s="37">
        <f t="shared" si="24"/>
        <v>204.76007697646222</v>
      </c>
      <c r="L64" s="37">
        <f t="shared" si="24"/>
        <v>209.41670724079506</v>
      </c>
      <c r="M64" s="37">
        <f t="shared" si="24"/>
        <v>214.15164062815407</v>
      </c>
      <c r="N64" s="37">
        <f t="shared" si="24"/>
        <v>219.01624589161426</v>
      </c>
      <c r="O64" s="37">
        <f t="shared" si="24"/>
        <v>223.96914918789281</v>
      </c>
      <c r="P64" s="37">
        <f t="shared" si="24"/>
        <v>228.99633360424227</v>
      </c>
      <c r="Q64" s="37">
        <f t="shared" si="24"/>
        <v>234.10387642192396</v>
      </c>
      <c r="R64" s="37">
        <f t="shared" si="24"/>
        <v>239.2407976495852</v>
      </c>
      <c r="S64" s="37">
        <f t="shared" si="24"/>
        <v>244.26265670521454</v>
      </c>
      <c r="T64" s="37">
        <f t="shared" si="24"/>
        <v>249.29461970849701</v>
      </c>
      <c r="U64" s="37">
        <f t="shared" si="24"/>
        <v>254.31717017486577</v>
      </c>
      <c r="V64" s="37">
        <f t="shared" si="24"/>
        <v>259.29412507861701</v>
      </c>
      <c r="W64" s="37">
        <f t="shared" si="24"/>
        <v>264.18829075298544</v>
      </c>
      <c r="X64" s="37">
        <f t="shared" si="24"/>
        <v>269.03050614776998</v>
      </c>
      <c r="Y64" s="37">
        <f t="shared" si="24"/>
        <v>273.7653822618916</v>
      </c>
      <c r="Z64" s="37">
        <f t="shared" si="24"/>
        <v>278.38885495353873</v>
      </c>
      <c r="AA64" s="37">
        <f t="shared" si="24"/>
        <v>282.83862513834987</v>
      </c>
      <c r="AB64" s="37">
        <f t="shared" si="24"/>
        <v>287.10827700213486</v>
      </c>
    </row>
    <row r="65" spans="1:28" x14ac:dyDescent="0.25">
      <c r="A65" s="4" t="s">
        <v>222</v>
      </c>
      <c r="B65" s="37">
        <f t="shared" ref="B65:AB65" si="25">B45*B15*$F$11</f>
        <v>16843.359394105835</v>
      </c>
      <c r="C65" s="37">
        <f t="shared" si="25"/>
        <v>17009.759336912644</v>
      </c>
      <c r="D65" s="37">
        <f t="shared" si="25"/>
        <v>17154.206768781245</v>
      </c>
      <c r="E65" s="37">
        <f t="shared" si="25"/>
        <v>17300.490059244403</v>
      </c>
      <c r="F65" s="37">
        <f t="shared" si="25"/>
        <v>17451.980977546882</v>
      </c>
      <c r="G65" s="37">
        <f t="shared" si="25"/>
        <v>17609.159974566592</v>
      </c>
      <c r="H65" s="37">
        <f t="shared" si="25"/>
        <v>17771.51923988363</v>
      </c>
      <c r="I65" s="37">
        <f t="shared" si="25"/>
        <v>17845.681458215578</v>
      </c>
      <c r="J65" s="37">
        <f t="shared" si="25"/>
        <v>17919.988629132604</v>
      </c>
      <c r="K65" s="37">
        <f t="shared" si="25"/>
        <v>17991.310538081554</v>
      </c>
      <c r="L65" s="37">
        <f t="shared" si="25"/>
        <v>18058.263282673212</v>
      </c>
      <c r="M65" s="37">
        <f t="shared" si="25"/>
        <v>18120.643187147751</v>
      </c>
      <c r="N65" s="37">
        <f t="shared" si="25"/>
        <v>18174.841420653196</v>
      </c>
      <c r="O65" s="37">
        <f t="shared" si="25"/>
        <v>18219.031305341214</v>
      </c>
      <c r="P65" s="37">
        <f t="shared" si="25"/>
        <v>18251.770237328707</v>
      </c>
      <c r="Q65" s="37">
        <f t="shared" si="25"/>
        <v>18270.275456758536</v>
      </c>
      <c r="R65" s="37">
        <f t="shared" si="25"/>
        <v>18273.014166994904</v>
      </c>
      <c r="S65" s="37">
        <f t="shared" si="25"/>
        <v>18248.114616429146</v>
      </c>
      <c r="T65" s="37">
        <f t="shared" si="25"/>
        <v>18205.196937611399</v>
      </c>
      <c r="U65" s="37">
        <f t="shared" si="25"/>
        <v>18144.486433298407</v>
      </c>
      <c r="V65" s="37">
        <f t="shared" si="25"/>
        <v>18061.974354176309</v>
      </c>
      <c r="W65" s="37">
        <f t="shared" si="25"/>
        <v>17957.118532096752</v>
      </c>
      <c r="X65" s="37">
        <f t="shared" si="25"/>
        <v>17830.144790964485</v>
      </c>
      <c r="Y65" s="37">
        <f t="shared" si="25"/>
        <v>17691.052107954012</v>
      </c>
      <c r="Z65" s="37">
        <f t="shared" si="25"/>
        <v>17532.138770404363</v>
      </c>
      <c r="AA65" s="37">
        <f t="shared" si="25"/>
        <v>17353.591783890482</v>
      </c>
      <c r="AB65" s="37">
        <f t="shared" si="25"/>
        <v>17157.071588781331</v>
      </c>
    </row>
    <row r="67" spans="1:28" x14ac:dyDescent="0.25">
      <c r="A67" s="4" t="s">
        <v>328</v>
      </c>
    </row>
    <row r="68" spans="1:28" x14ac:dyDescent="0.25">
      <c r="A68" s="4" t="s">
        <v>329</v>
      </c>
      <c r="B68" s="40">
        <f t="shared" ref="B68:AB68" si="26">B48+B49</f>
        <v>88.924629128912912</v>
      </c>
      <c r="C68" s="40">
        <f t="shared" si="26"/>
        <v>87.871824584902541</v>
      </c>
      <c r="D68" s="40">
        <f t="shared" si="26"/>
        <v>86.738549720769043</v>
      </c>
      <c r="E68" s="40">
        <f t="shared" si="26"/>
        <v>85.622093182399283</v>
      </c>
      <c r="F68" s="40">
        <f t="shared" si="26"/>
        <v>84.5074008955756</v>
      </c>
      <c r="G68" s="40">
        <f t="shared" si="26"/>
        <v>83.404780190743864</v>
      </c>
      <c r="H68" s="40">
        <f t="shared" si="26"/>
        <v>82.3096210526638</v>
      </c>
      <c r="I68" s="40">
        <f t="shared" si="26"/>
        <v>80.812191382440346</v>
      </c>
      <c r="J68" s="40">
        <f t="shared" si="26"/>
        <v>79.327848138645379</v>
      </c>
      <c r="K68" s="40">
        <f t="shared" si="26"/>
        <v>77.849399981070178</v>
      </c>
      <c r="L68" s="40">
        <f t="shared" si="26"/>
        <v>76.381407141626227</v>
      </c>
      <c r="M68" s="40">
        <f t="shared" si="26"/>
        <v>74.919578763264013</v>
      </c>
      <c r="N68" s="40">
        <f t="shared" si="26"/>
        <v>73.473499698334592</v>
      </c>
      <c r="O68" s="40">
        <f t="shared" si="26"/>
        <v>72.023229724866923</v>
      </c>
      <c r="P68" s="40">
        <f t="shared" si="26"/>
        <v>70.570009034550651</v>
      </c>
      <c r="Q68" s="40">
        <f t="shared" si="26"/>
        <v>69.127072368835883</v>
      </c>
      <c r="R68" s="40">
        <f t="shared" si="26"/>
        <v>67.685220659230197</v>
      </c>
      <c r="S68" s="40">
        <f t="shared" si="26"/>
        <v>66.219394285506723</v>
      </c>
      <c r="T68" s="40">
        <f t="shared" si="26"/>
        <v>64.77283811761319</v>
      </c>
      <c r="U68" s="40">
        <f t="shared" si="26"/>
        <v>63.353383682422987</v>
      </c>
      <c r="V68" s="40">
        <f t="shared" si="26"/>
        <v>61.968363422769912</v>
      </c>
      <c r="W68" s="40">
        <f t="shared" si="26"/>
        <v>60.616148466051428</v>
      </c>
      <c r="X68" s="40">
        <f t="shared" si="26"/>
        <v>59.316992495372347</v>
      </c>
      <c r="Y68" s="40">
        <f t="shared" si="26"/>
        <v>58.0557845177674</v>
      </c>
      <c r="Z68" s="40">
        <f t="shared" si="26"/>
        <v>56.831164101761715</v>
      </c>
      <c r="AA68" s="40">
        <f t="shared" si="26"/>
        <v>55.641290060504247</v>
      </c>
      <c r="AB68" s="40">
        <f t="shared" si="26"/>
        <v>54.492850386657501</v>
      </c>
    </row>
    <row r="69" spans="1:28" x14ac:dyDescent="0.25">
      <c r="A69" s="4" t="s">
        <v>330</v>
      </c>
      <c r="B69" s="40">
        <f t="shared" ref="B69:AB69" si="27">B50+B51+B52+B53</f>
        <v>75.773970038928965</v>
      </c>
      <c r="C69" s="40">
        <f t="shared" si="27"/>
        <v>74.903630417804976</v>
      </c>
      <c r="D69" s="40">
        <f t="shared" si="27"/>
        <v>73.968309347723562</v>
      </c>
      <c r="E69" s="40">
        <f t="shared" si="27"/>
        <v>73.042043615878541</v>
      </c>
      <c r="F69" s="40">
        <f t="shared" si="27"/>
        <v>72.122468585752372</v>
      </c>
      <c r="G69" s="40">
        <f t="shared" si="27"/>
        <v>71.216087109892214</v>
      </c>
      <c r="H69" s="40">
        <f t="shared" si="27"/>
        <v>70.310334950586267</v>
      </c>
      <c r="I69" s="40">
        <f t="shared" si="27"/>
        <v>69.065577777333971</v>
      </c>
      <c r="J69" s="40">
        <f t="shared" si="27"/>
        <v>67.820655393284568</v>
      </c>
      <c r="K69" s="40">
        <f t="shared" si="27"/>
        <v>66.570432829506288</v>
      </c>
      <c r="L69" s="40">
        <f t="shared" si="27"/>
        <v>65.319668437954647</v>
      </c>
      <c r="M69" s="40">
        <f t="shared" si="27"/>
        <v>64.061127429720628</v>
      </c>
      <c r="N69" s="40">
        <f t="shared" si="27"/>
        <v>62.804040248705931</v>
      </c>
      <c r="O69" s="40">
        <f t="shared" si="27"/>
        <v>61.52495017603129</v>
      </c>
      <c r="P69" s="40">
        <f t="shared" si="27"/>
        <v>60.242906539043446</v>
      </c>
      <c r="Q69" s="40">
        <f t="shared" si="27"/>
        <v>58.956331792019768</v>
      </c>
      <c r="R69" s="40">
        <f t="shared" si="27"/>
        <v>57.666750319618181</v>
      </c>
      <c r="S69" s="40">
        <f t="shared" si="27"/>
        <v>56.351107120405665</v>
      </c>
      <c r="T69" s="40">
        <f t="shared" si="27"/>
        <v>55.053089194844382</v>
      </c>
      <c r="U69" s="40">
        <f t="shared" si="27"/>
        <v>53.782877726536711</v>
      </c>
      <c r="V69" s="40">
        <f t="shared" si="27"/>
        <v>52.539612204261793</v>
      </c>
      <c r="W69" s="40">
        <f t="shared" si="27"/>
        <v>51.332983059618854</v>
      </c>
      <c r="X69" s="40">
        <f t="shared" si="27"/>
        <v>50.174367584225649</v>
      </c>
      <c r="Y69" s="40">
        <f t="shared" si="27"/>
        <v>49.043228131231572</v>
      </c>
      <c r="Z69" s="40">
        <f t="shared" si="27"/>
        <v>47.95099127229183</v>
      </c>
      <c r="AA69" s="40">
        <f t="shared" si="27"/>
        <v>46.896529554899715</v>
      </c>
      <c r="AB69" s="40">
        <f t="shared" si="27"/>
        <v>45.879205343869749</v>
      </c>
    </row>
    <row r="70" spans="1:28" x14ac:dyDescent="0.25">
      <c r="A70" s="4" t="s">
        <v>331</v>
      </c>
      <c r="B70" s="40">
        <f t="shared" ref="B70:AB70" si="28">B54+B55</f>
        <v>85.756786326654748</v>
      </c>
      <c r="C70" s="40">
        <f t="shared" si="28"/>
        <v>84.50630777456125</v>
      </c>
      <c r="D70" s="40">
        <f t="shared" si="28"/>
        <v>83.168580032871603</v>
      </c>
      <c r="E70" s="40">
        <f t="shared" si="28"/>
        <v>81.843086480175387</v>
      </c>
      <c r="F70" s="40">
        <f t="shared" si="28"/>
        <v>80.500341031066867</v>
      </c>
      <c r="G70" s="40">
        <f t="shared" si="28"/>
        <v>79.192020582380337</v>
      </c>
      <c r="H70" s="40">
        <f t="shared" si="28"/>
        <v>77.895320252436619</v>
      </c>
      <c r="I70" s="40">
        <f t="shared" si="28"/>
        <v>76.224646424545995</v>
      </c>
      <c r="J70" s="40">
        <f t="shared" si="28"/>
        <v>74.577512119724076</v>
      </c>
      <c r="K70" s="40">
        <f t="shared" si="28"/>
        <v>72.944896089218005</v>
      </c>
      <c r="L70" s="40">
        <f t="shared" si="28"/>
        <v>71.337926676351856</v>
      </c>
      <c r="M70" s="40">
        <f t="shared" si="28"/>
        <v>69.750289441097735</v>
      </c>
      <c r="N70" s="40">
        <f t="shared" si="28"/>
        <v>68.193180201250925</v>
      </c>
      <c r="O70" s="40">
        <f t="shared" si="28"/>
        <v>66.642997472101186</v>
      </c>
      <c r="P70" s="40">
        <f t="shared" si="28"/>
        <v>65.114908400009313</v>
      </c>
      <c r="Q70" s="40">
        <f t="shared" si="28"/>
        <v>63.609937095812271</v>
      </c>
      <c r="R70" s="40">
        <f t="shared" si="28"/>
        <v>62.131157572925282</v>
      </c>
      <c r="S70" s="40">
        <f t="shared" si="28"/>
        <v>60.629478889144828</v>
      </c>
      <c r="T70" s="40">
        <f t="shared" si="28"/>
        <v>59.165468514784273</v>
      </c>
      <c r="U70" s="40">
        <f t="shared" si="28"/>
        <v>57.748413047317833</v>
      </c>
      <c r="V70" s="40">
        <f t="shared" si="28"/>
        <v>56.367868480109735</v>
      </c>
      <c r="W70" s="40">
        <f t="shared" si="28"/>
        <v>55.045915963157796</v>
      </c>
      <c r="X70" s="40">
        <f t="shared" si="28"/>
        <v>53.759395931509488</v>
      </c>
      <c r="Y70" s="40">
        <f t="shared" si="28"/>
        <v>52.519388677756922</v>
      </c>
      <c r="Z70" s="40">
        <f t="shared" si="28"/>
        <v>51.319445366719428</v>
      </c>
      <c r="AA70" s="40">
        <f t="shared" si="28"/>
        <v>50.153373303542388</v>
      </c>
      <c r="AB70" s="40">
        <f t="shared" si="28"/>
        <v>49.025323397102014</v>
      </c>
    </row>
    <row r="71" spans="1:28" x14ac:dyDescent="0.25">
      <c r="A71" s="4" t="s">
        <v>332</v>
      </c>
      <c r="B71" s="40">
        <f t="shared" ref="B71:AB71" si="29">B58+B59</f>
        <v>15208.742594890693</v>
      </c>
      <c r="C71" s="40">
        <f t="shared" si="29"/>
        <v>15385.355389565779</v>
      </c>
      <c r="D71" s="40">
        <f t="shared" si="29"/>
        <v>15542.939342334761</v>
      </c>
      <c r="E71" s="40">
        <f t="shared" si="29"/>
        <v>15702.74742906099</v>
      </c>
      <c r="F71" s="40">
        <f t="shared" si="29"/>
        <v>15867.560186755964</v>
      </c>
      <c r="G71" s="40">
        <f t="shared" si="29"/>
        <v>16037.945707865478</v>
      </c>
      <c r="H71" s="40">
        <f t="shared" si="29"/>
        <v>16213.959551261036</v>
      </c>
      <c r="I71" s="40">
        <f t="shared" si="29"/>
        <v>16310.404645883993</v>
      </c>
      <c r="J71" s="40">
        <f t="shared" si="29"/>
        <v>16407.418611860929</v>
      </c>
      <c r="K71" s="40">
        <f t="shared" si="29"/>
        <v>16502.779475706378</v>
      </c>
      <c r="L71" s="40">
        <f t="shared" si="29"/>
        <v>16595.587568306662</v>
      </c>
      <c r="M71" s="40">
        <f t="shared" si="29"/>
        <v>16685.224343782509</v>
      </c>
      <c r="N71" s="40">
        <f t="shared" si="29"/>
        <v>16769.137086698251</v>
      </c>
      <c r="O71" s="40">
        <f t="shared" si="29"/>
        <v>16845.493822115357</v>
      </c>
      <c r="P71" s="40">
        <f t="shared" si="29"/>
        <v>16912.98634154649</v>
      </c>
      <c r="Q71" s="40">
        <f t="shared" si="29"/>
        <v>16969.38445305224</v>
      </c>
      <c r="R71" s="40">
        <f t="shared" si="29"/>
        <v>17013.005988963712</v>
      </c>
      <c r="S71" s="40">
        <f t="shared" si="29"/>
        <v>17032.898983974883</v>
      </c>
      <c r="T71" s="40">
        <f t="shared" si="29"/>
        <v>17038.015203144874</v>
      </c>
      <c r="U71" s="40">
        <f t="shared" si="29"/>
        <v>17028.39099528364</v>
      </c>
      <c r="V71" s="40">
        <f t="shared" si="29"/>
        <v>17000.425338544126</v>
      </c>
      <c r="W71" s="40">
        <f t="shared" si="29"/>
        <v>16953.384868580433</v>
      </c>
      <c r="X71" s="40">
        <f t="shared" si="29"/>
        <v>16887.698812617753</v>
      </c>
      <c r="Y71" s="40">
        <f t="shared" si="29"/>
        <v>16811.161249753139</v>
      </c>
      <c r="Z71" s="40">
        <f t="shared" si="29"/>
        <v>16717.390678270327</v>
      </c>
      <c r="AA71" s="40">
        <f t="shared" si="29"/>
        <v>16606.048467348181</v>
      </c>
      <c r="AB71" s="40">
        <f t="shared" si="29"/>
        <v>16478.455606172749</v>
      </c>
    </row>
    <row r="72" spans="1:28" x14ac:dyDescent="0.25">
      <c r="A72" s="4" t="s">
        <v>333</v>
      </c>
      <c r="B72" s="40">
        <f t="shared" ref="B72:AB72" si="30">B60+B61+B62+B63</f>
        <v>15994.936840787281</v>
      </c>
      <c r="C72" s="40">
        <f t="shared" si="30"/>
        <v>16178.064141749974</v>
      </c>
      <c r="D72" s="40">
        <f t="shared" si="30"/>
        <v>16340.269538028477</v>
      </c>
      <c r="E72" s="40">
        <f t="shared" si="30"/>
        <v>16503.805299331158</v>
      </c>
      <c r="F72" s="40">
        <f t="shared" si="30"/>
        <v>16671.731278469277</v>
      </c>
      <c r="G72" s="40">
        <f t="shared" si="30"/>
        <v>16844.360692638034</v>
      </c>
      <c r="H72" s="40">
        <f t="shared" si="30"/>
        <v>17022.02847790745</v>
      </c>
      <c r="I72" s="40">
        <f t="shared" si="30"/>
        <v>17115.071244149196</v>
      </c>
      <c r="J72" s="40">
        <f t="shared" si="30"/>
        <v>17207.91380555019</v>
      </c>
      <c r="K72" s="40">
        <f t="shared" si="30"/>
        <v>17297.8208817954</v>
      </c>
      <c r="L72" s="40">
        <f t="shared" si="30"/>
        <v>17383.781935447249</v>
      </c>
      <c r="M72" s="40">
        <f t="shared" si="30"/>
        <v>17465.235236006749</v>
      </c>
      <c r="N72" s="40">
        <f t="shared" si="30"/>
        <v>17539.196849131728</v>
      </c>
      <c r="O72" s="40">
        <f t="shared" si="30"/>
        <v>17604.039147672276</v>
      </c>
      <c r="P72" s="40">
        <f t="shared" si="30"/>
        <v>17657.951424659401</v>
      </c>
      <c r="Q72" s="40">
        <f t="shared" si="30"/>
        <v>17698.786494494463</v>
      </c>
      <c r="R72" s="40">
        <f t="shared" si="30"/>
        <v>17724.665135130032</v>
      </c>
      <c r="S72" s="40">
        <f t="shared" si="30"/>
        <v>17724.198399952016</v>
      </c>
      <c r="T72" s="40">
        <f t="shared" si="30"/>
        <v>17706.86384859735</v>
      </c>
      <c r="U72" s="40">
        <f t="shared" si="30"/>
        <v>17672.938113542095</v>
      </c>
      <c r="V72" s="40">
        <f t="shared" si="30"/>
        <v>17618.260940250846</v>
      </c>
      <c r="W72" s="40">
        <f t="shared" si="30"/>
        <v>17542.120886275065</v>
      </c>
      <c r="X72" s="40">
        <f t="shared" si="30"/>
        <v>17445.232570069464</v>
      </c>
      <c r="Y72" s="40">
        <f t="shared" si="30"/>
        <v>17336.630085639481</v>
      </c>
      <c r="Z72" s="40">
        <f t="shared" si="30"/>
        <v>17209.077748689673</v>
      </c>
      <c r="AA72" s="40">
        <f t="shared" si="30"/>
        <v>17062.08452481015</v>
      </c>
      <c r="AB72" s="40">
        <f t="shared" si="30"/>
        <v>16897.465657472763</v>
      </c>
    </row>
    <row r="73" spans="1:28" x14ac:dyDescent="0.25">
      <c r="A73" s="4" t="s">
        <v>334</v>
      </c>
      <c r="B73" s="40">
        <f t="shared" ref="B73:AB73" si="31">B64+B65</f>
        <v>17005.347804626075</v>
      </c>
      <c r="C73" s="40">
        <f t="shared" si="31"/>
        <v>17176.580341938748</v>
      </c>
      <c r="D73" s="40">
        <f t="shared" si="31"/>
        <v>17325.74773815243</v>
      </c>
      <c r="E73" s="40">
        <f t="shared" si="31"/>
        <v>17476.842174867081</v>
      </c>
      <c r="F73" s="40">
        <f t="shared" si="31"/>
        <v>17633.236592662568</v>
      </c>
      <c r="G73" s="40">
        <f t="shared" si="31"/>
        <v>17795.432700239457</v>
      </c>
      <c r="H73" s="40">
        <f t="shared" si="31"/>
        <v>17962.982234104224</v>
      </c>
      <c r="I73" s="40">
        <f t="shared" si="31"/>
        <v>18041.501024901852</v>
      </c>
      <c r="J73" s="40">
        <f t="shared" si="31"/>
        <v>18120.226379880725</v>
      </c>
      <c r="K73" s="40">
        <f t="shared" si="31"/>
        <v>18196.070615058015</v>
      </c>
      <c r="L73" s="40">
        <f t="shared" si="31"/>
        <v>18267.679989914006</v>
      </c>
      <c r="M73" s="40">
        <f t="shared" si="31"/>
        <v>18334.794827775906</v>
      </c>
      <c r="N73" s="40">
        <f t="shared" si="31"/>
        <v>18393.857666544809</v>
      </c>
      <c r="O73" s="40">
        <f t="shared" si="31"/>
        <v>18443.000454529105</v>
      </c>
      <c r="P73" s="40">
        <f t="shared" si="31"/>
        <v>18480.766570932949</v>
      </c>
      <c r="Q73" s="40">
        <f t="shared" si="31"/>
        <v>18504.379333180459</v>
      </c>
      <c r="R73" s="40">
        <f t="shared" si="31"/>
        <v>18512.25496464449</v>
      </c>
      <c r="S73" s="40">
        <f t="shared" si="31"/>
        <v>18492.37727313436</v>
      </c>
      <c r="T73" s="40">
        <f t="shared" si="31"/>
        <v>18454.491557319896</v>
      </c>
      <c r="U73" s="40">
        <f t="shared" si="31"/>
        <v>18398.803603473272</v>
      </c>
      <c r="V73" s="40">
        <f t="shared" si="31"/>
        <v>18321.268479254926</v>
      </c>
      <c r="W73" s="40">
        <f t="shared" si="31"/>
        <v>18221.30682284974</v>
      </c>
      <c r="X73" s="40">
        <f t="shared" si="31"/>
        <v>18099.175297112255</v>
      </c>
      <c r="Y73" s="40">
        <f t="shared" si="31"/>
        <v>17964.817490215904</v>
      </c>
      <c r="Z73" s="40">
        <f t="shared" si="31"/>
        <v>17810.527625357903</v>
      </c>
      <c r="AA73" s="40">
        <f t="shared" si="31"/>
        <v>17636.430409028831</v>
      </c>
      <c r="AB73" s="40">
        <f t="shared" si="31"/>
        <v>17444.179865783466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49.789020526826285</v>
      </c>
      <c r="C2" s="37">
        <f>BDbDT_calcs!C48</f>
        <v>49.154202472594839</v>
      </c>
      <c r="D2" s="37">
        <f>BDbDT_calcs!D48</f>
        <v>48.472590105937215</v>
      </c>
      <c r="E2" s="37">
        <f>BDbDT_calcs!E48</f>
        <v>47.803831459255207</v>
      </c>
      <c r="F2" s="37">
        <f>BDbDT_calcs!F48</f>
        <v>47.137725037884188</v>
      </c>
      <c r="G2" s="37">
        <f>BDbDT_calcs!G48</f>
        <v>46.474326706969975</v>
      </c>
      <c r="H2" s="37">
        <f>BDbDT_calcs!H48</f>
        <v>45.813926471073316</v>
      </c>
      <c r="I2" s="37">
        <f>BDbDT_calcs!I48</f>
        <v>44.951031612286918</v>
      </c>
      <c r="J2" s="37">
        <f>BDbDT_calcs!J48</f>
        <v>44.072275547244523</v>
      </c>
      <c r="K2" s="37">
        <f>BDbDT_calcs!K48</f>
        <v>43.216378186278817</v>
      </c>
      <c r="L2" s="37">
        <f>BDbDT_calcs!L48</f>
        <v>42.348562284253205</v>
      </c>
      <c r="M2" s="37">
        <f>BDbDT_calcs!M48</f>
        <v>41.503320878900091</v>
      </c>
      <c r="N2" s="37">
        <f>BDbDT_calcs!N48</f>
        <v>40.684907452311805</v>
      </c>
      <c r="O2" s="37">
        <f>BDbDT_calcs!O48</f>
        <v>39.826087644086606</v>
      </c>
      <c r="P2" s="37">
        <f>BDbDT_calcs!P48</f>
        <v>38.998724946948805</v>
      </c>
      <c r="Q2" s="37">
        <f>BDbDT_calcs!Q48</f>
        <v>38.159921386691408</v>
      </c>
      <c r="R2" s="37">
        <f>BDbDT_calcs!R48</f>
        <v>37.333021445837332</v>
      </c>
      <c r="S2" s="37">
        <f>BDbDT_calcs!S48</f>
        <v>36.487365214692261</v>
      </c>
      <c r="T2" s="37">
        <f>BDbDT_calcs!T48</f>
        <v>35.65799899611266</v>
      </c>
      <c r="U2" s="37">
        <f>BDbDT_calcs!U48</f>
        <v>34.84420425356906</v>
      </c>
      <c r="V2" s="37">
        <f>BDbDT_calcs!V48</f>
        <v>34.045185546611179</v>
      </c>
      <c r="W2" s="37">
        <f>BDbDT_calcs!W48</f>
        <v>33.264532493306824</v>
      </c>
      <c r="X2" s="37">
        <f>BDbDT_calcs!X48</f>
        <v>32.531805371508142</v>
      </c>
      <c r="Y2" s="37">
        <f>BDbDT_calcs!Y48</f>
        <v>31.810963761804924</v>
      </c>
      <c r="Z2" s="37">
        <f>BDbDT_calcs!Z48</f>
        <v>31.122694198485089</v>
      </c>
      <c r="AA2" s="37">
        <f>BDbDT_calcs!AA48</f>
        <v>30.44886133861565</v>
      </c>
      <c r="AB2" s="37">
        <f>BDbDT_calcs!AB48</f>
        <v>29.784597688974745</v>
      </c>
    </row>
    <row r="3" spans="1:28" x14ac:dyDescent="0.25">
      <c r="A3" s="4" t="s">
        <v>216</v>
      </c>
      <c r="B3" s="37">
        <f>BDbDT_calcs!B49</f>
        <v>39.135608602086627</v>
      </c>
      <c r="C3" s="37">
        <f>BDbDT_calcs!C49</f>
        <v>38.717622112307701</v>
      </c>
      <c r="D3" s="37">
        <f>BDbDT_calcs!D49</f>
        <v>38.265959614831822</v>
      </c>
      <c r="E3" s="37">
        <f>BDbDT_calcs!E49</f>
        <v>37.818261723144069</v>
      </c>
      <c r="F3" s="37">
        <f>BDbDT_calcs!F49</f>
        <v>37.369675857691412</v>
      </c>
      <c r="G3" s="37">
        <f>BDbDT_calcs!G49</f>
        <v>36.930453483773888</v>
      </c>
      <c r="H3" s="37">
        <f>BDbDT_calcs!H49</f>
        <v>36.495694581590492</v>
      </c>
      <c r="I3" s="37">
        <f>BDbDT_calcs!I49</f>
        <v>35.861159770153421</v>
      </c>
      <c r="J3" s="37">
        <f>BDbDT_calcs!J49</f>
        <v>35.255572591400849</v>
      </c>
      <c r="K3" s="37">
        <f>BDbDT_calcs!K49</f>
        <v>34.633021794791361</v>
      </c>
      <c r="L3" s="37">
        <f>BDbDT_calcs!L49</f>
        <v>34.032844857373014</v>
      </c>
      <c r="M3" s="37">
        <f>BDbDT_calcs!M49</f>
        <v>33.416257884363922</v>
      </c>
      <c r="N3" s="37">
        <f>BDbDT_calcs!N49</f>
        <v>32.788592246022795</v>
      </c>
      <c r="O3" s="37">
        <f>BDbDT_calcs!O49</f>
        <v>32.197142080780317</v>
      </c>
      <c r="P3" s="37">
        <f>BDbDT_calcs!P49</f>
        <v>31.571284087601839</v>
      </c>
      <c r="Q3" s="37">
        <f>BDbDT_calcs!Q49</f>
        <v>30.967150982144478</v>
      </c>
      <c r="R3" s="37">
        <f>BDbDT_calcs!R49</f>
        <v>30.352199213392865</v>
      </c>
      <c r="S3" s="37">
        <f>BDbDT_calcs!S49</f>
        <v>29.73202907081447</v>
      </c>
      <c r="T3" s="37">
        <f>BDbDT_calcs!T49</f>
        <v>29.11483912150053</v>
      </c>
      <c r="U3" s="37">
        <f>BDbDT_calcs!U49</f>
        <v>28.509179428853926</v>
      </c>
      <c r="V3" s="37">
        <f>BDbDT_calcs!V49</f>
        <v>27.923177876158729</v>
      </c>
      <c r="W3" s="37">
        <f>BDbDT_calcs!W49</f>
        <v>27.3516159727446</v>
      </c>
      <c r="X3" s="37">
        <f>BDbDT_calcs!X49</f>
        <v>26.785187123864201</v>
      </c>
      <c r="Y3" s="37">
        <f>BDbDT_calcs!Y49</f>
        <v>26.244820755962476</v>
      </c>
      <c r="Z3" s="37">
        <f>BDbDT_calcs!Z49</f>
        <v>25.70846990327663</v>
      </c>
      <c r="AA3" s="37">
        <f>BDbDT_calcs!AA49</f>
        <v>25.1924287218886</v>
      </c>
      <c r="AB3" s="37">
        <f>BDbDT_calcs!AB49</f>
        <v>24.708252697682756</v>
      </c>
    </row>
    <row r="4" spans="1:28" x14ac:dyDescent="0.25">
      <c r="A4" s="4" t="s">
        <v>217</v>
      </c>
      <c r="B4" s="37">
        <f>BDbDT_calcs!B50</f>
        <v>63.772264493011313</v>
      </c>
      <c r="C4" s="37">
        <f>BDbDT_calcs!C50</f>
        <v>63.019470214768731</v>
      </c>
      <c r="D4" s="37">
        <f>BDbDT_calcs!D50</f>
        <v>62.219085056505335</v>
      </c>
      <c r="E4" s="37">
        <f>BDbDT_calcs!E50</f>
        <v>61.421573641976181</v>
      </c>
      <c r="F4" s="37">
        <f>BDbDT_calcs!F50</f>
        <v>60.633690932371401</v>
      </c>
      <c r="G4" s="37">
        <f>BDbDT_calcs!G50</f>
        <v>59.861702706832922</v>
      </c>
      <c r="H4" s="37">
        <f>BDbDT_calcs!H50</f>
        <v>59.08080989448959</v>
      </c>
      <c r="I4" s="37">
        <f>BDbDT_calcs!I50</f>
        <v>58.024267585052201</v>
      </c>
      <c r="J4" s="37">
        <f>BDbDT_calcs!J50</f>
        <v>56.960670374323932</v>
      </c>
      <c r="K4" s="37">
        <f>BDbDT_calcs!K50</f>
        <v>55.894517227364894</v>
      </c>
      <c r="L4" s="37">
        <f>BDbDT_calcs!L50</f>
        <v>54.820181288649486</v>
      </c>
      <c r="M4" s="37">
        <f>BDbDT_calcs!M50</f>
        <v>53.738143909656124</v>
      </c>
      <c r="N4" s="37">
        <f>BDbDT_calcs!N50</f>
        <v>52.648804164475976</v>
      </c>
      <c r="O4" s="37">
        <f>BDbDT_calcs!O50</f>
        <v>51.535095500072515</v>
      </c>
      <c r="P4" s="37">
        <f>BDbDT_calcs!P50</f>
        <v>50.420838040274205</v>
      </c>
      <c r="Q4" s="37">
        <f>BDbDT_calcs!Q50</f>
        <v>49.300313853686035</v>
      </c>
      <c r="R4" s="37">
        <f>BDbDT_calcs!R50</f>
        <v>48.173608387750278</v>
      </c>
      <c r="S4" s="37">
        <f>BDbDT_calcs!S50</f>
        <v>47.024792156991481</v>
      </c>
      <c r="T4" s="37">
        <f>BDbDT_calcs!T50</f>
        <v>45.898142978087776</v>
      </c>
      <c r="U4" s="37">
        <f>BDbDT_calcs!U50</f>
        <v>44.792703539859154</v>
      </c>
      <c r="V4" s="37">
        <f>BDbDT_calcs!V50</f>
        <v>43.712846353187743</v>
      </c>
      <c r="W4" s="37">
        <f>BDbDT_calcs!W50</f>
        <v>42.668097246565054</v>
      </c>
      <c r="X4" s="37">
        <f>BDbDT_calcs!X50</f>
        <v>41.662298310649788</v>
      </c>
      <c r="Y4" s="37">
        <f>BDbDT_calcs!Y50</f>
        <v>40.683562119877784</v>
      </c>
      <c r="Z4" s="37">
        <f>BDbDT_calcs!Z50</f>
        <v>39.735947890090031</v>
      </c>
      <c r="AA4" s="37">
        <f>BDbDT_calcs!AA50</f>
        <v>38.828534481098885</v>
      </c>
      <c r="AB4" s="37">
        <f>BDbDT_calcs!AB50</f>
        <v>37.94960406514793</v>
      </c>
    </row>
    <row r="5" spans="1:28" x14ac:dyDescent="0.25">
      <c r="A5" s="4" t="s">
        <v>218</v>
      </c>
      <c r="B5" s="37">
        <f>BDbDT_calcs!B51</f>
        <v>6.9940827056190473</v>
      </c>
      <c r="C5" s="37">
        <f>BDbDT_calcs!C51</f>
        <v>6.8636988458972308</v>
      </c>
      <c r="D5" s="37">
        <f>BDbDT_calcs!D51</f>
        <v>6.7294657735572274</v>
      </c>
      <c r="E5" s="37">
        <f>BDbDT_calcs!E51</f>
        <v>6.5945639807258809</v>
      </c>
      <c r="F5" s="37">
        <f>BDbDT_calcs!F51</f>
        <v>6.4590437619964876</v>
      </c>
      <c r="G5" s="37">
        <f>BDbDT_calcs!G51</f>
        <v>6.3258198546962126</v>
      </c>
      <c r="H5" s="37">
        <f>BDbDT_calcs!H51</f>
        <v>6.1905527468538919</v>
      </c>
      <c r="I5" s="37">
        <f>BDbDT_calcs!I51</f>
        <v>6.0280460111406109</v>
      </c>
      <c r="J5" s="37">
        <f>BDbDT_calcs!J51</f>
        <v>5.8690844020859529</v>
      </c>
      <c r="K5" s="37">
        <f>BDbDT_calcs!K51</f>
        <v>5.713373207786459</v>
      </c>
      <c r="L5" s="37">
        <f>BDbDT_calcs!L51</f>
        <v>5.5636118955756322</v>
      </c>
      <c r="M5" s="37">
        <f>BDbDT_calcs!M51</f>
        <v>5.4210141480416469</v>
      </c>
      <c r="N5" s="37">
        <f>BDbDT_calcs!N51</f>
        <v>5.2813104153565353</v>
      </c>
      <c r="O5" s="37">
        <f>BDbDT_calcs!O51</f>
        <v>5.1484602844560969</v>
      </c>
      <c r="P5" s="37">
        <f>BDbDT_calcs!P51</f>
        <v>5.0182782576049698</v>
      </c>
      <c r="Q5" s="37">
        <f>BDbDT_calcs!Q51</f>
        <v>4.8933178176052232</v>
      </c>
      <c r="R5" s="37">
        <f>BDbDT_calcs!R51</f>
        <v>4.7721140306938983</v>
      </c>
      <c r="S5" s="37">
        <f>BDbDT_calcs!S51</f>
        <v>4.6505682020880537</v>
      </c>
      <c r="T5" s="37">
        <f>BDbDT_calcs!T51</f>
        <v>4.5326513854340975</v>
      </c>
      <c r="U5" s="37">
        <f>BDbDT_calcs!U51</f>
        <v>4.4169604649057277</v>
      </c>
      <c r="V5" s="37">
        <f>BDbDT_calcs!V51</f>
        <v>4.3058959873871547</v>
      </c>
      <c r="W5" s="37">
        <f>BDbDT_calcs!W51</f>
        <v>4.1955519846752329</v>
      </c>
      <c r="X5" s="37">
        <f>BDbDT_calcs!X51</f>
        <v>4.0895522981047154</v>
      </c>
      <c r="Y5" s="37">
        <f>BDbDT_calcs!Y51</f>
        <v>3.9889683309602075</v>
      </c>
      <c r="Z5" s="37">
        <f>BDbDT_calcs!Z51</f>
        <v>3.889990371819906</v>
      </c>
      <c r="AA5" s="37">
        <f>BDbDT_calcs!AA51</f>
        <v>3.7949270193266469</v>
      </c>
      <c r="AB5" s="37">
        <f>BDbDT_calcs!AB51</f>
        <v>3.701270527140768</v>
      </c>
    </row>
    <row r="6" spans="1:28" x14ac:dyDescent="0.25">
      <c r="A6" s="4" t="s">
        <v>219</v>
      </c>
      <c r="B6" s="37">
        <f>BDbDT_calcs!B52</f>
        <v>0.70344755818773674</v>
      </c>
      <c r="C6" s="37">
        <f>BDbDT_calcs!C52</f>
        <v>0.70219589457616538</v>
      </c>
      <c r="D6" s="37">
        <f>BDbDT_calcs!D52</f>
        <v>0.70026120163622974</v>
      </c>
      <c r="E6" s="37">
        <f>BDbDT_calcs!E52</f>
        <v>0.69921810437054621</v>
      </c>
      <c r="F6" s="37">
        <f>BDbDT_calcs!F52</f>
        <v>0.69826033039598323</v>
      </c>
      <c r="G6" s="37">
        <f>BDbDT_calcs!G52</f>
        <v>0.69739072002375546</v>
      </c>
      <c r="H6" s="37">
        <f>BDbDT_calcs!H52</f>
        <v>0.69661590211013857</v>
      </c>
      <c r="I6" s="37">
        <f>BDbDT_calcs!I52</f>
        <v>0.69238197994190187</v>
      </c>
      <c r="J6" s="37">
        <f>BDbDT_calcs!J52</f>
        <v>0.68825399848080659</v>
      </c>
      <c r="K6" s="37">
        <f>BDbDT_calcs!K52</f>
        <v>0.68573660412046844</v>
      </c>
      <c r="L6" s="37">
        <f>BDbDT_calcs!L52</f>
        <v>0.68175717062062258</v>
      </c>
      <c r="M6" s="37">
        <f>BDbDT_calcs!M52</f>
        <v>0.67786102033669615</v>
      </c>
      <c r="N6" s="37">
        <f>BDbDT_calcs!N52</f>
        <v>0.67404792320752449</v>
      </c>
      <c r="O6" s="37">
        <f>BDbDT_calcs!O52</f>
        <v>0.67031767789755892</v>
      </c>
      <c r="P6" s="37">
        <f>BDbDT_calcs!P52</f>
        <v>0.66594223181682777</v>
      </c>
      <c r="Q6" s="37">
        <f>BDbDT_calcs!Q52</f>
        <v>0.66238025900309494</v>
      </c>
      <c r="R6" s="37">
        <f>BDbDT_calcs!R52</f>
        <v>0.65746827615029446</v>
      </c>
      <c r="S6" s="37">
        <f>BDbDT_calcs!S52</f>
        <v>0.65298511076817334</v>
      </c>
      <c r="T6" s="37">
        <f>BDbDT_calcs!T52</f>
        <v>0.64928048181058451</v>
      </c>
      <c r="U6" s="37">
        <f>BDbDT_calcs!U52</f>
        <v>0.64425047234253607</v>
      </c>
      <c r="V6" s="37">
        <f>BDbDT_calcs!V52</f>
        <v>0.63998257453240814</v>
      </c>
      <c r="W6" s="37">
        <f>BDbDT_calcs!W52</f>
        <v>0.63576780925681231</v>
      </c>
      <c r="X6" s="37">
        <f>BDbDT_calcs!X52</f>
        <v>0.63092413750873144</v>
      </c>
      <c r="Y6" s="37">
        <f>BDbDT_calcs!Y52</f>
        <v>0.62746053713633654</v>
      </c>
      <c r="Z6" s="37">
        <f>BDbDT_calcs!Z52</f>
        <v>0.62269302454725151</v>
      </c>
      <c r="AA6" s="37">
        <f>BDbDT_calcs!AA52</f>
        <v>0.61795598581103939</v>
      </c>
      <c r="AB6" s="37">
        <f>BDbDT_calcs!AB52</f>
        <v>0.61324036401739568</v>
      </c>
    </row>
    <row r="7" spans="1:28" x14ac:dyDescent="0.25">
      <c r="A7" s="4" t="s">
        <v>220</v>
      </c>
      <c r="B7" s="37">
        <f>BDbDT_calcs!B53</f>
        <v>4.3041752821108767</v>
      </c>
      <c r="C7" s="37">
        <f>BDbDT_calcs!C53</f>
        <v>4.3182654625628469</v>
      </c>
      <c r="D7" s="37">
        <f>BDbDT_calcs!D53</f>
        <v>4.319497316024778</v>
      </c>
      <c r="E7" s="37">
        <f>BDbDT_calcs!E53</f>
        <v>4.3266878888059344</v>
      </c>
      <c r="F7" s="37">
        <f>BDbDT_calcs!F53</f>
        <v>4.3314735609884982</v>
      </c>
      <c r="G7" s="37">
        <f>BDbDT_calcs!G53</f>
        <v>4.3311738283393115</v>
      </c>
      <c r="H7" s="37">
        <f>BDbDT_calcs!H53</f>
        <v>4.3423564071326384</v>
      </c>
      <c r="I7" s="37">
        <f>BDbDT_calcs!I53</f>
        <v>4.3208822011992565</v>
      </c>
      <c r="J7" s="37">
        <f>BDbDT_calcs!J53</f>
        <v>4.3026466183938723</v>
      </c>
      <c r="K7" s="37">
        <f>BDbDT_calcs!K53</f>
        <v>4.2768057902344561</v>
      </c>
      <c r="L7" s="37">
        <f>BDbDT_calcs!L53</f>
        <v>4.2541180831089127</v>
      </c>
      <c r="M7" s="37">
        <f>BDbDT_calcs!M53</f>
        <v>4.2241083516861542</v>
      </c>
      <c r="N7" s="37">
        <f>BDbDT_calcs!N53</f>
        <v>4.1998777456658951</v>
      </c>
      <c r="O7" s="37">
        <f>BDbDT_calcs!O53</f>
        <v>4.1710767136051183</v>
      </c>
      <c r="P7" s="37">
        <f>BDbDT_calcs!P53</f>
        <v>4.1378480093474437</v>
      </c>
      <c r="Q7" s="37">
        <f>BDbDT_calcs!Q53</f>
        <v>4.1003198617254153</v>
      </c>
      <c r="R7" s="37">
        <f>BDbDT_calcs!R53</f>
        <v>4.0635596250237063</v>
      </c>
      <c r="S7" s="37">
        <f>BDbDT_calcs!S53</f>
        <v>4.0227616505579586</v>
      </c>
      <c r="T7" s="37">
        <f>BDbDT_calcs!T53</f>
        <v>3.9730143495119177</v>
      </c>
      <c r="U7" s="37">
        <f>BDbDT_calcs!U53</f>
        <v>3.9289632494292959</v>
      </c>
      <c r="V7" s="37">
        <f>BDbDT_calcs!V53</f>
        <v>3.8808872891544897</v>
      </c>
      <c r="W7" s="37">
        <f>BDbDT_calcs!W53</f>
        <v>3.8335660191217564</v>
      </c>
      <c r="X7" s="37">
        <f>BDbDT_calcs!X53</f>
        <v>3.7915928379624173</v>
      </c>
      <c r="Y7" s="37">
        <f>BDbDT_calcs!Y53</f>
        <v>3.7432371432572489</v>
      </c>
      <c r="Z7" s="37">
        <f>BDbDT_calcs!Z53</f>
        <v>3.7023599858346388</v>
      </c>
      <c r="AA7" s="37">
        <f>BDbDT_calcs!AA53</f>
        <v>3.6551120686631426</v>
      </c>
      <c r="AB7" s="37">
        <f>BDbDT_calcs!AB53</f>
        <v>3.6150903875636544</v>
      </c>
    </row>
    <row r="8" spans="1:28" x14ac:dyDescent="0.25">
      <c r="A8" s="4" t="s">
        <v>221</v>
      </c>
      <c r="B8" s="37">
        <f>BDbDT_calcs!B54</f>
        <v>2.4878942972859597</v>
      </c>
      <c r="C8" s="37">
        <f>BDbDT_calcs!C54</f>
        <v>2.4851535341980591</v>
      </c>
      <c r="D8" s="37">
        <f>BDbDT_calcs!D54</f>
        <v>2.4812568125560803</v>
      </c>
      <c r="E8" s="37">
        <f>BDbDT_calcs!E54</f>
        <v>2.4782750194327856</v>
      </c>
      <c r="F8" s="37">
        <f>BDbDT_calcs!F54</f>
        <v>2.4774850480910069</v>
      </c>
      <c r="G8" s="37">
        <f>BDbDT_calcs!G54</f>
        <v>2.4744614201099964</v>
      </c>
      <c r="H8" s="37">
        <f>BDbDT_calcs!H54</f>
        <v>2.4711479779745926</v>
      </c>
      <c r="I8" s="37">
        <f>BDbDT_calcs!I54</f>
        <v>2.4549541160847039</v>
      </c>
      <c r="J8" s="37">
        <f>BDbDT_calcs!J54</f>
        <v>2.4379357681550498</v>
      </c>
      <c r="K8" s="37">
        <f>BDbDT_calcs!K54</f>
        <v>2.4200438876862189</v>
      </c>
      <c r="L8" s="37">
        <f>BDbDT_calcs!L54</f>
        <v>2.4007174557793567</v>
      </c>
      <c r="M8" s="37">
        <f>BDbDT_calcs!M54</f>
        <v>2.3800103029851112</v>
      </c>
      <c r="N8" s="37">
        <f>BDbDT_calcs!N54</f>
        <v>2.357971741813329</v>
      </c>
      <c r="O8" s="37">
        <f>BDbDT_calcs!O54</f>
        <v>2.334649018916068</v>
      </c>
      <c r="P8" s="37">
        <f>BDbDT_calcs!P54</f>
        <v>2.3083552501579128</v>
      </c>
      <c r="Q8" s="37">
        <f>BDbDT_calcs!Q54</f>
        <v>2.2808886037919143</v>
      </c>
      <c r="R8" s="37">
        <f>BDbDT_calcs!R54</f>
        <v>2.25058334836136</v>
      </c>
      <c r="S8" s="37">
        <f>BDbDT_calcs!S54</f>
        <v>2.2195927535969151</v>
      </c>
      <c r="T8" s="37">
        <f>BDbDT_calcs!T54</f>
        <v>2.1869698836452489</v>
      </c>
      <c r="U8" s="37">
        <f>BDbDT_calcs!U54</f>
        <v>2.1527475607921489</v>
      </c>
      <c r="V8" s="37">
        <f>BDbDT_calcs!V54</f>
        <v>2.1191234906587049</v>
      </c>
      <c r="W8" s="37">
        <f>BDbDT_calcs!W54</f>
        <v>2.0833655721537774</v>
      </c>
      <c r="X8" s="37">
        <f>BDbDT_calcs!X54</f>
        <v>2.0508378418379998</v>
      </c>
      <c r="Y8" s="37">
        <f>BDbDT_calcs!Y54</f>
        <v>2.0182675255437124</v>
      </c>
      <c r="Z8" s="37">
        <f>BDbDT_calcs!Z54</f>
        <v>1.9861559572107543</v>
      </c>
      <c r="AA8" s="37">
        <f>BDbDT_calcs!AA54</f>
        <v>1.9549853115489104</v>
      </c>
      <c r="AB8" s="37">
        <f>BDbDT_calcs!AB54</f>
        <v>1.9252198842926653</v>
      </c>
    </row>
    <row r="9" spans="1:28" x14ac:dyDescent="0.25">
      <c r="A9" s="4" t="s">
        <v>222</v>
      </c>
      <c r="B9" s="37">
        <f>BDbDT_calcs!B55</f>
        <v>83.268892029368786</v>
      </c>
      <c r="C9" s="37">
        <f>BDbDT_calcs!C55</f>
        <v>82.021154240363188</v>
      </c>
      <c r="D9" s="37">
        <f>BDbDT_calcs!D55</f>
        <v>80.68732322031552</v>
      </c>
      <c r="E9" s="37">
        <f>BDbDT_calcs!E55</f>
        <v>79.364811460742601</v>
      </c>
      <c r="F9" s="37">
        <f>BDbDT_calcs!F55</f>
        <v>78.022855982975855</v>
      </c>
      <c r="G9" s="37">
        <f>BDbDT_calcs!G55</f>
        <v>76.717559162270348</v>
      </c>
      <c r="H9" s="37">
        <f>BDbDT_calcs!H55</f>
        <v>75.424172274462023</v>
      </c>
      <c r="I9" s="37">
        <f>BDbDT_calcs!I55</f>
        <v>73.769692308461288</v>
      </c>
      <c r="J9" s="37">
        <f>BDbDT_calcs!J55</f>
        <v>72.139576351569033</v>
      </c>
      <c r="K9" s="37">
        <f>BDbDT_calcs!K55</f>
        <v>70.524852201531786</v>
      </c>
      <c r="L9" s="37">
        <f>BDbDT_calcs!L55</f>
        <v>68.937209220572498</v>
      </c>
      <c r="M9" s="37">
        <f>BDbDT_calcs!M55</f>
        <v>67.370279138112622</v>
      </c>
      <c r="N9" s="37">
        <f>BDbDT_calcs!N55</f>
        <v>65.835208459437595</v>
      </c>
      <c r="O9" s="37">
        <f>BDbDT_calcs!O55</f>
        <v>64.308348453185118</v>
      </c>
      <c r="P9" s="37">
        <f>BDbDT_calcs!P55</f>
        <v>62.806553149851403</v>
      </c>
      <c r="Q9" s="37">
        <f>BDbDT_calcs!Q55</f>
        <v>61.329048492020355</v>
      </c>
      <c r="R9" s="37">
        <f>BDbDT_calcs!R55</f>
        <v>59.880574224563922</v>
      </c>
      <c r="S9" s="37">
        <f>BDbDT_calcs!S55</f>
        <v>58.409886135547914</v>
      </c>
      <c r="T9" s="37">
        <f>BDbDT_calcs!T55</f>
        <v>56.978498631139026</v>
      </c>
      <c r="U9" s="37">
        <f>BDbDT_calcs!U55</f>
        <v>55.595665486525682</v>
      </c>
      <c r="V9" s="37">
        <f>BDbDT_calcs!V55</f>
        <v>54.248744989451033</v>
      </c>
      <c r="W9" s="37">
        <f>BDbDT_calcs!W55</f>
        <v>52.962550391004015</v>
      </c>
      <c r="X9" s="37">
        <f>BDbDT_calcs!X55</f>
        <v>51.708558089671492</v>
      </c>
      <c r="Y9" s="37">
        <f>BDbDT_calcs!Y55</f>
        <v>50.501121152213209</v>
      </c>
      <c r="Z9" s="37">
        <f>BDbDT_calcs!Z55</f>
        <v>49.333289409508673</v>
      </c>
      <c r="AA9" s="37">
        <f>BDbDT_calcs!AA55</f>
        <v>48.198387991993478</v>
      </c>
      <c r="AB9" s="37">
        <f>BDbDT_calcs!AB55</f>
        <v>47.100103512809348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7895.2340149785232</v>
      </c>
      <c r="C2" s="37">
        <f>BDbDT_calcs!C58</f>
        <v>7996.8782543211764</v>
      </c>
      <c r="D2" s="37">
        <f>BDbDT_calcs!D58</f>
        <v>8088.2437067802839</v>
      </c>
      <c r="E2" s="37">
        <f>BDbDT_calcs!E58</f>
        <v>8178.6710241730761</v>
      </c>
      <c r="F2" s="37">
        <f>BDbDT_calcs!F58</f>
        <v>8268.8726485662537</v>
      </c>
      <c r="G2" s="37">
        <f>BDbDT_calcs!G58</f>
        <v>8359.0955769248776</v>
      </c>
      <c r="H2" s="37">
        <f>BDbDT_calcs!H58</f>
        <v>8448.7715719708522</v>
      </c>
      <c r="I2" s="37">
        <f>BDbDT_calcs!I58</f>
        <v>8493.7281680638098</v>
      </c>
      <c r="J2" s="37">
        <f>BDbDT_calcs!J58</f>
        <v>8535.4557466666774</v>
      </c>
      <c r="K2" s="37">
        <f>BDbDT_calcs!K58</f>
        <v>8573.8670646841929</v>
      </c>
      <c r="L2" s="37">
        <f>BDbDT_calcs!L58</f>
        <v>8608.3068607349869</v>
      </c>
      <c r="M2" s="37">
        <f>BDbDT_calcs!M58</f>
        <v>8638.7147143586772</v>
      </c>
      <c r="N2" s="37">
        <f>BDbDT_calcs!N58</f>
        <v>8664.300722317128</v>
      </c>
      <c r="O2" s="37">
        <f>BDbDT_calcs!O58</f>
        <v>8684.8493073087211</v>
      </c>
      <c r="P2" s="37">
        <f>BDbDT_calcs!P58</f>
        <v>8699.3708153750504</v>
      </c>
      <c r="Q2" s="37">
        <f>BDbDT_calcs!Q58</f>
        <v>8707.8329785129063</v>
      </c>
      <c r="R2" s="37">
        <f>BDbDT_calcs!R58</f>
        <v>8709.0712542283472</v>
      </c>
      <c r="S2" s="37">
        <f>BDbDT_calcs!S58</f>
        <v>8698.3190802777717</v>
      </c>
      <c r="T2" s="37">
        <f>BDbDT_calcs!T58</f>
        <v>8680.2539856013609</v>
      </c>
      <c r="U2" s="37">
        <f>BDbDT_calcs!U58</f>
        <v>8655.5091508764472</v>
      </c>
      <c r="V2" s="37">
        <f>BDbDT_calcs!V58</f>
        <v>8622.1772920105177</v>
      </c>
      <c r="W2" s="37">
        <f>BDbDT_calcs!W58</f>
        <v>8580.9664294377308</v>
      </c>
      <c r="X2" s="37">
        <f>BDbDT_calcs!X58</f>
        <v>8531.5953984546322</v>
      </c>
      <c r="Y2" s="37">
        <f>BDbDT_calcs!Y58</f>
        <v>8477.7489484983889</v>
      </c>
      <c r="Z2" s="37">
        <f>BDbDT_calcs!Z58</f>
        <v>8416.4571973250113</v>
      </c>
      <c r="AA2" s="37">
        <f>BDbDT_calcs!AA58</f>
        <v>8348.4135324480194</v>
      </c>
      <c r="AB2" s="37">
        <f>BDbDT_calcs!AB58</f>
        <v>8274.5319763162697</v>
      </c>
    </row>
    <row r="3" spans="1:28" x14ac:dyDescent="0.25">
      <c r="A3" s="4" t="s">
        <v>216</v>
      </c>
      <c r="B3" s="37">
        <f>BDbDT_calcs!B59</f>
        <v>7313.5085799121689</v>
      </c>
      <c r="C3" s="37">
        <f>BDbDT_calcs!C59</f>
        <v>7388.4771352446032</v>
      </c>
      <c r="D3" s="37">
        <f>BDbDT_calcs!D59</f>
        <v>7454.695635554478</v>
      </c>
      <c r="E3" s="37">
        <f>BDbDT_calcs!E59</f>
        <v>7524.0764048879137</v>
      </c>
      <c r="F3" s="37">
        <f>BDbDT_calcs!F59</f>
        <v>7598.6875381897089</v>
      </c>
      <c r="G3" s="37">
        <f>BDbDT_calcs!G59</f>
        <v>7678.850130940601</v>
      </c>
      <c r="H3" s="37">
        <f>BDbDT_calcs!H59</f>
        <v>7765.1879792901836</v>
      </c>
      <c r="I3" s="37">
        <f>BDbDT_calcs!I59</f>
        <v>7816.6764778201832</v>
      </c>
      <c r="J3" s="37">
        <f>BDbDT_calcs!J59</f>
        <v>7871.9628651942512</v>
      </c>
      <c r="K3" s="37">
        <f>BDbDT_calcs!K59</f>
        <v>7928.9124110221846</v>
      </c>
      <c r="L3" s="37">
        <f>BDbDT_calcs!L59</f>
        <v>7987.2807075716755</v>
      </c>
      <c r="M3" s="37">
        <f>BDbDT_calcs!M59</f>
        <v>8046.5096294238319</v>
      </c>
      <c r="N3" s="37">
        <f>BDbDT_calcs!N59</f>
        <v>8104.8363643811217</v>
      </c>
      <c r="O3" s="37">
        <f>BDbDT_calcs!O59</f>
        <v>8160.6445148066377</v>
      </c>
      <c r="P3" s="37">
        <f>BDbDT_calcs!P59</f>
        <v>8213.6155261714393</v>
      </c>
      <c r="Q3" s="37">
        <f>BDbDT_calcs!Q59</f>
        <v>8261.5514745393357</v>
      </c>
      <c r="R3" s="37">
        <f>BDbDT_calcs!R59</f>
        <v>8303.9347347353651</v>
      </c>
      <c r="S3" s="37">
        <f>BDbDT_calcs!S59</f>
        <v>8334.5799036971093</v>
      </c>
      <c r="T3" s="37">
        <f>BDbDT_calcs!T59</f>
        <v>8357.7612175435133</v>
      </c>
      <c r="U3" s="37">
        <f>BDbDT_calcs!U59</f>
        <v>8372.8818444071949</v>
      </c>
      <c r="V3" s="37">
        <f>BDbDT_calcs!V59</f>
        <v>8378.2480465336066</v>
      </c>
      <c r="W3" s="37">
        <f>BDbDT_calcs!W59</f>
        <v>8372.4184391427007</v>
      </c>
      <c r="X3" s="37">
        <f>BDbDT_calcs!X59</f>
        <v>8356.1034141631226</v>
      </c>
      <c r="Y3" s="37">
        <f>BDbDT_calcs!Y59</f>
        <v>8333.4123012547479</v>
      </c>
      <c r="Z3" s="37">
        <f>BDbDT_calcs!Z59</f>
        <v>8300.9334809453176</v>
      </c>
      <c r="AA3" s="37">
        <f>BDbDT_calcs!AA59</f>
        <v>8257.6349349001612</v>
      </c>
      <c r="AB3" s="37">
        <f>BDbDT_calcs!AB59</f>
        <v>8203.9236298564774</v>
      </c>
    </row>
    <row r="4" spans="1:28" x14ac:dyDescent="0.25">
      <c r="A4" s="4" t="s">
        <v>217</v>
      </c>
      <c r="B4" s="37">
        <f>BDbDT_calcs!B60</f>
        <v>15164.87371252831</v>
      </c>
      <c r="C4" s="37">
        <f>BDbDT_calcs!C60</f>
        <v>15337.734389310326</v>
      </c>
      <c r="D4" s="37">
        <f>BDbDT_calcs!D60</f>
        <v>15490.4097807253</v>
      </c>
      <c r="E4" s="37">
        <f>BDbDT_calcs!E60</f>
        <v>15643.921618168326</v>
      </c>
      <c r="F4" s="37">
        <f>BDbDT_calcs!F60</f>
        <v>15801.451997902628</v>
      </c>
      <c r="G4" s="37">
        <f>BDbDT_calcs!G60</f>
        <v>15963.016020904375</v>
      </c>
      <c r="H4" s="37">
        <f>BDbDT_calcs!H60</f>
        <v>16129.148554287067</v>
      </c>
      <c r="I4" s="37">
        <f>BDbDT_calcs!I60</f>
        <v>16214.834603439422</v>
      </c>
      <c r="J4" s="37">
        <f>BDbDT_calcs!J60</f>
        <v>16300.097362655482</v>
      </c>
      <c r="K4" s="37">
        <f>BDbDT_calcs!K60</f>
        <v>16382.038947290293</v>
      </c>
      <c r="L4" s="37">
        <f>BDbDT_calcs!L60</f>
        <v>16459.840314151697</v>
      </c>
      <c r="M4" s="37">
        <f>BDbDT_calcs!M60</f>
        <v>16532.933476272145</v>
      </c>
      <c r="N4" s="37">
        <f>BDbDT_calcs!N60</f>
        <v>16598.429432828081</v>
      </c>
      <c r="O4" s="37">
        <f>BDbDT_calcs!O60</f>
        <v>16654.858121561898</v>
      </c>
      <c r="P4" s="37">
        <f>BDbDT_calcs!P60</f>
        <v>16700.297987459882</v>
      </c>
      <c r="Q4" s="37">
        <f>BDbDT_calcs!Q60</f>
        <v>16732.781916721407</v>
      </c>
      <c r="R4" s="37">
        <f>BDbDT_calcs!R60</f>
        <v>16750.503415717758</v>
      </c>
      <c r="S4" s="37">
        <f>BDbDT_calcs!S60</f>
        <v>16742.732040710263</v>
      </c>
      <c r="T4" s="37">
        <f>BDbDT_calcs!T60</f>
        <v>16718.440083997113</v>
      </c>
      <c r="U4" s="37">
        <f>BDbDT_calcs!U60</f>
        <v>16677.986474131078</v>
      </c>
      <c r="V4" s="37">
        <f>BDbDT_calcs!V60</f>
        <v>16617.34332452618</v>
      </c>
      <c r="W4" s="37">
        <f>BDbDT_calcs!W60</f>
        <v>16535.757299997094</v>
      </c>
      <c r="X4" s="37">
        <f>BDbDT_calcs!X60</f>
        <v>16434.087527669126</v>
      </c>
      <c r="Y4" s="37">
        <f>BDbDT_calcs!Y60</f>
        <v>16321.141893032665</v>
      </c>
      <c r="Z4" s="37">
        <f>BDbDT_calcs!Z60</f>
        <v>16189.941355619219</v>
      </c>
      <c r="AA4" s="37">
        <f>BDbDT_calcs!AA60</f>
        <v>16039.9513410447</v>
      </c>
      <c r="AB4" s="37">
        <f>BDbDT_calcs!AB60</f>
        <v>15873.00902672331</v>
      </c>
    </row>
    <row r="5" spans="1:28" x14ac:dyDescent="0.25">
      <c r="A5" s="4" t="s">
        <v>218</v>
      </c>
      <c r="B5" s="37">
        <f>BDbDT_calcs!B61</f>
        <v>540.72422566160901</v>
      </c>
      <c r="C5" s="37">
        <f>BDbDT_calcs!C61</f>
        <v>546.00240960038821</v>
      </c>
      <c r="D5" s="37">
        <f>BDbDT_calcs!D61</f>
        <v>550.66037479894021</v>
      </c>
      <c r="E5" s="37">
        <f>BDbDT_calcs!E61</f>
        <v>555.33456442101567</v>
      </c>
      <c r="F5" s="37">
        <f>BDbDT_calcs!F61</f>
        <v>560.20631512594275</v>
      </c>
      <c r="G5" s="37">
        <f>BDbDT_calcs!G61</f>
        <v>565.28902599169726</v>
      </c>
      <c r="H5" s="37">
        <f>BDbDT_calcs!H61</f>
        <v>570.56742380949493</v>
      </c>
      <c r="I5" s="37">
        <f>BDbDT_calcs!I61</f>
        <v>573.11718873265465</v>
      </c>
      <c r="J5" s="37">
        <f>BDbDT_calcs!J61</f>
        <v>575.78234114096074</v>
      </c>
      <c r="K5" s="37">
        <f>BDbDT_calcs!K61</f>
        <v>578.52240520450073</v>
      </c>
      <c r="L5" s="37">
        <f>BDbDT_calcs!L61</f>
        <v>581.33513284989829</v>
      </c>
      <c r="M5" s="37">
        <f>BDbDT_calcs!M61</f>
        <v>584.18794815830347</v>
      </c>
      <c r="N5" s="37">
        <f>BDbDT_calcs!N61</f>
        <v>587.10612682902718</v>
      </c>
      <c r="O5" s="37">
        <f>BDbDT_calcs!O61</f>
        <v>589.93938497452928</v>
      </c>
      <c r="P5" s="37">
        <f>BDbDT_calcs!P61</f>
        <v>592.75285472066503</v>
      </c>
      <c r="Q5" s="37">
        <f>BDbDT_calcs!Q61</f>
        <v>595.42613212742083</v>
      </c>
      <c r="R5" s="37">
        <f>BDbDT_calcs!R61</f>
        <v>597.9470624792591</v>
      </c>
      <c r="S5" s="37">
        <f>BDbDT_calcs!S61</f>
        <v>599.97367922488149</v>
      </c>
      <c r="T5" s="37">
        <f>BDbDT_calcs!T61</f>
        <v>601.73121381862029</v>
      </c>
      <c r="U5" s="37">
        <f>BDbDT_calcs!U61</f>
        <v>603.23295239216952</v>
      </c>
      <c r="V5" s="37">
        <f>BDbDT_calcs!V61</f>
        <v>604.41287688301713</v>
      </c>
      <c r="W5" s="37">
        <f>BDbDT_calcs!W61</f>
        <v>605.16522628082953</v>
      </c>
      <c r="X5" s="37">
        <f>BDbDT_calcs!X61</f>
        <v>605.45784886317949</v>
      </c>
      <c r="Y5" s="37">
        <f>BDbDT_calcs!Y61</f>
        <v>605.45136050467931</v>
      </c>
      <c r="Z5" s="37">
        <f>BDbDT_calcs!Z61</f>
        <v>604.98514549259505</v>
      </c>
      <c r="AA5" s="37">
        <f>BDbDT_calcs!AA61</f>
        <v>604.06329980416467</v>
      </c>
      <c r="AB5" s="37">
        <f>BDbDT_calcs!AB61</f>
        <v>602.63306263306004</v>
      </c>
    </row>
    <row r="6" spans="1:28" x14ac:dyDescent="0.25">
      <c r="A6" s="4" t="s">
        <v>219</v>
      </c>
      <c r="B6" s="37">
        <f>BDbDT_calcs!B62</f>
        <v>99.555395247212857</v>
      </c>
      <c r="C6" s="37">
        <f>BDbDT_calcs!C62</f>
        <v>101.36490319829686</v>
      </c>
      <c r="D6" s="37">
        <f>BDbDT_calcs!D62</f>
        <v>103.12335605825901</v>
      </c>
      <c r="E6" s="37">
        <f>BDbDT_calcs!E62</f>
        <v>105.01999039249051</v>
      </c>
      <c r="F6" s="37">
        <f>BDbDT_calcs!F62</f>
        <v>107.08360824591567</v>
      </c>
      <c r="G6" s="37">
        <f>BDbDT_calcs!G62</f>
        <v>109.31024327871779</v>
      </c>
      <c r="H6" s="37">
        <f>BDbDT_calcs!H62</f>
        <v>111.70547613531242</v>
      </c>
      <c r="I6" s="37">
        <f>BDbDT_calcs!I62</f>
        <v>113.68412534020142</v>
      </c>
      <c r="J6" s="37">
        <f>BDbDT_calcs!J62</f>
        <v>115.74099451893395</v>
      </c>
      <c r="K6" s="37">
        <f>BDbDT_calcs!K62</f>
        <v>117.8503717034595</v>
      </c>
      <c r="L6" s="37">
        <f>BDbDT_calcs!L62</f>
        <v>120.03995873337119</v>
      </c>
      <c r="M6" s="37">
        <f>BDbDT_calcs!M62</f>
        <v>122.2838810156339</v>
      </c>
      <c r="N6" s="37">
        <f>BDbDT_calcs!N62</f>
        <v>124.56464943024508</v>
      </c>
      <c r="O6" s="37">
        <f>BDbDT_calcs!O62</f>
        <v>126.85890537884504</v>
      </c>
      <c r="P6" s="37">
        <f>BDbDT_calcs!P62</f>
        <v>129.15426138044896</v>
      </c>
      <c r="Q6" s="37">
        <f>BDbDT_calcs!Q62</f>
        <v>131.42560310726518</v>
      </c>
      <c r="R6" s="37">
        <f>BDbDT_calcs!R62</f>
        <v>133.66073342010307</v>
      </c>
      <c r="S6" s="37">
        <f>BDbDT_calcs!S62</f>
        <v>135.75878121302591</v>
      </c>
      <c r="T6" s="37">
        <f>BDbDT_calcs!T62</f>
        <v>137.79702729250641</v>
      </c>
      <c r="U6" s="37">
        <f>BDbDT_calcs!U62</f>
        <v>139.74630063124144</v>
      </c>
      <c r="V6" s="37">
        <f>BDbDT_calcs!V62</f>
        <v>141.61224696058599</v>
      </c>
      <c r="W6" s="37">
        <f>BDbDT_calcs!W62</f>
        <v>143.38633567063673</v>
      </c>
      <c r="X6" s="37">
        <f>BDbDT_calcs!X62</f>
        <v>145.08164373528788</v>
      </c>
      <c r="Y6" s="37">
        <f>BDbDT_calcs!Y62</f>
        <v>146.68936122530789</v>
      </c>
      <c r="Z6" s="37">
        <f>BDbDT_calcs!Z62</f>
        <v>148.21477746501355</v>
      </c>
      <c r="AA6" s="37">
        <f>BDbDT_calcs!AA62</f>
        <v>149.65693301566296</v>
      </c>
      <c r="AB6" s="37">
        <f>BDbDT_calcs!AB62</f>
        <v>151.0057547155333</v>
      </c>
    </row>
    <row r="7" spans="1:28" x14ac:dyDescent="0.25">
      <c r="A7" s="4" t="s">
        <v>220</v>
      </c>
      <c r="B7" s="37">
        <f>BDbDT_calcs!B63</f>
        <v>189.78350735014973</v>
      </c>
      <c r="C7" s="37">
        <f>BDbDT_calcs!C63</f>
        <v>192.96243964096152</v>
      </c>
      <c r="D7" s="37">
        <f>BDbDT_calcs!D63</f>
        <v>196.07602644597617</v>
      </c>
      <c r="E7" s="37">
        <f>BDbDT_calcs!E63</f>
        <v>199.52912634932611</v>
      </c>
      <c r="F7" s="37">
        <f>BDbDT_calcs!F63</f>
        <v>202.9893571947903</v>
      </c>
      <c r="G7" s="37">
        <f>BDbDT_calcs!G63</f>
        <v>206.74540246324571</v>
      </c>
      <c r="H7" s="37">
        <f>BDbDT_calcs!H63</f>
        <v>210.6070236755717</v>
      </c>
      <c r="I7" s="37">
        <f>BDbDT_calcs!I63</f>
        <v>213.43532663691903</v>
      </c>
      <c r="J7" s="37">
        <f>BDbDT_calcs!J63</f>
        <v>216.29310723481171</v>
      </c>
      <c r="K7" s="37">
        <f>BDbDT_calcs!K63</f>
        <v>219.40915759714596</v>
      </c>
      <c r="L7" s="37">
        <f>BDbDT_calcs!L63</f>
        <v>222.56652971228144</v>
      </c>
      <c r="M7" s="37">
        <f>BDbDT_calcs!M63</f>
        <v>225.82993056066849</v>
      </c>
      <c r="N7" s="37">
        <f>BDbDT_calcs!N63</f>
        <v>229.09664004437192</v>
      </c>
      <c r="O7" s="37">
        <f>BDbDT_calcs!O63</f>
        <v>232.38273575700302</v>
      </c>
      <c r="P7" s="37">
        <f>BDbDT_calcs!P63</f>
        <v>235.74632109840718</v>
      </c>
      <c r="Q7" s="37">
        <f>BDbDT_calcs!Q63</f>
        <v>239.15284253836865</v>
      </c>
      <c r="R7" s="37">
        <f>BDbDT_calcs!R63</f>
        <v>242.55392351291013</v>
      </c>
      <c r="S7" s="37">
        <f>BDbDT_calcs!S63</f>
        <v>245.7338988038459</v>
      </c>
      <c r="T7" s="37">
        <f>BDbDT_calcs!T63</f>
        <v>248.89552348911198</v>
      </c>
      <c r="U7" s="37">
        <f>BDbDT_calcs!U63</f>
        <v>251.97238638760496</v>
      </c>
      <c r="V7" s="37">
        <f>BDbDT_calcs!V63</f>
        <v>254.89249188106092</v>
      </c>
      <c r="W7" s="37">
        <f>BDbDT_calcs!W63</f>
        <v>257.81202432650213</v>
      </c>
      <c r="X7" s="37">
        <f>BDbDT_calcs!X63</f>
        <v>260.60554980187072</v>
      </c>
      <c r="Y7" s="37">
        <f>BDbDT_calcs!Y63</f>
        <v>263.34747087683104</v>
      </c>
      <c r="Z7" s="37">
        <f>BDbDT_calcs!Z63</f>
        <v>265.93647011284497</v>
      </c>
      <c r="AA7" s="37">
        <f>BDbDT_calcs!AA63</f>
        <v>268.4129509456198</v>
      </c>
      <c r="AB7" s="37">
        <f>BDbDT_calcs!AB63</f>
        <v>270.81781340086036</v>
      </c>
    </row>
    <row r="8" spans="1:28" x14ac:dyDescent="0.25">
      <c r="A8" s="4" t="s">
        <v>221</v>
      </c>
      <c r="B8" s="37">
        <f>BDbDT_calcs!B64</f>
        <v>161.98841052024102</v>
      </c>
      <c r="C8" s="37">
        <f>BDbDT_calcs!C64</f>
        <v>166.82100502610456</v>
      </c>
      <c r="D8" s="37">
        <f>BDbDT_calcs!D64</f>
        <v>171.54096937118354</v>
      </c>
      <c r="E8" s="37">
        <f>BDbDT_calcs!E64</f>
        <v>176.35211562267807</v>
      </c>
      <c r="F8" s="37">
        <f>BDbDT_calcs!F64</f>
        <v>181.25561511568574</v>
      </c>
      <c r="G8" s="37">
        <f>BDbDT_calcs!G64</f>
        <v>186.27272567286599</v>
      </c>
      <c r="H8" s="37">
        <f>BDbDT_calcs!H64</f>
        <v>191.46299422059235</v>
      </c>
      <c r="I8" s="37">
        <f>BDbDT_calcs!I64</f>
        <v>195.81956668627444</v>
      </c>
      <c r="J8" s="37">
        <f>BDbDT_calcs!J64</f>
        <v>200.23775074811996</v>
      </c>
      <c r="K8" s="37">
        <f>BDbDT_calcs!K64</f>
        <v>204.76007697646222</v>
      </c>
      <c r="L8" s="37">
        <f>BDbDT_calcs!L64</f>
        <v>209.41670724079506</v>
      </c>
      <c r="M8" s="37">
        <f>BDbDT_calcs!M64</f>
        <v>214.15164062815407</v>
      </c>
      <c r="N8" s="37">
        <f>BDbDT_calcs!N64</f>
        <v>219.01624589161426</v>
      </c>
      <c r="O8" s="37">
        <f>BDbDT_calcs!O64</f>
        <v>223.96914918789281</v>
      </c>
      <c r="P8" s="37">
        <f>BDbDT_calcs!P64</f>
        <v>228.99633360424227</v>
      </c>
      <c r="Q8" s="37">
        <f>BDbDT_calcs!Q64</f>
        <v>234.10387642192396</v>
      </c>
      <c r="R8" s="37">
        <f>BDbDT_calcs!R64</f>
        <v>239.2407976495852</v>
      </c>
      <c r="S8" s="37">
        <f>BDbDT_calcs!S64</f>
        <v>244.26265670521454</v>
      </c>
      <c r="T8" s="37">
        <f>BDbDT_calcs!T64</f>
        <v>249.29461970849701</v>
      </c>
      <c r="U8" s="37">
        <f>BDbDT_calcs!U64</f>
        <v>254.31717017486577</v>
      </c>
      <c r="V8" s="37">
        <f>BDbDT_calcs!V64</f>
        <v>259.29412507861701</v>
      </c>
      <c r="W8" s="37">
        <f>BDbDT_calcs!W64</f>
        <v>264.18829075298544</v>
      </c>
      <c r="X8" s="37">
        <f>BDbDT_calcs!X64</f>
        <v>269.03050614776998</v>
      </c>
      <c r="Y8" s="37">
        <f>BDbDT_calcs!Y64</f>
        <v>273.7653822618916</v>
      </c>
      <c r="Z8" s="37">
        <f>BDbDT_calcs!Z64</f>
        <v>278.38885495353873</v>
      </c>
      <c r="AA8" s="37">
        <f>BDbDT_calcs!AA64</f>
        <v>282.83862513834987</v>
      </c>
      <c r="AB8" s="37">
        <f>BDbDT_calcs!AB64</f>
        <v>287.10827700213486</v>
      </c>
    </row>
    <row r="9" spans="1:28" x14ac:dyDescent="0.25">
      <c r="A9" s="4" t="s">
        <v>222</v>
      </c>
      <c r="B9" s="37">
        <f>BDbDT_calcs!B65</f>
        <v>16843.359394105835</v>
      </c>
      <c r="C9" s="37">
        <f>BDbDT_calcs!C65</f>
        <v>17009.759336912644</v>
      </c>
      <c r="D9" s="37">
        <f>BDbDT_calcs!D65</f>
        <v>17154.206768781245</v>
      </c>
      <c r="E9" s="37">
        <f>BDbDT_calcs!E65</f>
        <v>17300.490059244403</v>
      </c>
      <c r="F9" s="37">
        <f>BDbDT_calcs!F65</f>
        <v>17451.980977546882</v>
      </c>
      <c r="G9" s="37">
        <f>BDbDT_calcs!G65</f>
        <v>17609.159974566592</v>
      </c>
      <c r="H9" s="37">
        <f>BDbDT_calcs!H65</f>
        <v>17771.51923988363</v>
      </c>
      <c r="I9" s="37">
        <f>BDbDT_calcs!I65</f>
        <v>17845.681458215578</v>
      </c>
      <c r="J9" s="37">
        <f>BDbDT_calcs!J65</f>
        <v>17919.988629132604</v>
      </c>
      <c r="K9" s="37">
        <f>BDbDT_calcs!K65</f>
        <v>17991.310538081554</v>
      </c>
      <c r="L9" s="37">
        <f>BDbDT_calcs!L65</f>
        <v>18058.263282673212</v>
      </c>
      <c r="M9" s="37">
        <f>BDbDT_calcs!M65</f>
        <v>18120.643187147751</v>
      </c>
      <c r="N9" s="37">
        <f>BDbDT_calcs!N65</f>
        <v>18174.841420653196</v>
      </c>
      <c r="O9" s="37">
        <f>BDbDT_calcs!O65</f>
        <v>18219.031305341214</v>
      </c>
      <c r="P9" s="37">
        <f>BDbDT_calcs!P65</f>
        <v>18251.770237328707</v>
      </c>
      <c r="Q9" s="37">
        <f>BDbDT_calcs!Q65</f>
        <v>18270.275456758536</v>
      </c>
      <c r="R9" s="37">
        <f>BDbDT_calcs!R65</f>
        <v>18273.014166994904</v>
      </c>
      <c r="S9" s="37">
        <f>BDbDT_calcs!S65</f>
        <v>18248.114616429146</v>
      </c>
      <c r="T9" s="37">
        <f>BDbDT_calcs!T65</f>
        <v>18205.196937611399</v>
      </c>
      <c r="U9" s="37">
        <f>BDbDT_calcs!U65</f>
        <v>18144.486433298407</v>
      </c>
      <c r="V9" s="37">
        <f>BDbDT_calcs!V65</f>
        <v>18061.974354176309</v>
      </c>
      <c r="W9" s="37">
        <f>BDbDT_calcs!W65</f>
        <v>17957.118532096752</v>
      </c>
      <c r="X9" s="37">
        <f>BDbDT_calcs!X65</f>
        <v>17830.144790964485</v>
      </c>
      <c r="Y9" s="37">
        <f>BDbDT_calcs!Y65</f>
        <v>17691.052107954012</v>
      </c>
      <c r="Z9" s="37">
        <f>BDbDT_calcs!Z65</f>
        <v>17532.138770404363</v>
      </c>
      <c r="AA9" s="37">
        <f>BDbDT_calcs!AA65</f>
        <v>17353.591783890482</v>
      </c>
      <c r="AB9" s="37">
        <f>BDbDT_calcs!AB65</f>
        <v>17157.071588781331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2026-08-17T20:29:48Z</dcterms:modified>
</cp:coreProperties>
</file>