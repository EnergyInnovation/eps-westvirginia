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V\trans\BHNVFEAL\"/>
    </mc:Choice>
  </mc:AlternateContent>
  <xr:revisionPtr revIDLastSave="0" documentId="8_{8EDE48DE-B8A1-4B34-B9B0-B1DF0BBE688D}" xr6:coauthVersionLast="47" xr6:coauthVersionMax="47" xr10:uidLastSave="{00000000-0000-0000-0000-000000000000}"/>
  <bookViews>
    <workbookView xWindow="8925" yWindow="180" windowWidth="19560" windowHeight="17085" firstSheet="10" activeTab="12" xr2:uid="{00000000-000D-0000-FFFF-FFFF00000000}"/>
  </bookViews>
  <sheets>
    <sheet name="About" sheetId="1" r:id="rId1"/>
    <sheet name="BNVFE" sheetId="25" r:id="rId2"/>
    <sheet name="SYFAFE" sheetId="27" r:id="rId3"/>
    <sheet name="Other Values" sheetId="18" r:id="rId4"/>
    <sheet name="Calculations" sheetId="26" r:id="rId5"/>
    <sheet name="Extrapolations" sheetId="24" r:id="rId6"/>
    <sheet name="BHNVFEAL-LDVs-psgr" sheetId="2" r:id="rId7"/>
    <sheet name="BHNVFEAL-LDVs-frgt" sheetId="5" r:id="rId8"/>
    <sheet name="BHNVFEAL-HDVs-psgr" sheetId="6" r:id="rId9"/>
    <sheet name="BHNVFEAL-HDVs-frgt" sheetId="7" r:id="rId10"/>
    <sheet name="BHNVFEAL-aircraft-psgr" sheetId="8" r:id="rId11"/>
    <sheet name="BHNVFEAL-aircraft-frgt" sheetId="9" r:id="rId12"/>
    <sheet name="BHNVFEAL-rail-psgr" sheetId="10" r:id="rId13"/>
    <sheet name="BHNVFEAL-rail-frgt" sheetId="11" r:id="rId14"/>
    <sheet name="BHNVFEAL-ships-psgr" sheetId="12" r:id="rId15"/>
    <sheet name="BHNVFEAL-ships-frgt" sheetId="13" r:id="rId16"/>
    <sheet name="BHNVFEAL-motorbikes-psgr" sheetId="14" r:id="rId17"/>
    <sheet name="BHNVFEAL-motorbikes-frgt" sheetId="15" r:id="rId18"/>
  </sheets>
  <externalReferences>
    <externalReference r:id="rId19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0" l="1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B5" i="10"/>
  <c r="H8" i="24"/>
  <c r="I8" i="24"/>
  <c r="J8" i="24" s="1"/>
  <c r="K8" i="24" s="1"/>
  <c r="L8" i="24" s="1"/>
  <c r="M8" i="24" s="1"/>
  <c r="N8" i="24" s="1"/>
  <c r="O8" i="24" s="1"/>
  <c r="P8" i="24" s="1"/>
  <c r="Q8" i="24" s="1"/>
  <c r="R8" i="24" s="1"/>
  <c r="S8" i="24" s="1"/>
  <c r="T8" i="24" s="1"/>
  <c r="U8" i="24" s="1"/>
  <c r="V8" i="24" s="1"/>
  <c r="W8" i="24" s="1"/>
  <c r="X8" i="24" s="1"/>
  <c r="Y8" i="24" s="1"/>
  <c r="Z8" i="24" s="1"/>
  <c r="AA8" i="24" s="1"/>
  <c r="AB8" i="24" s="1"/>
  <c r="AC8" i="24" s="1"/>
  <c r="AD8" i="24" s="1"/>
  <c r="AE8" i="24" s="1"/>
  <c r="AF8" i="24" s="1"/>
  <c r="AG8" i="24" s="1"/>
  <c r="AH8" i="24" s="1"/>
  <c r="AI8" i="24" s="1"/>
  <c r="AJ8" i="24" s="1"/>
  <c r="AK8" i="24" s="1"/>
  <c r="AL8" i="24" s="1"/>
  <c r="AM8" i="24" s="1"/>
  <c r="AN8" i="24" s="1"/>
  <c r="AO8" i="24" s="1"/>
  <c r="AP8" i="24" s="1"/>
  <c r="AQ8" i="24" s="1"/>
  <c r="AR8" i="24" s="1"/>
  <c r="AS8" i="24" s="1"/>
  <c r="AT8" i="24" s="1"/>
  <c r="AU8" i="24" s="1"/>
  <c r="AV8" i="24" s="1"/>
  <c r="AW8" i="24" s="1"/>
  <c r="AX8" i="24" s="1"/>
  <c r="AY8" i="24" s="1"/>
  <c r="AZ8" i="24" s="1"/>
  <c r="BA8" i="24" s="1"/>
  <c r="BB8" i="24" s="1"/>
  <c r="BC8" i="24" s="1"/>
  <c r="BD8" i="24" s="1"/>
  <c r="BE8" i="24" s="1"/>
  <c r="BF8" i="24" s="1"/>
  <c r="BG8" i="24" s="1"/>
  <c r="BH8" i="24" s="1"/>
  <c r="BI8" i="24" s="1"/>
  <c r="BJ8" i="24" s="1"/>
  <c r="BK8" i="24" s="1"/>
  <c r="BL8" i="24" s="1"/>
  <c r="BM8" i="24" s="1"/>
  <c r="BN8" i="24" s="1"/>
  <c r="BO8" i="24" s="1"/>
  <c r="BP8" i="24" s="1"/>
  <c r="BQ8" i="24" s="1"/>
  <c r="BR8" i="24" s="1"/>
  <c r="H9" i="24"/>
  <c r="I9" i="24"/>
  <c r="J9" i="24"/>
  <c r="K9" i="24" s="1"/>
  <c r="L9" i="24" s="1"/>
  <c r="M9" i="24" s="1"/>
  <c r="N9" i="24" s="1"/>
  <c r="O9" i="24" s="1"/>
  <c r="P9" i="24" s="1"/>
  <c r="Q9" i="24" s="1"/>
  <c r="R9" i="24" s="1"/>
  <c r="S9" i="24" s="1"/>
  <c r="T9" i="24" s="1"/>
  <c r="U9" i="24" s="1"/>
  <c r="V9" i="24" s="1"/>
  <c r="W9" i="24" s="1"/>
  <c r="X9" i="24" s="1"/>
  <c r="Y9" i="24" s="1"/>
  <c r="Z9" i="24" s="1"/>
  <c r="AA9" i="24" s="1"/>
  <c r="AB9" i="24" s="1"/>
  <c r="AC9" i="24" s="1"/>
  <c r="AD9" i="24" s="1"/>
  <c r="AE9" i="24" s="1"/>
  <c r="AF9" i="24" s="1"/>
  <c r="AG9" i="24" s="1"/>
  <c r="AH9" i="24" s="1"/>
  <c r="AI9" i="24" s="1"/>
  <c r="AJ9" i="24" s="1"/>
  <c r="AK9" i="24" s="1"/>
  <c r="AL9" i="24" s="1"/>
  <c r="AM9" i="24" s="1"/>
  <c r="AN9" i="24" s="1"/>
  <c r="AO9" i="24" s="1"/>
  <c r="AP9" i="24" s="1"/>
  <c r="AQ9" i="24" s="1"/>
  <c r="AR9" i="24" s="1"/>
  <c r="AS9" i="24" s="1"/>
  <c r="AT9" i="24" s="1"/>
  <c r="AU9" i="24" s="1"/>
  <c r="AV9" i="24" s="1"/>
  <c r="AW9" i="24" s="1"/>
  <c r="AX9" i="24" s="1"/>
  <c r="AY9" i="24" s="1"/>
  <c r="AZ9" i="24" s="1"/>
  <c r="BA9" i="24" s="1"/>
  <c r="BB9" i="24" s="1"/>
  <c r="BC9" i="24" s="1"/>
  <c r="BD9" i="24" s="1"/>
  <c r="BE9" i="24" s="1"/>
  <c r="BF9" i="24" s="1"/>
  <c r="BG9" i="24" s="1"/>
  <c r="BH9" i="24" s="1"/>
  <c r="BI9" i="24" s="1"/>
  <c r="BJ9" i="24" s="1"/>
  <c r="BK9" i="24" s="1"/>
  <c r="BL9" i="24" s="1"/>
  <c r="BM9" i="24" s="1"/>
  <c r="BN9" i="24" s="1"/>
  <c r="BO9" i="24" s="1"/>
  <c r="BP9" i="24" s="1"/>
  <c r="BQ9" i="24" s="1"/>
  <c r="BR9" i="24" s="1"/>
  <c r="G9" i="24"/>
  <c r="G8" i="24"/>
  <c r="F9" i="24"/>
  <c r="F8" i="24"/>
  <c r="B8" i="2" l="1"/>
  <c r="AO3" i="24"/>
  <c r="D16" i="26"/>
  <c r="B2" i="2" l="1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B2" i="14" a="1"/>
  <c r="B3" i="14" s="1"/>
  <c r="B2" i="12" a="1"/>
  <c r="B2" i="12" s="1"/>
  <c r="B2" i="6" a="1"/>
  <c r="B3" i="6" s="1"/>
  <c r="C3" i="6" s="1"/>
  <c r="C3" i="14" l="1"/>
  <c r="D3" i="14" s="1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C2" i="12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B2" i="14"/>
  <c r="B8" i="14"/>
  <c r="B7" i="14"/>
  <c r="B6" i="14"/>
  <c r="B5" i="14"/>
  <c r="B4" i="14"/>
  <c r="B8" i="12"/>
  <c r="B7" i="12"/>
  <c r="B6" i="12"/>
  <c r="B5" i="12"/>
  <c r="B4" i="12"/>
  <c r="B3" i="12"/>
  <c r="B5" i="6"/>
  <c r="C5" i="6" s="1"/>
  <c r="B4" i="6"/>
  <c r="C4" i="6" s="1"/>
  <c r="B2" i="6"/>
  <c r="C2" i="6" s="1"/>
  <c r="B8" i="6"/>
  <c r="C8" i="6" s="1"/>
  <c r="B7" i="6"/>
  <c r="C7" i="6" s="1"/>
  <c r="B6" i="6"/>
  <c r="C6" i="6" s="1"/>
  <c r="C5" i="14" l="1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C6" i="14"/>
  <c r="D6" i="14" s="1"/>
  <c r="E6" i="14" s="1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C8" i="14"/>
  <c r="D8" i="14" s="1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C2" i="14"/>
  <c r="D2" i="14" s="1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C7" i="14"/>
  <c r="D7" i="14" s="1"/>
  <c r="E7" i="14" s="1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C4" i="14"/>
  <c r="D4" i="14" s="1"/>
  <c r="E4" i="14" s="1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C3" i="12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C4" i="12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C5" i="12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C6" i="12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C8" i="12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B2" i="7" a="1"/>
  <c r="B3" i="7" s="1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B2" i="5" a="1"/>
  <c r="B3" i="5" s="1"/>
  <c r="C3" i="7" l="1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B2" i="7"/>
  <c r="D2" i="6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B6" i="7"/>
  <c r="B5" i="7"/>
  <c r="B4" i="7"/>
  <c r="B8" i="7"/>
  <c r="B7" i="7"/>
  <c r="D7" i="6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D6" i="6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D5" i="6"/>
  <c r="E5" i="6" s="1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D8" i="6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D4" i="6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B2" i="5"/>
  <c r="B8" i="5"/>
  <c r="B7" i="5"/>
  <c r="B6" i="5"/>
  <c r="B5" i="5"/>
  <c r="B4" i="5"/>
  <c r="C2" i="7" l="1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C7" i="7"/>
  <c r="D7" i="7" s="1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C8" i="7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C4" i="7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C6" i="7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C7" i="5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C4" i="5"/>
  <c r="D4" i="5" s="1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C5" i="5"/>
  <c r="D5" i="5" s="1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C6" i="5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C8" i="5"/>
  <c r="D8" i="5" s="1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O2" i="24"/>
  <c r="AP2" i="24"/>
  <c r="P4" i="2" s="1"/>
  <c r="AQ2" i="24"/>
  <c r="Q4" i="2" s="1"/>
  <c r="AR2" i="24"/>
  <c r="R4" i="2" s="1"/>
  <c r="AS2" i="24"/>
  <c r="S4" i="2" s="1"/>
  <c r="AT2" i="24"/>
  <c r="T4" i="2" s="1"/>
  <c r="AU2" i="24"/>
  <c r="U4" i="2" s="1"/>
  <c r="AV2" i="24"/>
  <c r="V4" i="2" s="1"/>
  <c r="AW2" i="24"/>
  <c r="W4" i="2" s="1"/>
  <c r="AX2" i="24"/>
  <c r="X4" i="2" s="1"/>
  <c r="AY2" i="24"/>
  <c r="Y4" i="2" s="1"/>
  <c r="AZ2" i="24"/>
  <c r="Z4" i="2" s="1"/>
  <c r="BA2" i="24"/>
  <c r="AA4" i="2" s="1"/>
  <c r="BB2" i="24"/>
  <c r="AB4" i="2" s="1"/>
  <c r="BC2" i="24"/>
  <c r="AC4" i="2" s="1"/>
  <c r="BD2" i="24"/>
  <c r="AD4" i="2" s="1"/>
  <c r="BE2" i="24"/>
  <c r="AE4" i="2" s="1"/>
  <c r="BF2" i="24"/>
  <c r="BG2" i="24"/>
  <c r="BH2" i="24"/>
  <c r="BI2" i="24"/>
  <c r="BJ2" i="24"/>
  <c r="BK2" i="24"/>
  <c r="BL2" i="24"/>
  <c r="BM2" i="24"/>
  <c r="BN2" i="24"/>
  <c r="BO2" i="24"/>
  <c r="BP2" i="24"/>
  <c r="BQ2" i="24"/>
  <c r="BR2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BL3" i="24"/>
  <c r="BM3" i="24"/>
  <c r="BN3" i="24"/>
  <c r="BO3" i="24"/>
  <c r="BP3" i="24"/>
  <c r="BQ3" i="24"/>
  <c r="BR3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BL4" i="24"/>
  <c r="BM4" i="24"/>
  <c r="BN4" i="24"/>
  <c r="BO4" i="24"/>
  <c r="BP4" i="24"/>
  <c r="BQ4" i="24"/>
  <c r="BR4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AO10" i="24"/>
  <c r="AP10" i="24"/>
  <c r="AQ10" i="24"/>
  <c r="AR10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BL10" i="24"/>
  <c r="BM10" i="24"/>
  <c r="BN10" i="24"/>
  <c r="BO10" i="24"/>
  <c r="BP10" i="24"/>
  <c r="BQ10" i="24"/>
  <c r="BR10" i="24"/>
  <c r="AO11" i="24"/>
  <c r="AP11" i="24"/>
  <c r="AQ11" i="24"/>
  <c r="AR11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BL11" i="24"/>
  <c r="BM11" i="24"/>
  <c r="BN11" i="24"/>
  <c r="BO11" i="24"/>
  <c r="BP11" i="24"/>
  <c r="BQ11" i="24"/>
  <c r="BR11" i="24"/>
  <c r="AO12" i="24"/>
  <c r="AP12" i="24"/>
  <c r="AQ12" i="24"/>
  <c r="AR12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BL12" i="24"/>
  <c r="BM12" i="24"/>
  <c r="BN12" i="24"/>
  <c r="BO12" i="24"/>
  <c r="BP12" i="24"/>
  <c r="BQ12" i="24"/>
  <c r="BR12" i="24"/>
  <c r="AO13" i="24"/>
  <c r="AP13" i="24"/>
  <c r="AQ13" i="24"/>
  <c r="AR13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BL13" i="24"/>
  <c r="BM13" i="24"/>
  <c r="BN13" i="24"/>
  <c r="BO13" i="24"/>
  <c r="BP13" i="24"/>
  <c r="BQ13" i="24"/>
  <c r="BR13" i="24"/>
  <c r="AO14" i="24"/>
  <c r="AP14" i="24"/>
  <c r="AQ14" i="24"/>
  <c r="AR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BL14" i="24"/>
  <c r="BM14" i="24"/>
  <c r="BN14" i="24"/>
  <c r="BO14" i="24"/>
  <c r="BP14" i="24"/>
  <c r="BQ14" i="24"/>
  <c r="BR14" i="24"/>
  <c r="AC13" i="24" l="1"/>
  <c r="AK13" i="24"/>
  <c r="AD13" i="24"/>
  <c r="AL13" i="24"/>
  <c r="AJ13" i="24"/>
  <c r="AE13" i="24"/>
  <c r="AM13" i="24"/>
  <c r="AB13" i="24"/>
  <c r="X13" i="24"/>
  <c r="AF13" i="24"/>
  <c r="AN13" i="24"/>
  <c r="Y13" i="24"/>
  <c r="AG13" i="24"/>
  <c r="W13" i="24"/>
  <c r="Z13" i="24"/>
  <c r="AH13" i="24"/>
  <c r="AA13" i="24"/>
  <c r="AI13" i="24"/>
  <c r="W5" i="24"/>
  <c r="X5" i="24" s="1"/>
  <c r="Y5" i="24" s="1"/>
  <c r="Z5" i="24" s="1"/>
  <c r="AA5" i="24" s="1"/>
  <c r="AB5" i="24" s="1"/>
  <c r="AC5" i="24" s="1"/>
  <c r="AD5" i="24" s="1"/>
  <c r="AE5" i="24" s="1"/>
  <c r="AF5" i="24" s="1"/>
  <c r="AG5" i="24" s="1"/>
  <c r="AH5" i="24" s="1"/>
  <c r="AI5" i="24" s="1"/>
  <c r="AJ5" i="24" s="1"/>
  <c r="AK5" i="24" s="1"/>
  <c r="AL5" i="24" s="1"/>
  <c r="AM5" i="24" s="1"/>
  <c r="AN5" i="24" s="1"/>
  <c r="AN4" i="24" s="1"/>
  <c r="W7" i="24"/>
  <c r="AE7" i="24"/>
  <c r="AM7" i="24"/>
  <c r="X7" i="24"/>
  <c r="AF7" i="24"/>
  <c r="AN7" i="24"/>
  <c r="AD7" i="24"/>
  <c r="Q7" i="24"/>
  <c r="Y7" i="24"/>
  <c r="AG7" i="24"/>
  <c r="P7" i="24"/>
  <c r="R7" i="24"/>
  <c r="Z7" i="24"/>
  <c r="AH7" i="24"/>
  <c r="S7" i="24"/>
  <c r="AA7" i="24"/>
  <c r="AI7" i="24"/>
  <c r="AL7" i="24"/>
  <c r="T7" i="24"/>
  <c r="AB7" i="24"/>
  <c r="AJ7" i="24"/>
  <c r="V7" i="24"/>
  <c r="U7" i="24"/>
  <c r="AC7" i="24"/>
  <c r="AK7" i="24"/>
  <c r="O4" i="2"/>
  <c r="AB2" i="24"/>
  <c r="AC2" i="24" s="1"/>
  <c r="AD2" i="24" s="1"/>
  <c r="AE2" i="24" s="1"/>
  <c r="AF2" i="24" s="1"/>
  <c r="AG2" i="24" s="1"/>
  <c r="AH2" i="24" s="1"/>
  <c r="AI2" i="24" s="1"/>
  <c r="AJ2" i="24" s="1"/>
  <c r="AK2" i="24" s="1"/>
  <c r="AL2" i="24" s="1"/>
  <c r="AM2" i="24" s="1"/>
  <c r="AN2" i="24" s="1"/>
  <c r="AD14" i="24"/>
  <c r="AL14" i="24"/>
  <c r="AC14" i="24"/>
  <c r="W14" i="24"/>
  <c r="AE14" i="24"/>
  <c r="AM14" i="24"/>
  <c r="X14" i="24"/>
  <c r="AF14" i="24"/>
  <c r="AN14" i="24"/>
  <c r="Y14" i="24"/>
  <c r="AG14" i="24"/>
  <c r="Z14" i="24"/>
  <c r="AH14" i="24"/>
  <c r="AA14" i="24"/>
  <c r="AI14" i="24"/>
  <c r="AK14" i="24"/>
  <c r="AB14" i="24"/>
  <c r="AJ14" i="24"/>
  <c r="L10" i="24"/>
  <c r="T10" i="24"/>
  <c r="AB10" i="24"/>
  <c r="AJ10" i="24"/>
  <c r="M10" i="24"/>
  <c r="U10" i="24"/>
  <c r="AC10" i="24"/>
  <c r="AK10" i="24"/>
  <c r="S10" i="24"/>
  <c r="N10" i="24"/>
  <c r="V10" i="24"/>
  <c r="AD10" i="24"/>
  <c r="AL10" i="24"/>
  <c r="K10" i="24"/>
  <c r="G10" i="24"/>
  <c r="O10" i="24"/>
  <c r="W10" i="24"/>
  <c r="AE10" i="24"/>
  <c r="AM10" i="24"/>
  <c r="AI10" i="24"/>
  <c r="H10" i="24"/>
  <c r="P10" i="24"/>
  <c r="X10" i="24"/>
  <c r="AF10" i="24"/>
  <c r="AN10" i="24"/>
  <c r="AA10" i="24"/>
  <c r="I10" i="24"/>
  <c r="Q10" i="24"/>
  <c r="Y10" i="24"/>
  <c r="AG10" i="24"/>
  <c r="J10" i="24"/>
  <c r="R10" i="24"/>
  <c r="Z10" i="24"/>
  <c r="AH10" i="24"/>
  <c r="F10" i="24"/>
  <c r="V6" i="24"/>
  <c r="AD6" i="24"/>
  <c r="AL6" i="24"/>
  <c r="W6" i="24"/>
  <c r="AE6" i="24"/>
  <c r="AM6" i="24"/>
  <c r="X6" i="24"/>
  <c r="AF6" i="24"/>
  <c r="AN6" i="24"/>
  <c r="AC6" i="24"/>
  <c r="Q6" i="24"/>
  <c r="Y6" i="24"/>
  <c r="AG6" i="24"/>
  <c r="P6" i="24"/>
  <c r="AK6" i="24"/>
  <c r="R6" i="24"/>
  <c r="Z6" i="24"/>
  <c r="AH6" i="24"/>
  <c r="S6" i="24"/>
  <c r="AA6" i="24"/>
  <c r="AI6" i="24"/>
  <c r="U6" i="24"/>
  <c r="T6" i="24"/>
  <c r="AB6" i="24"/>
  <c r="AJ6" i="24"/>
  <c r="AD3" i="24" a="1"/>
  <c r="AD3" i="24" s="1"/>
  <c r="AJ3" i="24" a="1"/>
  <c r="AJ3" i="24" s="1"/>
  <c r="AK3" i="24" a="1"/>
  <c r="AK3" i="24" s="1"/>
  <c r="AM3" i="24" a="1"/>
  <c r="AM3" i="24" s="1"/>
  <c r="AF3" i="24" a="1"/>
  <c r="AF3" i="24" s="1"/>
  <c r="AL3" i="24" a="1"/>
  <c r="AL3" i="24" s="1"/>
  <c r="AN3" i="24" a="1"/>
  <c r="AN3" i="24" s="1"/>
  <c r="AI3" i="24" a="1"/>
  <c r="AI3" i="24" s="1"/>
  <c r="AC3" i="24" a="1"/>
  <c r="AC3" i="24" s="1"/>
  <c r="AG3" i="24" a="1"/>
  <c r="AG3" i="24" s="1"/>
  <c r="AA3" i="24" a="1"/>
  <c r="AA3" i="24" s="1"/>
  <c r="AE3" i="24" a="1"/>
  <c r="AE3" i="24" s="1"/>
  <c r="AH3" i="24" a="1"/>
  <c r="AH3" i="24" s="1"/>
  <c r="AB3" i="24" a="1"/>
  <c r="AB3" i="24" s="1"/>
  <c r="K11" i="24"/>
  <c r="S11" i="24"/>
  <c r="AA11" i="24"/>
  <c r="AI11" i="24"/>
  <c r="G11" i="24"/>
  <c r="Z11" i="24"/>
  <c r="L11" i="24"/>
  <c r="T11" i="24"/>
  <c r="AB11" i="24"/>
  <c r="AJ11" i="24"/>
  <c r="AH11" i="24"/>
  <c r="M11" i="24"/>
  <c r="U11" i="24"/>
  <c r="AC11" i="24"/>
  <c r="AK11" i="24"/>
  <c r="N11" i="24"/>
  <c r="V11" i="24"/>
  <c r="AD11" i="24"/>
  <c r="AL11" i="24"/>
  <c r="O11" i="24"/>
  <c r="W11" i="24"/>
  <c r="AE11" i="24"/>
  <c r="AM11" i="24"/>
  <c r="J11" i="24"/>
  <c r="H11" i="24"/>
  <c r="P11" i="24"/>
  <c r="X11" i="24"/>
  <c r="AF11" i="24"/>
  <c r="AN11" i="24"/>
  <c r="R11" i="24"/>
  <c r="I11" i="24"/>
  <c r="Q11" i="24"/>
  <c r="Y11" i="24"/>
  <c r="AG11" i="24"/>
  <c r="J12" i="24"/>
  <c r="R12" i="24"/>
  <c r="Z12" i="24"/>
  <c r="AH12" i="24"/>
  <c r="AG12" i="24"/>
  <c r="K12" i="24"/>
  <c r="S12" i="24"/>
  <c r="AA12" i="24"/>
  <c r="AI12" i="24"/>
  <c r="L12" i="24"/>
  <c r="T12" i="24"/>
  <c r="AB12" i="24"/>
  <c r="AJ12" i="24"/>
  <c r="Q12" i="24"/>
  <c r="M12" i="24"/>
  <c r="U12" i="24"/>
  <c r="AC12" i="24"/>
  <c r="AK12" i="24"/>
  <c r="N12" i="24"/>
  <c r="V12" i="24"/>
  <c r="AD12" i="24"/>
  <c r="AL12" i="24"/>
  <c r="I12" i="24"/>
  <c r="O12" i="24"/>
  <c r="W12" i="24"/>
  <c r="AE12" i="24"/>
  <c r="AM12" i="24"/>
  <c r="Y12" i="24"/>
  <c r="H12" i="24"/>
  <c r="P12" i="24"/>
  <c r="X12" i="24"/>
  <c r="AF12" i="24"/>
  <c r="AN12" i="24"/>
  <c r="G12" i="24"/>
  <c r="P5" i="2"/>
  <c r="P3" i="2"/>
  <c r="P6" i="2"/>
  <c r="P7" i="2"/>
  <c r="AE7" i="2"/>
  <c r="AE6" i="2"/>
  <c r="AE3" i="2"/>
  <c r="AE5" i="2"/>
  <c r="W5" i="2"/>
  <c r="W7" i="2"/>
  <c r="W3" i="2"/>
  <c r="W6" i="2"/>
  <c r="AC7" i="2"/>
  <c r="AC3" i="2"/>
  <c r="AC5" i="2"/>
  <c r="AC6" i="2"/>
  <c r="U7" i="2"/>
  <c r="U5" i="2"/>
  <c r="U3" i="2"/>
  <c r="U6" i="2"/>
  <c r="T7" i="2"/>
  <c r="T3" i="2"/>
  <c r="T6" i="2"/>
  <c r="T5" i="2"/>
  <c r="AA3" i="2"/>
  <c r="AA6" i="2"/>
  <c r="AA5" i="2"/>
  <c r="AA7" i="2"/>
  <c r="Z6" i="2"/>
  <c r="Z5" i="2"/>
  <c r="Z3" i="2"/>
  <c r="Z7" i="2"/>
  <c r="R6" i="2"/>
  <c r="R5" i="2"/>
  <c r="R7" i="2"/>
  <c r="R3" i="2"/>
  <c r="AB7" i="2"/>
  <c r="AB3" i="2"/>
  <c r="AB6" i="2"/>
  <c r="AB5" i="2"/>
  <c r="S3" i="2"/>
  <c r="S6" i="2"/>
  <c r="S5" i="2"/>
  <c r="S7" i="2"/>
  <c r="Y5" i="2"/>
  <c r="Y3" i="2"/>
  <c r="Y6" i="2"/>
  <c r="Y7" i="2"/>
  <c r="Q5" i="2"/>
  <c r="Q3" i="2"/>
  <c r="Q6" i="2"/>
  <c r="Q7" i="2"/>
  <c r="X5" i="2"/>
  <c r="X7" i="2"/>
  <c r="X3" i="2"/>
  <c r="X6" i="2"/>
  <c r="O6" i="2"/>
  <c r="O7" i="2"/>
  <c r="O5" i="2"/>
  <c r="O3" i="2"/>
  <c r="AD7" i="2"/>
  <c r="AD5" i="2"/>
  <c r="AD3" i="2"/>
  <c r="AD6" i="2"/>
  <c r="V7" i="2"/>
  <c r="V3" i="2"/>
  <c r="V5" i="2"/>
  <c r="V6" i="2"/>
  <c r="N4" i="2" l="1"/>
  <c r="B16" i="26"/>
  <c r="C16" i="26"/>
  <c r="AA2" i="24" s="1"/>
  <c r="B4" i="2" l="1"/>
  <c r="B6" i="2" s="1"/>
  <c r="N7" i="2"/>
  <c r="N3" i="2"/>
  <c r="N6" i="2"/>
  <c r="N5" i="2"/>
  <c r="B7" i="2" l="1"/>
  <c r="B5" i="2"/>
  <c r="B3" i="2"/>
  <c r="X5" i="8"/>
  <c r="D4" i="2" l="1"/>
  <c r="D7" i="2" s="1"/>
  <c r="C4" i="2"/>
  <c r="C3" i="2" s="1"/>
  <c r="E4" i="2"/>
  <c r="Y5" i="9"/>
  <c r="Z5" i="9"/>
  <c r="AA5" i="9"/>
  <c r="AC5" i="9"/>
  <c r="AD5" i="9"/>
  <c r="AE5" i="9"/>
  <c r="C7" i="2" l="1"/>
  <c r="C5" i="2"/>
  <c r="C6" i="2"/>
  <c r="D5" i="2"/>
  <c r="D6" i="2"/>
  <c r="D3" i="2"/>
  <c r="E7" i="2"/>
  <c r="E3" i="2"/>
  <c r="E6" i="2"/>
  <c r="E5" i="2"/>
  <c r="F4" i="2"/>
  <c r="AB5" i="8"/>
  <c r="AA5" i="8"/>
  <c r="AE5" i="8"/>
  <c r="AD5" i="8"/>
  <c r="Z5" i="8"/>
  <c r="AC5" i="8"/>
  <c r="AB5" i="9"/>
  <c r="Y5" i="8"/>
  <c r="B31" i="26"/>
  <c r="B27" i="26"/>
  <c r="F7" i="2" l="1"/>
  <c r="F5" i="2"/>
  <c r="F3" i="2"/>
  <c r="F6" i="2"/>
  <c r="G4" i="2"/>
  <c r="L5" i="8"/>
  <c r="R5" i="8"/>
  <c r="P5" i="8"/>
  <c r="B5" i="8"/>
  <c r="T5" i="8"/>
  <c r="M5" i="8"/>
  <c r="C5" i="8"/>
  <c r="K5" i="8"/>
  <c r="Q5" i="8"/>
  <c r="F5" i="8"/>
  <c r="V5" i="8"/>
  <c r="G5" i="8"/>
  <c r="O5" i="8"/>
  <c r="S5" i="8"/>
  <c r="U5" i="8"/>
  <c r="D5" i="8"/>
  <c r="H5" i="8"/>
  <c r="E5" i="8"/>
  <c r="N5" i="8"/>
  <c r="I5" i="8"/>
  <c r="W5" i="8"/>
  <c r="J5" i="8"/>
  <c r="B20" i="26"/>
  <c r="G5" i="2" l="1"/>
  <c r="G7" i="2"/>
  <c r="G3" i="2"/>
  <c r="G6" i="2"/>
  <c r="H4" i="2"/>
  <c r="B21" i="26"/>
  <c r="B22" i="26" s="1"/>
  <c r="V5" i="24" s="1"/>
  <c r="AM4" i="24" s="1"/>
  <c r="H5" i="2" l="1"/>
  <c r="H3" i="2"/>
  <c r="H6" i="2"/>
  <c r="H7" i="2"/>
  <c r="I4" i="2"/>
  <c r="U5" i="24"/>
  <c r="I5" i="2" l="1"/>
  <c r="I3" i="2"/>
  <c r="I6" i="2"/>
  <c r="I7" i="2"/>
  <c r="J4" i="2"/>
  <c r="T5" i="24"/>
  <c r="J6" i="2" l="1"/>
  <c r="J7" i="2"/>
  <c r="J5" i="2"/>
  <c r="J3" i="2"/>
  <c r="K4" i="2"/>
  <c r="S5" i="24"/>
  <c r="Y2" i="8"/>
  <c r="Y8" i="8"/>
  <c r="AB2" i="9"/>
  <c r="AB8" i="9"/>
  <c r="AE2" i="8"/>
  <c r="AE8" i="8"/>
  <c r="X8" i="8"/>
  <c r="X2" i="8"/>
  <c r="AA2" i="9"/>
  <c r="AA8" i="9"/>
  <c r="AD8" i="8"/>
  <c r="AD2" i="8"/>
  <c r="Z2" i="9"/>
  <c r="Z8" i="9"/>
  <c r="AC2" i="8"/>
  <c r="AC8" i="8"/>
  <c r="AB8" i="8"/>
  <c r="AB2" i="8"/>
  <c r="AE2" i="9"/>
  <c r="AE8" i="9"/>
  <c r="Z8" i="8"/>
  <c r="Z2" i="8"/>
  <c r="AD2" i="9"/>
  <c r="AD8" i="9"/>
  <c r="AC8" i="9"/>
  <c r="AC2" i="9"/>
  <c r="K3" i="2" l="1"/>
  <c r="K6" i="2"/>
  <c r="K7" i="2"/>
  <c r="K5" i="2"/>
  <c r="M4" i="2"/>
  <c r="L4" i="2"/>
  <c r="R5" i="24"/>
  <c r="H8" i="8"/>
  <c r="H2" i="8"/>
  <c r="K8" i="8"/>
  <c r="K2" i="8"/>
  <c r="C8" i="10"/>
  <c r="V8" i="8"/>
  <c r="V2" i="8"/>
  <c r="L8" i="8"/>
  <c r="L2" i="8"/>
  <c r="I2" i="8"/>
  <c r="I8" i="8"/>
  <c r="Z8" i="10"/>
  <c r="S8" i="10"/>
  <c r="J8" i="10"/>
  <c r="J8" i="8"/>
  <c r="J2" i="8"/>
  <c r="H8" i="10"/>
  <c r="S8" i="8"/>
  <c r="S2" i="8"/>
  <c r="F8" i="8"/>
  <c r="F2" i="8"/>
  <c r="D8" i="8"/>
  <c r="D2" i="8"/>
  <c r="R8" i="10"/>
  <c r="AD8" i="10"/>
  <c r="B8" i="10"/>
  <c r="O2" i="8"/>
  <c r="O8" i="8"/>
  <c r="AC8" i="10"/>
  <c r="T8" i="8"/>
  <c r="T2" i="8"/>
  <c r="U2" i="8"/>
  <c r="U8" i="8"/>
  <c r="G8" i="8"/>
  <c r="G2" i="8"/>
  <c r="Q8" i="10"/>
  <c r="Y8" i="10"/>
  <c r="F8" i="10"/>
  <c r="V8" i="10"/>
  <c r="I8" i="10"/>
  <c r="D8" i="10"/>
  <c r="AA8" i="8"/>
  <c r="AA2" i="8"/>
  <c r="M2" i="8"/>
  <c r="M8" i="8"/>
  <c r="C8" i="8"/>
  <c r="C2" i="8"/>
  <c r="W2" i="8"/>
  <c r="W8" i="8"/>
  <c r="AE8" i="10"/>
  <c r="E8" i="8"/>
  <c r="E2" i="8"/>
  <c r="B8" i="8"/>
  <c r="B2" i="8"/>
  <c r="P8" i="8"/>
  <c r="P2" i="8"/>
  <c r="W8" i="10"/>
  <c r="U8" i="10"/>
  <c r="AB8" i="10"/>
  <c r="X8" i="10"/>
  <c r="M8" i="10"/>
  <c r="T8" i="10"/>
  <c r="AA8" i="10"/>
  <c r="Q2" i="8"/>
  <c r="Q8" i="8"/>
  <c r="N8" i="8"/>
  <c r="N2" i="8"/>
  <c r="R8" i="8"/>
  <c r="R2" i="8"/>
  <c r="P8" i="10"/>
  <c r="G8" i="10"/>
  <c r="E8" i="10"/>
  <c r="L8" i="10"/>
  <c r="O8" i="10"/>
  <c r="Y2" i="9"/>
  <c r="Y8" i="9"/>
  <c r="N8" i="10"/>
  <c r="K8" i="10"/>
  <c r="L7" i="2" l="1"/>
  <c r="L3" i="2"/>
  <c r="L6" i="2"/>
  <c r="L5" i="2"/>
  <c r="M7" i="2"/>
  <c r="M3" i="2"/>
  <c r="M6" i="2"/>
  <c r="M5" i="2"/>
  <c r="Q5" i="24"/>
  <c r="P5" i="24" l="1"/>
  <c r="O5" i="24" l="1"/>
  <c r="N5" i="24" l="1"/>
  <c r="M5" i="24" l="1"/>
  <c r="L5" i="24" s="1"/>
  <c r="AL4" i="24" l="1"/>
  <c r="AK4" i="24" l="1"/>
  <c r="AJ4" i="24" l="1"/>
  <c r="AI4" i="24" l="1"/>
  <c r="AH4" i="24" l="1"/>
  <c r="AG4" i="24" l="1"/>
  <c r="AF4" i="24" l="1"/>
  <c r="AE4" i="24" l="1"/>
  <c r="AD4" i="24" l="1"/>
  <c r="AC4" i="24" l="1"/>
  <c r="AB4" i="24" l="1"/>
  <c r="AA4" i="24" l="1"/>
  <c r="Z4" i="24" l="1"/>
  <c r="Y4" i="24" l="1"/>
  <c r="X4" i="24" l="1"/>
  <c r="W4" i="24" l="1"/>
  <c r="V4" i="24" l="1"/>
  <c r="U4" i="24" l="1"/>
  <c r="T4" i="24" l="1"/>
  <c r="S4" i="24" l="1"/>
  <c r="R4" i="24" l="1"/>
  <c r="Q4" i="24" l="1"/>
  <c r="P4" i="24" l="1"/>
  <c r="O4" i="24" l="1"/>
  <c r="N4" i="24" l="1"/>
  <c r="M4" i="24" l="1"/>
  <c r="L4" i="24" s="1"/>
  <c r="B5" i="9" l="1"/>
  <c r="B2" i="9" s="1"/>
  <c r="C5" i="9"/>
  <c r="C2" i="9" s="1"/>
  <c r="D5" i="9"/>
  <c r="D2" i="9" s="1"/>
  <c r="E5" i="9"/>
  <c r="E2" i="9" s="1"/>
  <c r="F5" i="9"/>
  <c r="F2" i="9" s="1"/>
  <c r="G5" i="9"/>
  <c r="H5" i="9"/>
  <c r="H2" i="9" s="1"/>
  <c r="I5" i="9"/>
  <c r="I2" i="9" s="1"/>
  <c r="J5" i="9"/>
  <c r="J2" i="9" s="1"/>
  <c r="K5" i="9"/>
  <c r="K2" i="9" s="1"/>
  <c r="L5" i="9"/>
  <c r="L2" i="9" s="1"/>
  <c r="M5" i="9"/>
  <c r="M2" i="9" s="1"/>
  <c r="N5" i="9"/>
  <c r="N2" i="9" s="1"/>
  <c r="O5" i="9"/>
  <c r="P5" i="9"/>
  <c r="P2" i="9" s="1"/>
  <c r="Q5" i="9"/>
  <c r="Q2" i="9" s="1"/>
  <c r="R5" i="9"/>
  <c r="R2" i="9" s="1"/>
  <c r="S5" i="9"/>
  <c r="S2" i="9" s="1"/>
  <c r="T5" i="9"/>
  <c r="T2" i="9" s="1"/>
  <c r="U5" i="9"/>
  <c r="U2" i="9" s="1"/>
  <c r="V5" i="9"/>
  <c r="V2" i="9" s="1"/>
  <c r="W5" i="9"/>
  <c r="X5" i="9"/>
  <c r="X2" i="9" s="1"/>
  <c r="S8" i="9" l="1"/>
  <c r="R8" i="9"/>
  <c r="K8" i="9"/>
  <c r="T8" i="9"/>
  <c r="L8" i="9"/>
  <c r="D8" i="9"/>
  <c r="Q8" i="9"/>
  <c r="I8" i="9"/>
  <c r="J8" i="9"/>
  <c r="B8" i="9"/>
  <c r="F8" i="9"/>
  <c r="C8" i="9"/>
  <c r="V8" i="9"/>
  <c r="H8" i="9"/>
  <c r="P8" i="9"/>
  <c r="N8" i="9"/>
  <c r="E8" i="9"/>
  <c r="M8" i="9"/>
  <c r="U8" i="9"/>
  <c r="X8" i="9"/>
  <c r="W2" i="9"/>
  <c r="W8" i="9"/>
  <c r="O2" i="9"/>
  <c r="O8" i="9"/>
  <c r="G2" i="9"/>
  <c r="G8" i="9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B5" i="11" l="1"/>
  <c r="B2" i="11" s="1"/>
  <c r="C5" i="11"/>
  <c r="C2" i="11" s="1"/>
  <c r="D5" i="11"/>
  <c r="D2" i="11" s="1"/>
  <c r="E5" i="11"/>
  <c r="E2" i="11" s="1"/>
  <c r="F5" i="11"/>
  <c r="F2" i="11" s="1"/>
  <c r="G5" i="11"/>
  <c r="G2" i="11" s="1"/>
  <c r="H5" i="11"/>
  <c r="H2" i="11" s="1"/>
  <c r="I5" i="11"/>
  <c r="I2" i="11" s="1"/>
  <c r="J5" i="11"/>
  <c r="J2" i="11" s="1"/>
  <c r="K5" i="11"/>
  <c r="K2" i="11" s="1"/>
  <c r="L5" i="11"/>
  <c r="L2" i="11" s="1"/>
  <c r="M5" i="11"/>
  <c r="M2" i="11" s="1"/>
  <c r="N5" i="11"/>
  <c r="N2" i="11" s="1"/>
  <c r="O5" i="11"/>
  <c r="O2" i="11" s="1"/>
  <c r="P5" i="11"/>
  <c r="P2" i="11" s="1"/>
  <c r="Q5" i="11"/>
  <c r="Q2" i="11" s="1"/>
  <c r="R5" i="11"/>
  <c r="R2" i="11" s="1"/>
  <c r="S5" i="11"/>
  <c r="S2" i="11" s="1"/>
  <c r="T5" i="11"/>
  <c r="T2" i="11" s="1"/>
  <c r="U5" i="11"/>
  <c r="U2" i="11" s="1"/>
  <c r="V5" i="11"/>
  <c r="V2" i="11" s="1"/>
  <c r="W5" i="11"/>
  <c r="W2" i="11" s="1"/>
  <c r="X5" i="11"/>
  <c r="X2" i="11" s="1"/>
  <c r="Y5" i="11"/>
  <c r="Y2" i="11" s="1"/>
  <c r="Z5" i="11"/>
  <c r="Z2" i="11" s="1"/>
  <c r="AA5" i="11"/>
  <c r="AA2" i="11" s="1"/>
  <c r="AB5" i="11"/>
  <c r="AB2" i="11" s="1"/>
  <c r="AC5" i="11"/>
  <c r="AC2" i="11" s="1"/>
  <c r="AD5" i="11"/>
  <c r="AD2" i="11" s="1"/>
  <c r="AE5" i="11"/>
  <c r="AE2" i="11" s="1"/>
  <c r="B5" i="13"/>
  <c r="B2" i="13" s="1"/>
  <c r="C5" i="13"/>
  <c r="C2" i="13" s="1"/>
  <c r="D5" i="13"/>
  <c r="D2" i="13" s="1"/>
  <c r="E5" i="13"/>
  <c r="E2" i="13" s="1"/>
  <c r="F5" i="13"/>
  <c r="F2" i="13" s="1"/>
  <c r="G5" i="13"/>
  <c r="G2" i="13" s="1"/>
  <c r="H5" i="13"/>
  <c r="H2" i="13" s="1"/>
  <c r="I5" i="13"/>
  <c r="I2" i="13" s="1"/>
  <c r="J5" i="13"/>
  <c r="J2" i="13" s="1"/>
  <c r="K5" i="13"/>
  <c r="K2" i="13" s="1"/>
  <c r="L5" i="13"/>
  <c r="L2" i="13" s="1"/>
  <c r="M5" i="13"/>
  <c r="M2" i="13" s="1"/>
  <c r="N5" i="13"/>
  <c r="N2" i="13" s="1"/>
  <c r="O5" i="13"/>
  <c r="O2" i="13" s="1"/>
  <c r="P5" i="13"/>
  <c r="P2" i="13" s="1"/>
  <c r="Q5" i="13"/>
  <c r="Q2" i="13" s="1"/>
  <c r="R5" i="13"/>
  <c r="R2" i="13" s="1"/>
  <c r="S5" i="13"/>
  <c r="S2" i="13" s="1"/>
  <c r="T5" i="13"/>
  <c r="T2" i="13" s="1"/>
  <c r="U5" i="13"/>
  <c r="U2" i="13" s="1"/>
  <c r="V5" i="13"/>
  <c r="V2" i="13" s="1"/>
  <c r="W5" i="13"/>
  <c r="W2" i="13" s="1"/>
  <c r="X5" i="13"/>
  <c r="X2" i="13" s="1"/>
  <c r="Y5" i="13"/>
  <c r="Y2" i="13" s="1"/>
  <c r="Z5" i="13"/>
  <c r="Z2" i="13" s="1"/>
  <c r="AA5" i="13"/>
  <c r="AA2" i="13" s="1"/>
  <c r="AB5" i="13"/>
  <c r="AB2" i="13" s="1"/>
  <c r="AC5" i="13"/>
  <c r="AC2" i="13" s="1"/>
  <c r="AD5" i="13"/>
  <c r="AD2" i="13" s="1"/>
  <c r="AE5" i="13"/>
  <c r="AE2" i="13" s="1"/>
  <c r="K8" i="11" l="1"/>
  <c r="U8" i="13"/>
  <c r="E8" i="13"/>
  <c r="AB8" i="11"/>
  <c r="I8" i="11"/>
  <c r="AA8" i="11"/>
  <c r="Y8" i="11"/>
  <c r="Q8" i="11"/>
  <c r="X8" i="13"/>
  <c r="O8" i="13"/>
  <c r="G8" i="13"/>
  <c r="U8" i="11"/>
  <c r="P8" i="13"/>
  <c r="M8" i="13"/>
  <c r="AC8" i="13"/>
  <c r="F8" i="13"/>
  <c r="V8" i="13"/>
  <c r="J8" i="11"/>
  <c r="R8" i="13"/>
  <c r="B8" i="13"/>
  <c r="Z8" i="11"/>
  <c r="B8" i="11"/>
  <c r="AD8" i="13"/>
  <c r="N8" i="13"/>
  <c r="R8" i="11"/>
  <c r="AA8" i="13"/>
  <c r="Z8" i="13"/>
  <c r="C8" i="13"/>
  <c r="K8" i="13"/>
  <c r="F8" i="11"/>
  <c r="T8" i="11"/>
  <c r="D8" i="11"/>
  <c r="J8" i="13"/>
  <c r="AE8" i="13"/>
  <c r="S8" i="13"/>
  <c r="H8" i="13"/>
  <c r="S8" i="11"/>
  <c r="C8" i="11"/>
  <c r="I8" i="13"/>
  <c r="H8" i="11"/>
  <c r="Q8" i="13"/>
  <c r="P8" i="11"/>
  <c r="E8" i="11"/>
  <c r="Y8" i="13"/>
  <c r="X8" i="11"/>
  <c r="N8" i="11"/>
  <c r="V8" i="11"/>
  <c r="M8" i="11"/>
  <c r="W8" i="13"/>
  <c r="AE8" i="11"/>
  <c r="W8" i="11"/>
  <c r="O8" i="11"/>
  <c r="G8" i="11"/>
  <c r="AD8" i="11"/>
  <c r="AC8" i="11"/>
  <c r="L8" i="11"/>
  <c r="AB8" i="13"/>
  <c r="T8" i="13"/>
  <c r="L8" i="13"/>
  <c r="D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<sst xmlns="http://schemas.openxmlformats.org/spreadsheetml/2006/main" count="292" uniqueCount="100">
  <si>
    <t>Sources:</t>
  </si>
  <si>
    <t>Notes</t>
  </si>
  <si>
    <t>battery electric vehicle</t>
  </si>
  <si>
    <t>natural gas vehicle</t>
  </si>
  <si>
    <t>gasoline vehicle</t>
  </si>
  <si>
    <t>diesel vehicle</t>
  </si>
  <si>
    <t>plugin hybrid vehicle</t>
  </si>
  <si>
    <t>aircraft</t>
  </si>
  <si>
    <t>HDVs</t>
  </si>
  <si>
    <t>Perc Reduction in Fuel Use for Electricity</t>
  </si>
  <si>
    <t>Perc of Electricity Use for Plug-In Hybrid Vehicles</t>
  </si>
  <si>
    <t>electricity share</t>
  </si>
  <si>
    <t>For source, see the variable BPoEFUbVT.</t>
  </si>
  <si>
    <t>LDVs and motorbikes</t>
  </si>
  <si>
    <t>BHNVFEAL BAU Historical New Vehicle Fuel Economy After Lifetime</t>
  </si>
  <si>
    <t>LDVs</t>
  </si>
  <si>
    <t>rail</t>
  </si>
  <si>
    <t>ships</t>
  </si>
  <si>
    <t>motorbikes</t>
  </si>
  <si>
    <t>Vehicle Lifetimes (years)</t>
  </si>
  <si>
    <t>For sources and calculations, see the variable AVL.</t>
  </si>
  <si>
    <t>psgr</t>
  </si>
  <si>
    <t>frgt</t>
  </si>
  <si>
    <t>This tab contains BAU New Vehicle Fuel Economy (BNVFE) data for the primary</t>
  </si>
  <si>
    <t>vehicle technology for each vehicle/cargo combination.  This is the technology</t>
  </si>
  <si>
    <t>from which the BAU new vehicle fuel economies of the other technologies</t>
  </si>
  <si>
    <t>are calculated.</t>
  </si>
  <si>
    <t>BAU New Vehicle Fuel Economy (from BNVFE variable)</t>
  </si>
  <si>
    <t>vehicle type</t>
  </si>
  <si>
    <t>cargo type</t>
  </si>
  <si>
    <t>BAU New Vehicle Fuel Economy</t>
  </si>
  <si>
    <t>Vehicle Lifetimes</t>
  </si>
  <si>
    <t>For sources and calculations, see the variable BNVFE.</t>
  </si>
  <si>
    <t>To estimate the BAU New Vehicle Fuel Economy in historical years (up to one</t>
  </si>
  <si>
    <t>vehicle lifetime before the first simulated year of the model run), we use</t>
  </si>
  <si>
    <t>a somewhat simplified approach.  We linearly extrapolate backwards from</t>
  </si>
  <si>
    <t>the future year values in BNVFE, using the entire period (2016-2050) as the</t>
  </si>
  <si>
    <t>over to using data from retiring vehicles that were added during the</t>
  </si>
  <si>
    <t>Historical fuel economies are estimated for vehicle type / technology</t>
  </si>
  <si>
    <t>combinations that did not exist in those years, such as battery</t>
  </si>
  <si>
    <t>electric HDVs in 1988.  This is simply for consistency of formulas</t>
  </si>
  <si>
    <t>and will not cause any problems, as there are no such vehicles to</t>
  </si>
  <si>
    <t>be retired during the model run.</t>
  </si>
  <si>
    <t>More than one vehicle lifetime into</t>
  </si>
  <si>
    <t>the model run, the model will have switched</t>
  </si>
  <si>
    <t>model run itself and no longer needs to reference the historical input data</t>
  </si>
  <si>
    <t>in this variable.  However, we include values in this variable out to</t>
  </si>
  <si>
    <t>2050 to make the process of updating the model's start year</t>
  </si>
  <si>
    <t>simpler (since no updates to this variable will be needed).</t>
  </si>
  <si>
    <t>Vehicle Loadings (in people or freight tons / vehicle)</t>
  </si>
  <si>
    <t>Source:</t>
  </si>
  <si>
    <t>passenger LDVs</t>
  </si>
  <si>
    <t>For sources and calculations, see the variable AVLo.</t>
  </si>
  <si>
    <t>freight LDVs</t>
  </si>
  <si>
    <t>passenger HDVs</t>
  </si>
  <si>
    <t>freight HDVs</t>
  </si>
  <si>
    <t>passenger rail</t>
  </si>
  <si>
    <t>BTU per Gallon Liquid Fuels</t>
  </si>
  <si>
    <t>gasoline</t>
  </si>
  <si>
    <t>EIA</t>
  </si>
  <si>
    <t>Energy Explained: Units and Calculators</t>
  </si>
  <si>
    <t>diesel</t>
  </si>
  <si>
    <t>https://www.eia.gov/energyexplained/index.cfm/index.cfm?page=about_energy_units</t>
  </si>
  <si>
    <t>Historical AEO fuel economy - passenger LDVs</t>
  </si>
  <si>
    <t>Source</t>
  </si>
  <si>
    <t>MPG</t>
  </si>
  <si>
    <t>thing-miles/BTU</t>
  </si>
  <si>
    <t>2002 diesel heavy-duty vehicles</t>
  </si>
  <si>
    <t>Ratio of 2019 AEO overall freight efficiency to "heavy" freight efficiency, AEO 2019</t>
  </si>
  <si>
    <t>2002 Average Freight HDV efficiency (MPG)</t>
  </si>
  <si>
    <t>2002 Average Freight HDV efficiency (thing-miles/BTU)</t>
  </si>
  <si>
    <t>Historical fuel economy - freight HDV</t>
  </si>
  <si>
    <t>Annual Energy Outlook 2008</t>
  </si>
  <si>
    <t>https://www.eia.gov/outlooks/archive/aeo08/index.html</t>
  </si>
  <si>
    <t>Tables 35, 49, 55</t>
  </si>
  <si>
    <t>Hydrogen vs. Gasoline Efficiency</t>
  </si>
  <si>
    <t>gasoline car efficiency</t>
  </si>
  <si>
    <t>hydrogen FCV efficiency</t>
  </si>
  <si>
    <t>distance multiplier for hydrogen vehicles</t>
  </si>
  <si>
    <t>Propane (LPG) vs. Gasoline Efficiency</t>
  </si>
  <si>
    <t>reduction in efficiency for propane</t>
  </si>
  <si>
    <t>distance multiplier for propane vehicles</t>
  </si>
  <si>
    <t>See the variable BNVFE</t>
  </si>
  <si>
    <t>Efficiency modifiers for LPG and hydrogen vehicles</t>
  </si>
  <si>
    <t>LPG vehicle</t>
  </si>
  <si>
    <t>hydrogen vehicle</t>
  </si>
  <si>
    <t>For sources and calculations, see the variable PTFURfE.</t>
  </si>
  <si>
    <t>Fuel Economy ((thing*miles)/BTU)</t>
  </si>
  <si>
    <t>AEO 2010 Table 7</t>
  </si>
  <si>
    <t>psgr - diesel</t>
  </si>
  <si>
    <t>psgr - electric</t>
  </si>
  <si>
    <t>Fuel Economy (passenger*miles/BTU)</t>
  </si>
  <si>
    <t>Fuel Economy (freight ton*miles/BTU)</t>
  </si>
  <si>
    <t>All passenger LDVs</t>
  </si>
  <si>
    <t>Fuel Economy (thing*miles/BTU)</t>
  </si>
  <si>
    <t>line when needed to avoid any discontinuity.</t>
  </si>
  <si>
    <t>basis for extrapolation. We adjust the Y-intercept of the extrapolated</t>
  </si>
  <si>
    <t xml:space="preserve">For the following vehicle types, we instead use values directly from SYFAFE, which results in </t>
  </si>
  <si>
    <t>energy consumption that more closely matches EIA's AEO trajectory: freight LDVs, passenger HDVs, freight HDVs, passenger ships, passenger motorbikes.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</si>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</sst>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0.000"/>
    <numFmt numFmtId="167" formatCode="0.0%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56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2" borderId="6" applyNumberFormat="0" applyAlignment="0" applyProtection="0"/>
    <xf numFmtId="0" fontId="10" fillId="23" borderId="7" applyNumberFormat="0" applyAlignment="0" applyProtection="0"/>
    <xf numFmtId="0" fontId="11" fillId="0" borderId="0">
      <alignment horizontal="center" vertical="center" wrapText="1"/>
    </xf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horizontal="left" vertical="center"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4" fillId="0" borderId="8" applyNumberFormat="0" applyFill="0">
      <alignment horizontal="right"/>
    </xf>
    <xf numFmtId="164" fontId="15" fillId="0" borderId="8" applyNumberFormat="0" applyFill="0">
      <alignment horizontal="right"/>
    </xf>
    <xf numFmtId="165" fontId="16" fillId="0" borderId="8">
      <alignment horizontal="right" vertical="center"/>
    </xf>
    <xf numFmtId="49" fontId="17" fillId="0" borderId="8">
      <alignment horizontal="left" vertical="center"/>
    </xf>
    <xf numFmtId="164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6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6" applyNumberFormat="0" applyAlignment="0" applyProtection="0"/>
    <xf numFmtId="0" fontId="29" fillId="0" borderId="14" applyNumberFormat="0" applyFill="0" applyAlignment="0" applyProtection="0"/>
    <xf numFmtId="0" fontId="30" fillId="2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6" borderId="15" applyNumberFormat="0" applyFont="0" applyAlignment="0" applyProtection="0"/>
    <xf numFmtId="0" fontId="32" fillId="22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4" fontId="16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left"/>
    </xf>
    <xf numFmtId="0" fontId="40" fillId="0" borderId="0" xfId="0" applyFont="1"/>
    <xf numFmtId="1" fontId="0" fillId="0" borderId="0" xfId="0" applyNumberFormat="1"/>
    <xf numFmtId="11" fontId="0" fillId="28" borderId="0" xfId="0" applyNumberFormat="1" applyFill="1"/>
    <xf numFmtId="0" fontId="0" fillId="28" borderId="0" xfId="0" applyFill="1"/>
    <xf numFmtId="11" fontId="41" fillId="0" borderId="0" xfId="0" applyNumberFormat="1" applyFont="1"/>
    <xf numFmtId="0" fontId="41" fillId="0" borderId="0" xfId="0" applyFont="1"/>
    <xf numFmtId="166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9" fontId="0" fillId="0" borderId="0" xfId="0" applyNumberFormat="1"/>
    <xf numFmtId="167" fontId="0" fillId="0" borderId="0" xfId="0" applyNumberFormat="1"/>
    <xf numFmtId="0" fontId="42" fillId="0" borderId="0" xfId="153"/>
    <xf numFmtId="0" fontId="2" fillId="0" borderId="0" xfId="0" applyFont="1" applyAlignment="1">
      <alignment wrapText="1"/>
    </xf>
    <xf numFmtId="11" fontId="43" fillId="0" borderId="0" xfId="0" applyNumberFormat="1" applyFont="1"/>
    <xf numFmtId="0" fontId="43" fillId="0" borderId="0" xfId="0" applyFont="1"/>
    <xf numFmtId="0" fontId="0" fillId="0" borderId="0" xfId="0" applyAlignment="1">
      <alignment horizontal="right" wrapText="1"/>
    </xf>
    <xf numFmtId="167" fontId="0" fillId="0" borderId="0" xfId="155" applyNumberFormat="1" applyFont="1"/>
    <xf numFmtId="11" fontId="0" fillId="29" borderId="0" xfId="0" applyNumberFormat="1" applyFill="1"/>
    <xf numFmtId="0" fontId="0" fillId="0" borderId="19" xfId="0" applyBorder="1"/>
    <xf numFmtId="0" fontId="0" fillId="0" borderId="20" xfId="0" applyBorder="1"/>
    <xf numFmtId="11" fontId="0" fillId="0" borderId="20" xfId="0" applyNumberFormat="1" applyBorder="1"/>
    <xf numFmtId="11" fontId="43" fillId="0" borderId="20" xfId="0" applyNumberFormat="1" applyFont="1" applyBorder="1"/>
    <xf numFmtId="0" fontId="43" fillId="0" borderId="20" xfId="0" applyFont="1" applyBorder="1"/>
    <xf numFmtId="0" fontId="0" fillId="0" borderId="0" xfId="154" applyNumberFormat="1" applyFont="1"/>
    <xf numFmtId="0" fontId="0" fillId="0" borderId="0" xfId="155" applyNumberFormat="1" applyFont="1"/>
    <xf numFmtId="14" fontId="0" fillId="0" borderId="0" xfId="0" applyNumberFormat="1"/>
  </cellXfs>
  <cellStyles count="156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Body: normal cell" xfId="4" xr:uid="{00000000-0005-0000-0000-000019000000}"/>
    <cellStyle name="Body: normal cell 2" xfId="33" xr:uid="{00000000-0005-0000-0000-00001A000000}"/>
    <cellStyle name="Calculation 2" xfId="34" xr:uid="{00000000-0005-0000-0000-00001B000000}"/>
    <cellStyle name="Check Cell 2" xfId="35" xr:uid="{00000000-0005-0000-0000-00001C000000}"/>
    <cellStyle name="Column heading" xfId="36" xr:uid="{00000000-0005-0000-0000-00001D000000}"/>
    <cellStyle name="Comma" xfId="154" builtinId="3"/>
    <cellStyle name="Comma 2" xfId="37" xr:uid="{00000000-0005-0000-0000-00001F000000}"/>
    <cellStyle name="Comma 2 2" xfId="38" xr:uid="{00000000-0005-0000-0000-000020000000}"/>
    <cellStyle name="Comma 3" xfId="39" xr:uid="{00000000-0005-0000-0000-000021000000}"/>
    <cellStyle name="Comma 4" xfId="40" xr:uid="{00000000-0005-0000-0000-000022000000}"/>
    <cellStyle name="Comma 5" xfId="41" xr:uid="{00000000-0005-0000-0000-000023000000}"/>
    <cellStyle name="Comma 6" xfId="42" xr:uid="{00000000-0005-0000-0000-000024000000}"/>
    <cellStyle name="Comma 7" xfId="43" xr:uid="{00000000-0005-0000-0000-000025000000}"/>
    <cellStyle name="Comma 8" xfId="44" xr:uid="{00000000-0005-0000-0000-000026000000}"/>
    <cellStyle name="Corner heading" xfId="45" xr:uid="{00000000-0005-0000-0000-000027000000}"/>
    <cellStyle name="Currency 2" xfId="46" xr:uid="{00000000-0005-0000-0000-000028000000}"/>
    <cellStyle name="Currency 3" xfId="47" xr:uid="{00000000-0005-0000-0000-000029000000}"/>
    <cellStyle name="Currency 3 2" xfId="48" xr:uid="{00000000-0005-0000-0000-00002A000000}"/>
    <cellStyle name="Data" xfId="49" xr:uid="{00000000-0005-0000-0000-00002B000000}"/>
    <cellStyle name="Data 2" xfId="50" xr:uid="{00000000-0005-0000-0000-00002C000000}"/>
    <cellStyle name="Data no deci" xfId="51" xr:uid="{00000000-0005-0000-0000-00002D000000}"/>
    <cellStyle name="Data Superscript" xfId="52" xr:uid="{00000000-0005-0000-0000-00002E000000}"/>
    <cellStyle name="Data_1-1A-Regular" xfId="53" xr:uid="{00000000-0005-0000-0000-00002F000000}"/>
    <cellStyle name="Explanatory Text 2" xfId="54" xr:uid="{00000000-0005-0000-0000-000030000000}"/>
    <cellStyle name="Font: Calibri, 9pt regular" xfId="6" xr:uid="{00000000-0005-0000-0000-000031000000}"/>
    <cellStyle name="Font: Calibri, 9pt regular 2" xfId="55" xr:uid="{00000000-0005-0000-0000-000032000000}"/>
    <cellStyle name="Footnotes: top row" xfId="2" xr:uid="{00000000-0005-0000-0000-000033000000}"/>
    <cellStyle name="Footnotes: top row 2" xfId="56" xr:uid="{00000000-0005-0000-0000-000034000000}"/>
    <cellStyle name="Good 2" xfId="57" xr:uid="{00000000-0005-0000-0000-000035000000}"/>
    <cellStyle name="Header: bottom row" xfId="5" xr:uid="{00000000-0005-0000-0000-000036000000}"/>
    <cellStyle name="Header: bottom row 2" xfId="58" xr:uid="{00000000-0005-0000-0000-000037000000}"/>
    <cellStyle name="Heading 1 2" xfId="59" xr:uid="{00000000-0005-0000-0000-000038000000}"/>
    <cellStyle name="Heading 2 2" xfId="60" xr:uid="{00000000-0005-0000-0000-000039000000}"/>
    <cellStyle name="Heading 3 2" xfId="61" xr:uid="{00000000-0005-0000-0000-00003A000000}"/>
    <cellStyle name="Heading 4 2" xfId="62" xr:uid="{00000000-0005-0000-0000-00003B000000}"/>
    <cellStyle name="Hed Side" xfId="63" xr:uid="{00000000-0005-0000-0000-00003C000000}"/>
    <cellStyle name="Hed Side 2" xfId="64" xr:uid="{00000000-0005-0000-0000-00003D000000}"/>
    <cellStyle name="Hed Side bold" xfId="65" xr:uid="{00000000-0005-0000-0000-00003E000000}"/>
    <cellStyle name="Hed Side Indent" xfId="66" xr:uid="{00000000-0005-0000-0000-00003F000000}"/>
    <cellStyle name="Hed Side Regular" xfId="67" xr:uid="{00000000-0005-0000-0000-000040000000}"/>
    <cellStyle name="Hed Side_1-1A-Regular" xfId="68" xr:uid="{00000000-0005-0000-0000-000041000000}"/>
    <cellStyle name="Hed Top" xfId="69" xr:uid="{00000000-0005-0000-0000-000042000000}"/>
    <cellStyle name="Hed Top - SECTION" xfId="70" xr:uid="{00000000-0005-0000-0000-000043000000}"/>
    <cellStyle name="Hed Top_3-new4" xfId="71" xr:uid="{00000000-0005-0000-0000-000044000000}"/>
    <cellStyle name="Hyperlink" xfId="153" builtinId="8"/>
    <cellStyle name="Hyperlink 2" xfId="72" xr:uid="{00000000-0005-0000-0000-000046000000}"/>
    <cellStyle name="Input 2" xfId="73" xr:uid="{00000000-0005-0000-0000-000047000000}"/>
    <cellStyle name="Linked Cell 2" xfId="74" xr:uid="{00000000-0005-0000-0000-000048000000}"/>
    <cellStyle name="Neutral 2" xfId="75" xr:uid="{00000000-0005-0000-0000-000049000000}"/>
    <cellStyle name="Normal" xfId="0" builtinId="0"/>
    <cellStyle name="Normal 10" xfId="76" xr:uid="{00000000-0005-0000-0000-00004B000000}"/>
    <cellStyle name="Normal 11" xfId="77" xr:uid="{00000000-0005-0000-0000-00004C000000}"/>
    <cellStyle name="Normal 2" xfId="1" xr:uid="{00000000-0005-0000-0000-00004D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78000000}"/>
    <cellStyle name="Parent row 2" xfId="120" xr:uid="{00000000-0005-0000-0000-000079000000}"/>
    <cellStyle name="Percent" xfId="155" builtinId="5"/>
    <cellStyle name="Percent 2" xfId="121" xr:uid="{00000000-0005-0000-0000-00007B000000}"/>
    <cellStyle name="Percent 2 2" xfId="122" xr:uid="{00000000-0005-0000-0000-00007C000000}"/>
    <cellStyle name="Percent 3" xfId="123" xr:uid="{00000000-0005-0000-0000-00007D000000}"/>
    <cellStyle name="Percent 3 2" xfId="124" xr:uid="{00000000-0005-0000-0000-00007E000000}"/>
    <cellStyle name="Percent 4" xfId="125" xr:uid="{00000000-0005-0000-0000-00007F000000}"/>
    <cellStyle name="Reference" xfId="126" xr:uid="{00000000-0005-0000-0000-000080000000}"/>
    <cellStyle name="Row heading" xfId="127" xr:uid="{00000000-0005-0000-0000-000081000000}"/>
    <cellStyle name="Source Hed" xfId="128" xr:uid="{00000000-0005-0000-0000-000082000000}"/>
    <cellStyle name="Source Letter" xfId="129" xr:uid="{00000000-0005-0000-0000-000083000000}"/>
    <cellStyle name="Source Superscript" xfId="130" xr:uid="{00000000-0005-0000-0000-000084000000}"/>
    <cellStyle name="Source Superscript 2" xfId="131" xr:uid="{00000000-0005-0000-0000-000085000000}"/>
    <cellStyle name="Source Text" xfId="132" xr:uid="{00000000-0005-0000-0000-000086000000}"/>
    <cellStyle name="Source Text 2" xfId="133" xr:uid="{00000000-0005-0000-0000-000087000000}"/>
    <cellStyle name="State" xfId="134" xr:uid="{00000000-0005-0000-0000-000088000000}"/>
    <cellStyle name="Superscript" xfId="135" xr:uid="{00000000-0005-0000-0000-000089000000}"/>
    <cellStyle name="Table Data" xfId="136" xr:uid="{00000000-0005-0000-0000-00008A000000}"/>
    <cellStyle name="Table Head Top" xfId="137" xr:uid="{00000000-0005-0000-0000-00008B000000}"/>
    <cellStyle name="Table Hed Side" xfId="138" xr:uid="{00000000-0005-0000-0000-00008C000000}"/>
    <cellStyle name="Table title" xfId="7" xr:uid="{00000000-0005-0000-0000-00008D000000}"/>
    <cellStyle name="Table title 2" xfId="139" xr:uid="{00000000-0005-0000-0000-00008E000000}"/>
    <cellStyle name="Title 2" xfId="140" xr:uid="{00000000-0005-0000-0000-00008F000000}"/>
    <cellStyle name="Title Text" xfId="141" xr:uid="{00000000-0005-0000-0000-000090000000}"/>
    <cellStyle name="Title Text 1" xfId="142" xr:uid="{00000000-0005-0000-0000-000091000000}"/>
    <cellStyle name="Title Text 2" xfId="143" xr:uid="{00000000-0005-0000-0000-000092000000}"/>
    <cellStyle name="Title-1" xfId="144" xr:uid="{00000000-0005-0000-0000-000093000000}"/>
    <cellStyle name="Title-2" xfId="145" xr:uid="{00000000-0005-0000-0000-000094000000}"/>
    <cellStyle name="Title-3" xfId="146" xr:uid="{00000000-0005-0000-0000-000095000000}"/>
    <cellStyle name="Total 2" xfId="147" xr:uid="{00000000-0005-0000-0000-000096000000}"/>
    <cellStyle name="Warning Text 2" xfId="148" xr:uid="{00000000-0005-0000-0000-000097000000}"/>
    <cellStyle name="Wrap" xfId="149" xr:uid="{00000000-0005-0000-0000-000098000000}"/>
    <cellStyle name="Wrap Bold" xfId="150" xr:uid="{00000000-0005-0000-0000-000099000000}"/>
    <cellStyle name="Wrap Title" xfId="151" xr:uid="{00000000-0005-0000-0000-00009A000000}"/>
    <cellStyle name="Wrap_NTS99-~11" xfId="152" xr:uid="{00000000-0005-0000-0000-00009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Extrapolations!$A$2:$B$2</c:f>
              <c:strCache>
                <c:ptCount val="2"/>
                <c:pt idx="0">
                  <c:v>LDVs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Extrapolations!$C$2:$BT$2</c:f>
              <c:numCache>
                <c:formatCode>General</c:formatCode>
                <c:ptCount val="70"/>
                <c:pt idx="24" formatCode="0.00E+00">
                  <c:v>3.142498616321923E-4</c:v>
                </c:pt>
                <c:pt idx="25" formatCode="0.00E+00">
                  <c:v>3.170827862483609E-4</c:v>
                </c:pt>
                <c:pt idx="26" formatCode="0.00E+00">
                  <c:v>3.199157108645295E-4</c:v>
                </c:pt>
                <c:pt idx="27" formatCode="0.00E+00">
                  <c:v>3.227486354806981E-4</c:v>
                </c:pt>
                <c:pt idx="28" formatCode="0.00E+00">
                  <c:v>3.255815600968667E-4</c:v>
                </c:pt>
                <c:pt idx="29" formatCode="0.00E+00">
                  <c:v>3.284144847130353E-4</c:v>
                </c:pt>
                <c:pt idx="30" formatCode="0.00E+00">
                  <c:v>3.312474093292039E-4</c:v>
                </c:pt>
                <c:pt idx="31" formatCode="0.00E+00">
                  <c:v>3.3408033394537249E-4</c:v>
                </c:pt>
                <c:pt idx="32" formatCode="0.00E+00">
                  <c:v>3.3691325856154109E-4</c:v>
                </c:pt>
                <c:pt idx="33" formatCode="0.00E+00">
                  <c:v>3.3974618317770969E-4</c:v>
                </c:pt>
                <c:pt idx="34" formatCode="0.00E+00">
                  <c:v>3.4257910779387829E-4</c:v>
                </c:pt>
                <c:pt idx="35" formatCode="0.00E+00">
                  <c:v>3.4541203241004689E-4</c:v>
                </c:pt>
                <c:pt idx="36" formatCode="0.00E+00">
                  <c:v>3.4824495702621549E-4</c:v>
                </c:pt>
                <c:pt idx="37" formatCode="0.00E+00">
                  <c:v>3.5107788164238408E-4</c:v>
                </c:pt>
                <c:pt idx="38" formatCode="0.00E+00">
                  <c:v>3.5391080625855263E-4</c:v>
                </c:pt>
                <c:pt idx="39" formatCode="0.00E+00">
                  <c:v>3.6152338546126896E-4</c:v>
                </c:pt>
                <c:pt idx="40" formatCode="0.00E+00">
                  <c:v>3.6806778318324615E-4</c:v>
                </c:pt>
                <c:pt idx="41" formatCode="0.00E+00">
                  <c:v>3.7326311577328699E-4</c:v>
                </c:pt>
                <c:pt idx="42" formatCode="0.00E+00">
                  <c:v>3.8684273091170592E-4</c:v>
                </c:pt>
                <c:pt idx="43" formatCode="0.00E+00">
                  <c:v>3.9133628030331842E-4</c:v>
                </c:pt>
                <c:pt idx="44" formatCode="0.00E+00">
                  <c:v>3.9460271712590122E-4</c:v>
                </c:pt>
                <c:pt idx="45" formatCode="0.00E+00">
                  <c:v>4.0654622240144441E-4</c:v>
                </c:pt>
                <c:pt idx="46" formatCode="0.00E+00">
                  <c:v>4.0753465089361259E-4</c:v>
                </c:pt>
                <c:pt idx="47" formatCode="0.00E+00">
                  <c:v>4.0771889354095417E-4</c:v>
                </c:pt>
                <c:pt idx="48" formatCode="0.00E+00">
                  <c:v>4.0791884576015625E-4</c:v>
                </c:pt>
                <c:pt idx="49" formatCode="0.00E+00">
                  <c:v>4.0852284515353123E-4</c:v>
                </c:pt>
                <c:pt idx="50" formatCode="0.00E+00">
                  <c:v>4.09583671112226E-4</c:v>
                </c:pt>
                <c:pt idx="51" formatCode="0.00E+00">
                  <c:v>4.1078673798239525E-4</c:v>
                </c:pt>
                <c:pt idx="52" formatCode="0.00E+00">
                  <c:v>4.122748024320864E-4</c:v>
                </c:pt>
                <c:pt idx="53" formatCode="0.00E+00">
                  <c:v>4.1373149805260076E-4</c:v>
                </c:pt>
                <c:pt idx="54" formatCode="0.00E+00">
                  <c:v>4.1495700440447459E-4</c:v>
                </c:pt>
                <c:pt idx="55" formatCode="0.00E+00">
                  <c:v>4.1601549646964788E-4</c:v>
                </c:pt>
                <c:pt idx="56" formatCode="0.00E+00">
                  <c:v>4.1779365223495714E-4</c:v>
                </c:pt>
                <c:pt idx="57" formatCode="0.00E+00">
                  <c:v>4.1809544457369974E-4</c:v>
                </c:pt>
                <c:pt idx="58" formatCode="0.00E+00">
                  <c:v>4.1838332983416382E-4</c:v>
                </c:pt>
                <c:pt idx="59" formatCode="0.00E+00">
                  <c:v>4.1848122624012197E-4</c:v>
                </c:pt>
                <c:pt idx="60" formatCode="0.00E+00">
                  <c:v>4.1826563698301188E-4</c:v>
                </c:pt>
                <c:pt idx="61" formatCode="0.00E+00">
                  <c:v>4.1769414168042572E-4</c:v>
                </c:pt>
                <c:pt idx="62" formatCode="0.00E+00">
                  <c:v>4.1714393092982577E-4</c:v>
                </c:pt>
                <c:pt idx="63" formatCode="0.00E+00">
                  <c:v>4.1708664938544884E-4</c:v>
                </c:pt>
                <c:pt idx="64" formatCode="0.00E+00">
                  <c:v>4.165029094218215E-4</c:v>
                </c:pt>
                <c:pt idx="65" formatCode="0.00E+00">
                  <c:v>4.1616572999280917E-4</c:v>
                </c:pt>
                <c:pt idx="66" formatCode="0.00E+00">
                  <c:v>4.1755377409260071E-4</c:v>
                </c:pt>
                <c:pt idx="67" formatCode="0.00E+00">
                  <c:v>4.1711981834238049E-4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3-40F3-B705-D06D6F55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456"/>
        <c:axId val="138105216"/>
      </c:lineChart>
      <c:catAx>
        <c:axId val="1357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105216"/>
        <c:crosses val="autoZero"/>
        <c:auto val="1"/>
        <c:lblAlgn val="ctr"/>
        <c:lblOffset val="100"/>
        <c:noMultiLvlLbl val="0"/>
      </c:catAx>
      <c:valAx>
        <c:axId val="13810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7634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Extrapolations!$A$3:$B$3</c:f>
              <c:strCache>
                <c:ptCount val="2"/>
                <c:pt idx="0">
                  <c:v>LDVs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Extrapolations!$C$3:$BT$3</c:f>
              <c:numCache>
                <c:formatCode>General</c:formatCode>
                <c:ptCount val="70"/>
                <c:pt idx="24" formatCode="0.00E+00">
                  <c:v>7.5108389563240119E-5</c:v>
                </c:pt>
                <c:pt idx="25" formatCode="0.00E+00">
                  <c:v>7.7552820431472588E-5</c:v>
                </c:pt>
                <c:pt idx="26" formatCode="0.00E+00">
                  <c:v>7.9997251299705058E-5</c:v>
                </c:pt>
                <c:pt idx="27" formatCode="0.00E+00">
                  <c:v>8.2441682167937527E-5</c:v>
                </c:pt>
                <c:pt idx="28" formatCode="0.00E+00">
                  <c:v>8.4886113036169997E-5</c:v>
                </c:pt>
                <c:pt idx="29" formatCode="0.00E+00">
                  <c:v>8.7330543904402466E-5</c:v>
                </c:pt>
                <c:pt idx="30" formatCode="0.00E+00">
                  <c:v>8.9774974772634936E-5</c:v>
                </c:pt>
                <c:pt idx="31" formatCode="0.00E+00">
                  <c:v>9.2219405640867405E-5</c:v>
                </c:pt>
                <c:pt idx="32" formatCode="0.00E+00">
                  <c:v>9.4663836509099875E-5</c:v>
                </c:pt>
                <c:pt idx="33" formatCode="0.00E+00">
                  <c:v>9.7108267377332344E-5</c:v>
                </c:pt>
                <c:pt idx="34" formatCode="0.00E+00">
                  <c:v>9.9552698245564814E-5</c:v>
                </c:pt>
                <c:pt idx="35" formatCode="0.00E+00">
                  <c:v>1.0199712911379728E-4</c:v>
                </c:pt>
                <c:pt idx="36" formatCode="0.00E+00">
                  <c:v>1.0444155998202975E-4</c:v>
                </c:pt>
                <c:pt idx="37" formatCode="0.00E+00">
                  <c:v>1.0688599085026222E-4</c:v>
                </c:pt>
                <c:pt idx="38" formatCode="0.00E+00">
                  <c:v>1.0748894488887501E-4</c:v>
                </c:pt>
                <c:pt idx="39" formatCode="0.00E+00">
                  <c:v>1.1376628742778099E-4</c:v>
                </c:pt>
                <c:pt idx="40" formatCode="0.00E+00">
                  <c:v>1.1487084665170681E-4</c:v>
                </c:pt>
                <c:pt idx="41" formatCode="0.00E+00">
                  <c:v>1.1675219072501874E-4</c:v>
                </c:pt>
                <c:pt idx="42" formatCode="0.00E+00">
                  <c:v>1.1821814758141852E-4</c:v>
                </c:pt>
                <c:pt idx="43" formatCode="0.00E+00">
                  <c:v>1.1769306557695523E-4</c:v>
                </c:pt>
                <c:pt idx="44" formatCode="0.00E+00">
                  <c:v>1.1740735707916262E-4</c:v>
                </c:pt>
                <c:pt idx="45" formatCode="0.00E+00">
                  <c:v>1.1551151797500483E-4</c:v>
                </c:pt>
                <c:pt idx="46" formatCode="0.00E+00">
                  <c:v>1.1449785838376007E-4</c:v>
                </c:pt>
                <c:pt idx="47" formatCode="0.00E+00">
                  <c:v>1.13287341804607E-4</c:v>
                </c:pt>
                <c:pt idx="48" formatCode="0.00E+00">
                  <c:v>1.1212406398402511E-4</c:v>
                </c:pt>
                <c:pt idx="49" formatCode="0.00E+00">
                  <c:v>1.1076186329973974E-4</c:v>
                </c:pt>
                <c:pt idx="50" formatCode="0.00E+00">
                  <c:v>1.0947685788155618E-4</c:v>
                </c:pt>
                <c:pt idx="51" formatCode="0.00E+00">
                  <c:v>1.0833659526703707E-4</c:v>
                </c:pt>
                <c:pt idx="52" formatCode="0.00E+00">
                  <c:v>1.0725258337875167E-4</c:v>
                </c:pt>
                <c:pt idx="53" formatCode="0.00E+00">
                  <c:v>1.0627237374881068E-4</c:v>
                </c:pt>
                <c:pt idx="54" formatCode="0.00E+00">
                  <c:v>1.053872190542009E-4</c:v>
                </c:pt>
                <c:pt idx="55" formatCode="0.00E+00">
                  <c:v>1.0457070988285631E-4</c:v>
                </c:pt>
                <c:pt idx="56" formatCode="0.00E+00">
                  <c:v>1.0382785746559407E-4</c:v>
                </c:pt>
                <c:pt idx="57" formatCode="0.00E+00">
                  <c:v>1.0317553743970813E-4</c:v>
                </c:pt>
                <c:pt idx="58" formatCode="0.00E+00">
                  <c:v>1.0260660677729319E-4</c:v>
                </c:pt>
                <c:pt idx="59" formatCode="0.00E+00">
                  <c:v>1.0212195692865432E-4</c:v>
                </c:pt>
                <c:pt idx="60" formatCode="0.00E+00">
                  <c:v>1.0164270384030296E-4</c:v>
                </c:pt>
                <c:pt idx="61" formatCode="0.00E+00">
                  <c:v>1.0120623842325044E-4</c:v>
                </c:pt>
                <c:pt idx="62" formatCode="0.00E+00">
                  <c:v>1.0086620530512349E-4</c:v>
                </c:pt>
                <c:pt idx="63" formatCode="0.00E+00">
                  <c:v>1.0054219744424832E-4</c:v>
                </c:pt>
                <c:pt idx="64" formatCode="0.00E+00">
                  <c:v>9.9850684341711718E-5</c:v>
                </c:pt>
                <c:pt idx="65" formatCode="0.00E+00">
                  <c:v>9.9621972535475967E-5</c:v>
                </c:pt>
                <c:pt idx="66" formatCode="0.00E+00">
                  <c:v>9.9483752435656976E-5</c:v>
                </c:pt>
                <c:pt idx="67" formatCode="0.00E+00">
                  <c:v>9.9383928406132565E-5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E-45BE-91CB-AD70E79DC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29152"/>
        <c:axId val="134701824"/>
      </c:lineChart>
      <c:catAx>
        <c:axId val="2457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01824"/>
        <c:crosses val="autoZero"/>
        <c:auto val="1"/>
        <c:lblAlgn val="ctr"/>
        <c:lblOffset val="100"/>
        <c:noMultiLvlLbl val="0"/>
      </c:catAx>
      <c:valAx>
        <c:axId val="13470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2915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Extrapolations!$A$4:$B$4</c:f>
              <c:strCache>
                <c:ptCount val="2"/>
                <c:pt idx="0">
                  <c:v>HDVs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Extrapolations!$C$4:$BT$4</c:f>
              <c:numCache>
                <c:formatCode>General</c:formatCode>
                <c:ptCount val="70"/>
                <c:pt idx="9" formatCode="0.00E+00">
                  <c:v>1.1807374066651307E-3</c:v>
                </c:pt>
                <c:pt idx="10" formatCode="0.00E+00">
                  <c:v>1.1807374066651307E-3</c:v>
                </c:pt>
                <c:pt idx="11" formatCode="0.00E+00">
                  <c:v>1.1807374066651307E-3</c:v>
                </c:pt>
                <c:pt idx="12" formatCode="0.00E+00">
                  <c:v>1.1807374066651307E-3</c:v>
                </c:pt>
                <c:pt idx="13" formatCode="0.00E+00">
                  <c:v>1.1807374066651307E-3</c:v>
                </c:pt>
                <c:pt idx="14" formatCode="0.00E+00">
                  <c:v>1.1807374066651307E-3</c:v>
                </c:pt>
                <c:pt idx="15" formatCode="0.00E+00">
                  <c:v>1.1807374066651307E-3</c:v>
                </c:pt>
                <c:pt idx="16" formatCode="0.00E+00">
                  <c:v>1.1807374066651307E-3</c:v>
                </c:pt>
                <c:pt idx="17" formatCode="0.00E+00">
                  <c:v>1.1807374066651307E-3</c:v>
                </c:pt>
                <c:pt idx="18" formatCode="0.00E+00">
                  <c:v>1.1807374066651307E-3</c:v>
                </c:pt>
                <c:pt idx="19" formatCode="0.00E+00">
                  <c:v>1.1807374066651307E-3</c:v>
                </c:pt>
                <c:pt idx="20" formatCode="0.00E+00">
                  <c:v>1.177387347221569E-3</c:v>
                </c:pt>
                <c:pt idx="21" formatCode="0.00E+00">
                  <c:v>1.1740372877780075E-3</c:v>
                </c:pt>
                <c:pt idx="22" formatCode="0.00E+00">
                  <c:v>1.1706872283344459E-3</c:v>
                </c:pt>
                <c:pt idx="23" formatCode="0.00E+00">
                  <c:v>1.1673371688908844E-3</c:v>
                </c:pt>
                <c:pt idx="24" formatCode="0.00E+00">
                  <c:v>1.163987109447323E-3</c:v>
                </c:pt>
                <c:pt idx="25" formatCode="0.00E+00">
                  <c:v>1.1606370500037615E-3</c:v>
                </c:pt>
                <c:pt idx="26" formatCode="0.00E+00">
                  <c:v>1.1572869905602E-3</c:v>
                </c:pt>
                <c:pt idx="27" formatCode="0.00E+00">
                  <c:v>1.1539369311166386E-3</c:v>
                </c:pt>
                <c:pt idx="28" formatCode="0.00E+00">
                  <c:v>1.1505868716730771E-3</c:v>
                </c:pt>
                <c:pt idx="29" formatCode="0.00E+00">
                  <c:v>1.1472368122295155E-3</c:v>
                </c:pt>
                <c:pt idx="30" formatCode="0.00E+00">
                  <c:v>1.143886752785954E-3</c:v>
                </c:pt>
                <c:pt idx="31" formatCode="0.00E+00">
                  <c:v>1.1405366933423926E-3</c:v>
                </c:pt>
                <c:pt idx="32" formatCode="0.00E+00">
                  <c:v>1.1371866338988309E-3</c:v>
                </c:pt>
                <c:pt idx="33" formatCode="0.00E+00">
                  <c:v>1.1338365744552694E-3</c:v>
                </c:pt>
                <c:pt idx="34" formatCode="0.00E+00">
                  <c:v>1.130486515011708E-3</c:v>
                </c:pt>
                <c:pt idx="35" formatCode="0.00E+00">
                  <c:v>1.1271364555681463E-3</c:v>
                </c:pt>
                <c:pt idx="36" formatCode="0.00E+00">
                  <c:v>1.1237863961245848E-3</c:v>
                </c:pt>
                <c:pt idx="37" formatCode="0.00E+00">
                  <c:v>1.1204363366810234E-3</c:v>
                </c:pt>
                <c:pt idx="38" formatCode="0.00E+00">
                  <c:v>1.1137362177939013E-3</c:v>
                </c:pt>
                <c:pt idx="39" formatCode="0.00E+00">
                  <c:v>1.1868928349938494E-3</c:v>
                </c:pt>
                <c:pt idx="40" formatCode="0.00E+00">
                  <c:v>1.2242021544325342E-3</c:v>
                </c:pt>
                <c:pt idx="41" formatCode="0.00E+00">
                  <c:v>1.2625148116111296E-3</c:v>
                </c:pt>
                <c:pt idx="42" formatCode="0.00E+00">
                  <c:v>1.2984724640643824E-3</c:v>
                </c:pt>
                <c:pt idx="43" formatCode="0.00E+00">
                  <c:v>1.3325458991476347E-3</c:v>
                </c:pt>
                <c:pt idx="44" formatCode="0.00E+00">
                  <c:v>1.3625499159680566E-3</c:v>
                </c:pt>
                <c:pt idx="45" formatCode="0.00E+00">
                  <c:v>1.3753174198569201E-3</c:v>
                </c:pt>
                <c:pt idx="46" formatCode="0.00E+00">
                  <c:v>1.3946841343267524E-3</c:v>
                </c:pt>
                <c:pt idx="47" formatCode="0.00E+00">
                  <c:v>1.4146533498165595E-3</c:v>
                </c:pt>
                <c:pt idx="48" formatCode="0.00E+00">
                  <c:v>1.4334182752321722E-3</c:v>
                </c:pt>
                <c:pt idx="49" formatCode="0.00E+00">
                  <c:v>1.4445909758303492E-3</c:v>
                </c:pt>
                <c:pt idx="50" formatCode="0.00E+00">
                  <c:v>1.4455847020325701E-3</c:v>
                </c:pt>
                <c:pt idx="51" formatCode="0.00E+00">
                  <c:v>1.4457021763821076E-3</c:v>
                </c:pt>
                <c:pt idx="52" formatCode="0.00E+00">
                  <c:v>1.4456854451868699E-3</c:v>
                </c:pt>
                <c:pt idx="53" formatCode="0.00E+00">
                  <c:v>1.4457034223221783E-3</c:v>
                </c:pt>
                <c:pt idx="54" formatCode="0.00E+00">
                  <c:v>1.4456555426251702E-3</c:v>
                </c:pt>
                <c:pt idx="55" formatCode="0.00E+00">
                  <c:v>1.4455629870770495E-3</c:v>
                </c:pt>
                <c:pt idx="56" formatCode="0.00E+00">
                  <c:v>1.4452171497116701E-3</c:v>
                </c:pt>
                <c:pt idx="57" formatCode="0.00E+00">
                  <c:v>1.4450916657473916E-3</c:v>
                </c:pt>
                <c:pt idx="58" formatCode="0.00E+00">
                  <c:v>1.4448529792281048E-3</c:v>
                </c:pt>
                <c:pt idx="59" formatCode="0.00E+00">
                  <c:v>1.443856049179987E-3</c:v>
                </c:pt>
                <c:pt idx="60" formatCode="0.00E+00">
                  <c:v>1.4432142120520614E-3</c:v>
                </c:pt>
                <c:pt idx="61" formatCode="0.00E+00">
                  <c:v>1.443266541535037E-3</c:v>
                </c:pt>
                <c:pt idx="62" formatCode="0.00E+00">
                  <c:v>1.4434251319069122E-3</c:v>
                </c:pt>
                <c:pt idx="63" formatCode="0.00E+00">
                  <c:v>1.4437811147842976E-3</c:v>
                </c:pt>
                <c:pt idx="64" formatCode="0.00E+00">
                  <c:v>1.4442054463741406E-3</c:v>
                </c:pt>
                <c:pt idx="65" formatCode="0.00E+00">
                  <c:v>1.4447501001765403E-3</c:v>
                </c:pt>
                <c:pt idx="66" formatCode="0.00E+00">
                  <c:v>1.4451804834752992E-3</c:v>
                </c:pt>
                <c:pt idx="67" formatCode="0.00E+00">
                  <c:v>1.4456904289471535E-3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5-4EBA-BDE8-170EF0E8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14112"/>
        <c:axId val="134715648"/>
      </c:lineChart>
      <c:catAx>
        <c:axId val="1347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15648"/>
        <c:crosses val="autoZero"/>
        <c:auto val="1"/>
        <c:lblAlgn val="ctr"/>
        <c:lblOffset val="100"/>
        <c:noMultiLvlLbl val="0"/>
      </c:catAx>
      <c:valAx>
        <c:axId val="13471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1411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Extrapolations!$A$5:$B$5</c:f>
              <c:strCache>
                <c:ptCount val="2"/>
                <c:pt idx="0">
                  <c:v>HDVs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Extrapolations!$C$5:$BT$5</c:f>
              <c:numCache>
                <c:formatCode>General</c:formatCode>
                <c:ptCount val="70"/>
                <c:pt idx="9" formatCode="0.00E+00">
                  <c:v>7.8040477200267344E-4</c:v>
                </c:pt>
                <c:pt idx="10" formatCode="0.00E+00">
                  <c:v>7.8040477200267344E-4</c:v>
                </c:pt>
                <c:pt idx="11" formatCode="0.00E+00">
                  <c:v>7.8040477200267344E-4</c:v>
                </c:pt>
                <c:pt idx="12" formatCode="0.00E+00">
                  <c:v>7.8040477200267344E-4</c:v>
                </c:pt>
                <c:pt idx="13" formatCode="0.00E+00">
                  <c:v>7.8040477200267344E-4</c:v>
                </c:pt>
                <c:pt idx="14" formatCode="0.00E+00">
                  <c:v>7.8040477200267344E-4</c:v>
                </c:pt>
                <c:pt idx="15" formatCode="0.00E+00">
                  <c:v>7.8040477200267344E-4</c:v>
                </c:pt>
                <c:pt idx="16" formatCode="0.00E+00">
                  <c:v>7.8040477200267344E-4</c:v>
                </c:pt>
                <c:pt idx="17" formatCode="0.00E+00">
                  <c:v>7.8040477200267344E-4</c:v>
                </c:pt>
                <c:pt idx="18" formatCode="0.00E+00">
                  <c:v>7.8040477200267344E-4</c:v>
                </c:pt>
                <c:pt idx="19" formatCode="0.00E+00">
                  <c:v>7.8040477200267344E-4</c:v>
                </c:pt>
                <c:pt idx="20" formatCode="0.00E+00">
                  <c:v>7.7819056047563108E-4</c:v>
                </c:pt>
                <c:pt idx="21" formatCode="0.00E+00">
                  <c:v>7.7597634894858872E-4</c:v>
                </c:pt>
                <c:pt idx="22" formatCode="0.00E+00">
                  <c:v>7.7376213742154636E-4</c:v>
                </c:pt>
                <c:pt idx="23" formatCode="0.00E+00">
                  <c:v>7.71547925894504E-4</c:v>
                </c:pt>
                <c:pt idx="24" formatCode="0.00E+00">
                  <c:v>7.6933371436746164E-4</c:v>
                </c:pt>
                <c:pt idx="25" formatCode="0.00E+00">
                  <c:v>7.6711950284041929E-4</c:v>
                </c:pt>
                <c:pt idx="26" formatCode="0.00E+00">
                  <c:v>7.6490529131337693E-4</c:v>
                </c:pt>
                <c:pt idx="27" formatCode="0.00E+00">
                  <c:v>7.6269107978633457E-4</c:v>
                </c:pt>
                <c:pt idx="28" formatCode="0.00E+00">
                  <c:v>7.6047686825929221E-4</c:v>
                </c:pt>
                <c:pt idx="29" formatCode="0.00E+00">
                  <c:v>7.5826265673224985E-4</c:v>
                </c:pt>
                <c:pt idx="30" formatCode="0.00E+00">
                  <c:v>7.5604844520520749E-4</c:v>
                </c:pt>
                <c:pt idx="31" formatCode="0.00E+00">
                  <c:v>7.5383423367816514E-4</c:v>
                </c:pt>
                <c:pt idx="32" formatCode="0.00E+00">
                  <c:v>7.5162002215112278E-4</c:v>
                </c:pt>
                <c:pt idx="33" formatCode="0.00E+00">
                  <c:v>7.4940581062408042E-4</c:v>
                </c:pt>
                <c:pt idx="34" formatCode="0.00E+00">
                  <c:v>7.4719159909703806E-4</c:v>
                </c:pt>
                <c:pt idx="35" formatCode="0.00E+00">
                  <c:v>7.449773875699957E-4</c:v>
                </c:pt>
                <c:pt idx="36" formatCode="0.00E+00">
                  <c:v>7.4276317604295334E-4</c:v>
                </c:pt>
                <c:pt idx="37" formatCode="0.00E+00">
                  <c:v>7.4054896451591099E-4</c:v>
                </c:pt>
                <c:pt idx="38" formatCode="0.00E+00">
                  <c:v>7.3612054146182692E-4</c:v>
                </c:pt>
                <c:pt idx="39" formatCode="0.00E+00">
                  <c:v>7.8447318350072194E-4</c:v>
                </c:pt>
                <c:pt idx="40" formatCode="0.00E+00">
                  <c:v>8.0913266389472246E-4</c:v>
                </c:pt>
                <c:pt idx="41" formatCode="0.00E+00">
                  <c:v>8.3445529729440947E-4</c:v>
                </c:pt>
                <c:pt idx="42" formatCode="0.00E+00">
                  <c:v>8.582213975349269E-4</c:v>
                </c:pt>
                <c:pt idx="43" formatCode="0.00E+00">
                  <c:v>8.8074213007663328E-4</c:v>
                </c:pt>
                <c:pt idx="44" formatCode="0.00E+00">
                  <c:v>9.0057319308330108E-4</c:v>
                </c:pt>
                <c:pt idx="45" formatCode="0.00E+00">
                  <c:v>9.0901183566816969E-4</c:v>
                </c:pt>
                <c:pt idx="46" formatCode="0.00E+00">
                  <c:v>9.2181220627128113E-4</c:v>
                </c:pt>
                <c:pt idx="47" formatCode="0.00E+00">
                  <c:v>9.3501079807791388E-4</c:v>
                </c:pt>
                <c:pt idx="48" formatCode="0.00E+00">
                  <c:v>9.4741341804908898E-4</c:v>
                </c:pt>
                <c:pt idx="49" formatCode="0.00E+00">
                  <c:v>9.5479798028431191E-4</c:v>
                </c:pt>
                <c:pt idx="50" formatCode="0.00E+00">
                  <c:v>9.5545478057360543E-4</c:v>
                </c:pt>
                <c:pt idx="51" formatCode="0.00E+00">
                  <c:v>9.5553242488507497E-4</c:v>
                </c:pt>
                <c:pt idx="52" formatCode="0.00E+00">
                  <c:v>9.5552136645283517E-4</c:v>
                </c:pt>
                <c:pt idx="53" formatCode="0.00E+00">
                  <c:v>9.5553324838534815E-4</c:v>
                </c:pt>
                <c:pt idx="54" formatCode="0.00E+00">
                  <c:v>9.5550160244627959E-4</c:v>
                </c:pt>
                <c:pt idx="55" formatCode="0.00E+00">
                  <c:v>9.5544042814027313E-4</c:v>
                </c:pt>
                <c:pt idx="56" formatCode="0.00E+00">
                  <c:v>9.5521184799302321E-4</c:v>
                </c:pt>
                <c:pt idx="57" formatCode="0.00E+00">
                  <c:v>9.5512890975122625E-4</c:v>
                </c:pt>
                <c:pt idx="58" formatCode="0.00E+00">
                  <c:v>9.5497115062746795E-4</c:v>
                </c:pt>
                <c:pt idx="59" formatCode="0.00E+00">
                  <c:v>9.5431223276604333E-4</c:v>
                </c:pt>
                <c:pt idx="60" formatCode="0.00E+00">
                  <c:v>9.5388801248246955E-4</c:v>
                </c:pt>
                <c:pt idx="61" formatCode="0.00E+00">
                  <c:v>9.5392259949394229E-4</c:v>
                </c:pt>
                <c:pt idx="62" formatCode="0.00E+00">
                  <c:v>9.5402741931442593E-4</c:v>
                </c:pt>
                <c:pt idx="63" formatCode="0.00E+00">
                  <c:v>9.5426270510675759E-4</c:v>
                </c:pt>
                <c:pt idx="64" formatCode="0.00E+00">
                  <c:v>9.5454316577121671E-4</c:v>
                </c:pt>
                <c:pt idx="65" formatCode="0.00E+00">
                  <c:v>9.5490315303348411E-4</c:v>
                </c:pt>
                <c:pt idx="66" formatCode="0.00E+00">
                  <c:v>9.5518761355641295E-4</c:v>
                </c:pt>
                <c:pt idx="67" formatCode="0.00E+00">
                  <c:v>9.555246604539279E-4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E-47F4-8644-3A040F3A9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2032"/>
        <c:axId val="134807552"/>
      </c:lineChart>
      <c:catAx>
        <c:axId val="13473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07552"/>
        <c:crosses val="autoZero"/>
        <c:auto val="1"/>
        <c:lblAlgn val="ctr"/>
        <c:lblOffset val="100"/>
        <c:noMultiLvlLbl val="0"/>
      </c:catAx>
      <c:valAx>
        <c:axId val="13480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3203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Extrapolations!$A$6:$B$6</c:f>
              <c:strCache>
                <c:ptCount val="2"/>
                <c:pt idx="0">
                  <c:v>aircraft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Extrapolations!$C$6:$BT$6</c:f>
              <c:numCache>
                <c:formatCode>General</c:formatCode>
                <c:ptCount val="70"/>
                <c:pt idx="13" formatCode="0.00E+00">
                  <c:v>4.236427364823752E-4</c:v>
                </c:pt>
                <c:pt idx="14" formatCode="0.00E+00">
                  <c:v>4.2882977835183994E-4</c:v>
                </c:pt>
                <c:pt idx="15" formatCode="0.00E+00">
                  <c:v>4.3401682022130295E-4</c:v>
                </c:pt>
                <c:pt idx="16" formatCode="0.00E+00">
                  <c:v>4.3920386209076769E-4</c:v>
                </c:pt>
                <c:pt idx="17" formatCode="0.00E+00">
                  <c:v>4.4439090396023069E-4</c:v>
                </c:pt>
                <c:pt idx="18" formatCode="0.00E+00">
                  <c:v>4.4957794582969543E-4</c:v>
                </c:pt>
                <c:pt idx="19" formatCode="0.00E+00">
                  <c:v>4.5476498769915844E-4</c:v>
                </c:pt>
                <c:pt idx="20" formatCode="0.00E+00">
                  <c:v>4.5995202956862317E-4</c:v>
                </c:pt>
                <c:pt idx="21" formatCode="0.00E+00">
                  <c:v>4.6513907143808618E-4</c:v>
                </c:pt>
                <c:pt idx="22" formatCode="0.00E+00">
                  <c:v>4.7032611330755092E-4</c:v>
                </c:pt>
                <c:pt idx="23" formatCode="0.00E+00">
                  <c:v>4.7551315517701392E-4</c:v>
                </c:pt>
                <c:pt idx="24" formatCode="0.00E+00">
                  <c:v>4.8070019704647866E-4</c:v>
                </c:pt>
                <c:pt idx="25" formatCode="0.00E+00">
                  <c:v>4.8588723891594167E-4</c:v>
                </c:pt>
                <c:pt idx="26" formatCode="0.00E+00">
                  <c:v>4.9107428078540641E-4</c:v>
                </c:pt>
                <c:pt idx="27" formatCode="0.00E+00">
                  <c:v>4.9626132265486941E-4</c:v>
                </c:pt>
                <c:pt idx="28" formatCode="0.00E+00">
                  <c:v>5.0144836452433242E-4</c:v>
                </c:pt>
                <c:pt idx="29" formatCode="0.00E+00">
                  <c:v>5.0663540639379716E-4</c:v>
                </c:pt>
                <c:pt idx="30" formatCode="0.00E+00">
                  <c:v>5.1182244826326016E-4</c:v>
                </c:pt>
                <c:pt idx="31" formatCode="0.00E+00">
                  <c:v>5.170094901327249E-4</c:v>
                </c:pt>
                <c:pt idx="32" formatCode="0.00E+00">
                  <c:v>5.2219653200218791E-4</c:v>
                </c:pt>
                <c:pt idx="33" formatCode="0.00E+00">
                  <c:v>5.2738357387165265E-4</c:v>
                </c:pt>
                <c:pt idx="34" formatCode="0.00E+00">
                  <c:v>5.3257061574111565E-4</c:v>
                </c:pt>
                <c:pt idx="35" formatCode="0.00E+00">
                  <c:v>5.3775765761058039E-4</c:v>
                </c:pt>
                <c:pt idx="36" formatCode="0.00E+00">
                  <c:v>5.429446994800434E-4</c:v>
                </c:pt>
                <c:pt idx="37" formatCode="0.00E+00">
                  <c:v>5.4813174134950814E-4</c:v>
                </c:pt>
                <c:pt idx="38" formatCode="0.00E+00">
                  <c:v>5.7245968727451246E-4</c:v>
                </c:pt>
                <c:pt idx="39" formatCode="0.00E+00">
                  <c:v>5.6525537747016295E-4</c:v>
                </c:pt>
                <c:pt idx="40" formatCode="0.00E+00">
                  <c:v>5.6816948983254214E-4</c:v>
                </c:pt>
                <c:pt idx="41" formatCode="0.00E+00">
                  <c:v>5.7128317518608321E-4</c:v>
                </c:pt>
                <c:pt idx="42" formatCode="0.00E+00">
                  <c:v>5.7537137435165198E-4</c:v>
                </c:pt>
                <c:pt idx="43" formatCode="0.00E+00">
                  <c:v>5.8053804811384778E-4</c:v>
                </c:pt>
                <c:pt idx="44" formatCode="0.00E+00">
                  <c:v>5.8402553055494823E-4</c:v>
                </c:pt>
                <c:pt idx="45" formatCode="0.00E+00">
                  <c:v>5.8760417107298871E-4</c:v>
                </c:pt>
                <c:pt idx="46" formatCode="0.00E+00">
                  <c:v>5.9096130220580865E-4</c:v>
                </c:pt>
                <c:pt idx="47" formatCode="0.00E+00">
                  <c:v>5.946019196444121E-4</c:v>
                </c:pt>
                <c:pt idx="48" formatCode="0.00E+00">
                  <c:v>5.9865845018156332E-4</c:v>
                </c:pt>
                <c:pt idx="49" formatCode="0.00E+00">
                  <c:v>6.0321943227520944E-4</c:v>
                </c:pt>
                <c:pt idx="50" formatCode="0.00E+00">
                  <c:v>6.0839429137508894E-4</c:v>
                </c:pt>
                <c:pt idx="51" formatCode="0.00E+00">
                  <c:v>6.1395089969970801E-4</c:v>
                </c:pt>
                <c:pt idx="52" formatCode="0.00E+00">
                  <c:v>6.1977379967962927E-4</c:v>
                </c:pt>
                <c:pt idx="53" formatCode="0.00E+00">
                  <c:v>6.2567088851316315E-4</c:v>
                </c:pt>
                <c:pt idx="54" formatCode="0.00E+00">
                  <c:v>6.3167004143386532E-4</c:v>
                </c:pt>
                <c:pt idx="55" formatCode="0.00E+00">
                  <c:v>6.3779136032516399E-4</c:v>
                </c:pt>
                <c:pt idx="56" formatCode="0.00E+00">
                  <c:v>6.437466870978497E-4</c:v>
                </c:pt>
                <c:pt idx="57" formatCode="0.00E+00">
                  <c:v>6.4981143154692399E-4</c:v>
                </c:pt>
                <c:pt idx="58" formatCode="0.00E+00">
                  <c:v>6.5593323238593052E-4</c:v>
                </c:pt>
                <c:pt idx="59" formatCode="0.00E+00">
                  <c:v>6.6206558943440969E-4</c:v>
                </c:pt>
                <c:pt idx="60" formatCode="0.00E+00">
                  <c:v>6.6830617483670774E-4</c:v>
                </c:pt>
                <c:pt idx="61" formatCode="0.00E+00">
                  <c:v>6.7444724581067943E-4</c:v>
                </c:pt>
                <c:pt idx="62" formatCode="0.00E+00">
                  <c:v>6.8055623616867665E-4</c:v>
                </c:pt>
                <c:pt idx="63" formatCode="0.00E+00">
                  <c:v>6.8655076394605308E-4</c:v>
                </c:pt>
                <c:pt idx="64" formatCode="0.00E+00">
                  <c:v>6.9253674881163997E-4</c:v>
                </c:pt>
                <c:pt idx="65" formatCode="0.00E+00">
                  <c:v>6.9843365885812099E-4</c:v>
                </c:pt>
                <c:pt idx="66" formatCode="0.00E+00">
                  <c:v>7.0421403083949718E-4</c:v>
                </c:pt>
                <c:pt idx="67" formatCode="0.00E+00">
                  <c:v>7.0992567085904998E-4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2-4B86-967E-8CB150C67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9568"/>
        <c:axId val="134831104"/>
      </c:lineChart>
      <c:catAx>
        <c:axId val="134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31104"/>
        <c:crosses val="autoZero"/>
        <c:auto val="1"/>
        <c:lblAlgn val="ctr"/>
        <c:lblOffset val="100"/>
        <c:noMultiLvlLbl val="0"/>
      </c:catAx>
      <c:valAx>
        <c:axId val="1348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2956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Extrapolations!$A$7:$B$7</c:f>
              <c:strCache>
                <c:ptCount val="2"/>
                <c:pt idx="0">
                  <c:v>aircraft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Extrapolations!$C$7:$BT$7</c:f>
              <c:numCache>
                <c:formatCode>General</c:formatCode>
                <c:ptCount val="70"/>
                <c:pt idx="13" formatCode="0.00E+00">
                  <c:v>3.6038411832808568E-5</c:v>
                </c:pt>
                <c:pt idx="14" formatCode="0.00E+00">
                  <c:v>3.647844074325616E-5</c:v>
                </c:pt>
                <c:pt idx="15" formatCode="0.00E+00">
                  <c:v>3.6918469653703644E-5</c:v>
                </c:pt>
                <c:pt idx="16" formatCode="0.00E+00">
                  <c:v>3.7358498564151237E-5</c:v>
                </c:pt>
                <c:pt idx="17" formatCode="0.00E+00">
                  <c:v>3.7798527474598721E-5</c:v>
                </c:pt>
                <c:pt idx="18" formatCode="0.00E+00">
                  <c:v>3.8238556385046314E-5</c:v>
                </c:pt>
                <c:pt idx="19" formatCode="0.00E+00">
                  <c:v>3.8678585295493906E-5</c:v>
                </c:pt>
                <c:pt idx="20" formatCode="0.00E+00">
                  <c:v>3.9118614205941391E-5</c:v>
                </c:pt>
                <c:pt idx="21" formatCode="0.00E+00">
                  <c:v>3.9558643116388983E-5</c:v>
                </c:pt>
                <c:pt idx="22" formatCode="0.00E+00">
                  <c:v>3.9998672026836467E-5</c:v>
                </c:pt>
                <c:pt idx="23" formatCode="0.00E+00">
                  <c:v>4.043870093728406E-5</c:v>
                </c:pt>
                <c:pt idx="24" formatCode="0.00E+00">
                  <c:v>4.0878729847731653E-5</c:v>
                </c:pt>
                <c:pt idx="25" formatCode="0.00E+00">
                  <c:v>4.1318758758179137E-5</c:v>
                </c:pt>
                <c:pt idx="26" formatCode="0.00E+00">
                  <c:v>4.1758787668626729E-5</c:v>
                </c:pt>
                <c:pt idx="27" formatCode="0.00E+00">
                  <c:v>4.2198816579074322E-5</c:v>
                </c:pt>
                <c:pt idx="28" formatCode="0.00E+00">
                  <c:v>4.2638845489521806E-5</c:v>
                </c:pt>
                <c:pt idx="29" formatCode="0.00E+00">
                  <c:v>4.3078874399969399E-5</c:v>
                </c:pt>
                <c:pt idx="30" formatCode="0.00E+00">
                  <c:v>4.3518903310416883E-5</c:v>
                </c:pt>
                <c:pt idx="31" formatCode="0.00E+00">
                  <c:v>4.3958932220864476E-5</c:v>
                </c:pt>
                <c:pt idx="32" formatCode="0.00E+00">
                  <c:v>4.4398961131312068E-5</c:v>
                </c:pt>
                <c:pt idx="33" formatCode="0.00E+00">
                  <c:v>4.4838990041759552E-5</c:v>
                </c:pt>
                <c:pt idx="34" formatCode="0.00E+00">
                  <c:v>4.5279018952207145E-5</c:v>
                </c:pt>
                <c:pt idx="35" formatCode="0.00E+00">
                  <c:v>4.5719047862654629E-5</c:v>
                </c:pt>
                <c:pt idx="36" formatCode="0.00E+00">
                  <c:v>4.6159076773102222E-5</c:v>
                </c:pt>
                <c:pt idx="37" formatCode="0.00E+00">
                  <c:v>4.6599105683549815E-5</c:v>
                </c:pt>
                <c:pt idx="38" formatCode="0.00E+00">
                  <c:v>4.8563096039282174E-5</c:v>
                </c:pt>
                <c:pt idx="39" formatCode="0.00E+00">
                  <c:v>4.7951937565239972E-5</c:v>
                </c:pt>
                <c:pt idx="40" formatCode="0.00E+00">
                  <c:v>4.8199148542133818E-5</c:v>
                </c:pt>
                <c:pt idx="41" formatCode="0.00E+00">
                  <c:v>4.8463289763291303E-5</c:v>
                </c:pt>
                <c:pt idx="42" formatCode="0.00E+00">
                  <c:v>4.8810101273548841E-5</c:v>
                </c:pt>
                <c:pt idx="43" formatCode="0.00E+00">
                  <c:v>4.9248402309752346E-5</c:v>
                </c:pt>
                <c:pt idx="44" formatCode="0.00E+00">
                  <c:v>4.9544253613324154E-5</c:v>
                </c:pt>
                <c:pt idx="45" formatCode="0.00E+00">
                  <c:v>4.9847838070065696E-5</c:v>
                </c:pt>
                <c:pt idx="46" formatCode="0.00E+00">
                  <c:v>5.0132631366857999E-5</c:v>
                </c:pt>
                <c:pt idx="47" formatCode="0.00E+00">
                  <c:v>5.0441473470928121E-5</c:v>
                </c:pt>
                <c:pt idx="48" formatCode="0.00E+00">
                  <c:v>5.0785598457265348E-5</c:v>
                </c:pt>
                <c:pt idx="49" formatCode="0.00E+00">
                  <c:v>5.1172517250624796E-5</c:v>
                </c:pt>
                <c:pt idx="50" formatCode="0.00E+00">
                  <c:v>5.161151266819503E-5</c:v>
                </c:pt>
                <c:pt idx="51" formatCode="0.00E+00">
                  <c:v>5.2082892766601423E-5</c:v>
                </c:pt>
                <c:pt idx="52" formatCode="0.00E+00">
                  <c:v>5.2576863009813412E-5</c:v>
                </c:pt>
                <c:pt idx="53" formatCode="0.00E+00">
                  <c:v>5.3077126867236362E-5</c:v>
                </c:pt>
                <c:pt idx="54" formatCode="0.00E+00">
                  <c:v>5.3586049060219874E-5</c:v>
                </c:pt>
                <c:pt idx="55" formatCode="0.00E+00">
                  <c:v>5.4105334878616127E-5</c:v>
                </c:pt>
                <c:pt idx="56" formatCode="0.00E+00">
                  <c:v>5.4610539196817424E-5</c:v>
                </c:pt>
                <c:pt idx="57" formatCode="0.00E+00">
                  <c:v>5.5125025672775793E-5</c:v>
                </c:pt>
                <c:pt idx="58" formatCode="0.00E+00">
                  <c:v>5.5644352375924891E-5</c:v>
                </c:pt>
                <c:pt idx="59" formatCode="0.00E+00">
                  <c:v>5.6164574587047429E-5</c:v>
                </c:pt>
                <c:pt idx="60" formatCode="0.00E+00">
                  <c:v>5.6693978062907934E-5</c:v>
                </c:pt>
                <c:pt idx="61" formatCode="0.00E+00">
                  <c:v>5.721493949673903E-5</c:v>
                </c:pt>
                <c:pt idx="62" formatCode="0.00E+00">
                  <c:v>5.7733179456780447E-5</c:v>
                </c:pt>
                <c:pt idx="63" formatCode="0.00E+00">
                  <c:v>5.8241709288023016E-5</c:v>
                </c:pt>
                <c:pt idx="64" formatCode="0.00E+00">
                  <c:v>5.8749514404049965E-5</c:v>
                </c:pt>
                <c:pt idx="65" formatCode="0.00E+00">
                  <c:v>5.9249763094548476E-5</c:v>
                </c:pt>
                <c:pt idx="66" formatCode="0.00E+00">
                  <c:v>5.9740125588038328E-5</c:v>
                </c:pt>
                <c:pt idx="67" formatCode="0.00E+00">
                  <c:v>6.0224657388228372E-5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6-4868-B118-F1A6BB17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39680"/>
        <c:axId val="134845568"/>
      </c:lineChart>
      <c:catAx>
        <c:axId val="1348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45568"/>
        <c:crosses val="autoZero"/>
        <c:auto val="1"/>
        <c:lblAlgn val="ctr"/>
        <c:lblOffset val="100"/>
        <c:noMultiLvlLbl val="0"/>
      </c:catAx>
      <c:valAx>
        <c:axId val="1348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3968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Extrapolations!$A$8:$B$8</c:f>
              <c:strCache>
                <c:ptCount val="2"/>
                <c:pt idx="0">
                  <c:v>rail</c:v>
                </c:pt>
                <c:pt idx="1">
                  <c:v>psgr - diesel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Extrapolations!$C$8:$BT$8</c:f>
              <c:numCache>
                <c:formatCode>General</c:formatCode>
                <c:ptCount val="70"/>
                <c:pt idx="3" formatCode="0.00E+00">
                  <c:v>7.1745362435245036E-5</c:v>
                </c:pt>
                <c:pt idx="4" formatCode="0.00E+00">
                  <c:v>7.1745362435245036E-5</c:v>
                </c:pt>
                <c:pt idx="5" formatCode="0.00E+00">
                  <c:v>7.1745362435245036E-5</c:v>
                </c:pt>
                <c:pt idx="6" formatCode="0.00E+00">
                  <c:v>7.1745362435245036E-5</c:v>
                </c:pt>
                <c:pt idx="7" formatCode="0.00E+00">
                  <c:v>7.1745362435245036E-5</c:v>
                </c:pt>
                <c:pt idx="8" formatCode="0.00E+00">
                  <c:v>7.1745362435245036E-5</c:v>
                </c:pt>
                <c:pt idx="9" formatCode="0.00E+00">
                  <c:v>7.1745362435245036E-5</c:v>
                </c:pt>
                <c:pt idx="10" formatCode="0.00E+00">
                  <c:v>7.1745362435245036E-5</c:v>
                </c:pt>
                <c:pt idx="11" formatCode="0.00E+00">
                  <c:v>7.1745362435245036E-5</c:v>
                </c:pt>
                <c:pt idx="12" formatCode="0.00E+00">
                  <c:v>7.1745362435245036E-5</c:v>
                </c:pt>
                <c:pt idx="13" formatCode="0.00E+00">
                  <c:v>7.1745362435245036E-5</c:v>
                </c:pt>
                <c:pt idx="14" formatCode="0.00E+00">
                  <c:v>7.1745362435245036E-5</c:v>
                </c:pt>
                <c:pt idx="15" formatCode="0.00E+00">
                  <c:v>7.1745362435245036E-5</c:v>
                </c:pt>
                <c:pt idx="16" formatCode="0.00E+00">
                  <c:v>7.1745362435245036E-5</c:v>
                </c:pt>
                <c:pt idx="17" formatCode="0.00E+00">
                  <c:v>7.1745362435245036E-5</c:v>
                </c:pt>
                <c:pt idx="18" formatCode="0.00E+00">
                  <c:v>7.1745362435245036E-5</c:v>
                </c:pt>
                <c:pt idx="19" formatCode="0.00E+00">
                  <c:v>7.1745362435245036E-5</c:v>
                </c:pt>
                <c:pt idx="20" formatCode="0.00E+00">
                  <c:v>7.1745362435245036E-5</c:v>
                </c:pt>
                <c:pt idx="21" formatCode="0.00E+00">
                  <c:v>7.1745362435245036E-5</c:v>
                </c:pt>
                <c:pt idx="22" formatCode="0.00E+00">
                  <c:v>7.1745362435245036E-5</c:v>
                </c:pt>
                <c:pt idx="23" formatCode="0.00E+00">
                  <c:v>7.1745362435245036E-5</c:v>
                </c:pt>
                <c:pt idx="24" formatCode="0.00E+00">
                  <c:v>7.1745362435245036E-5</c:v>
                </c:pt>
                <c:pt idx="25" formatCode="0.00E+00">
                  <c:v>7.1745362435245036E-5</c:v>
                </c:pt>
                <c:pt idx="26" formatCode="0.00E+00">
                  <c:v>7.1745362435245036E-5</c:v>
                </c:pt>
                <c:pt idx="27" formatCode="0.00E+00">
                  <c:v>7.1745362435245036E-5</c:v>
                </c:pt>
                <c:pt idx="28" formatCode="0.00E+00">
                  <c:v>7.1745362435245036E-5</c:v>
                </c:pt>
                <c:pt idx="29" formatCode="0.00E+00">
                  <c:v>7.1745362435245036E-5</c:v>
                </c:pt>
                <c:pt idx="30" formatCode="0.00E+00">
                  <c:v>7.1745362435245036E-5</c:v>
                </c:pt>
                <c:pt idx="31" formatCode="0.00E+00">
                  <c:v>7.1745362435245036E-5</c:v>
                </c:pt>
                <c:pt idx="32" formatCode="0.00E+00">
                  <c:v>7.1745362435245036E-5</c:v>
                </c:pt>
                <c:pt idx="33" formatCode="0.00E+00">
                  <c:v>7.1745362435245036E-5</c:v>
                </c:pt>
                <c:pt idx="34" formatCode="0.00E+00">
                  <c:v>7.1745362435245036E-5</c:v>
                </c:pt>
                <c:pt idx="35" formatCode="0.00E+00">
                  <c:v>7.1745362435245036E-5</c:v>
                </c:pt>
                <c:pt idx="36" formatCode="0.00E+00">
                  <c:v>7.1745362435245036E-5</c:v>
                </c:pt>
                <c:pt idx="37" formatCode="0.00E+00">
                  <c:v>7.1745362435245036E-5</c:v>
                </c:pt>
                <c:pt idx="38" formatCode="0.00E+00">
                  <c:v>7.1745362435245036E-5</c:v>
                </c:pt>
                <c:pt idx="39" formatCode="0.00E+00">
                  <c:v>7.1745362435245036E-5</c:v>
                </c:pt>
                <c:pt idx="40" formatCode="0.00E+00">
                  <c:v>7.1745362435245036E-5</c:v>
                </c:pt>
                <c:pt idx="41" formatCode="0.00E+00">
                  <c:v>7.1745362435245036E-5</c:v>
                </c:pt>
                <c:pt idx="42" formatCode="0.00E+00">
                  <c:v>7.1745362435245036E-5</c:v>
                </c:pt>
                <c:pt idx="43" formatCode="0.00E+00">
                  <c:v>7.1745362435245036E-5</c:v>
                </c:pt>
                <c:pt idx="44" formatCode="0.00E+00">
                  <c:v>7.1745362435245036E-5</c:v>
                </c:pt>
                <c:pt idx="45" formatCode="0.00E+00">
                  <c:v>7.1745362435245036E-5</c:v>
                </c:pt>
                <c:pt idx="46" formatCode="0.00E+00">
                  <c:v>7.1745362435245036E-5</c:v>
                </c:pt>
                <c:pt idx="47" formatCode="0.00E+00">
                  <c:v>7.1745362435245036E-5</c:v>
                </c:pt>
                <c:pt idx="48" formatCode="0.00E+00">
                  <c:v>7.1745362435245036E-5</c:v>
                </c:pt>
                <c:pt idx="49" formatCode="0.00E+00">
                  <c:v>7.1745362435245036E-5</c:v>
                </c:pt>
                <c:pt idx="50" formatCode="0.00E+00">
                  <c:v>7.1745362435245036E-5</c:v>
                </c:pt>
                <c:pt idx="51" formatCode="0.00E+00">
                  <c:v>7.1745362435245036E-5</c:v>
                </c:pt>
                <c:pt idx="52" formatCode="0.00E+00">
                  <c:v>7.1745362435245036E-5</c:v>
                </c:pt>
                <c:pt idx="53" formatCode="0.00E+00">
                  <c:v>7.1745362435245036E-5</c:v>
                </c:pt>
                <c:pt idx="54" formatCode="0.00E+00">
                  <c:v>7.1745362435245036E-5</c:v>
                </c:pt>
                <c:pt idx="55" formatCode="0.00E+00">
                  <c:v>7.1745362435245036E-5</c:v>
                </c:pt>
                <c:pt idx="56" formatCode="0.00E+00">
                  <c:v>7.1745362435245036E-5</c:v>
                </c:pt>
                <c:pt idx="57" formatCode="0.00E+00">
                  <c:v>7.1745362435245036E-5</c:v>
                </c:pt>
                <c:pt idx="58" formatCode="0.00E+00">
                  <c:v>7.1745362435245036E-5</c:v>
                </c:pt>
                <c:pt idx="59" formatCode="0.00E+00">
                  <c:v>7.1745362435245036E-5</c:v>
                </c:pt>
                <c:pt idx="60" formatCode="0.00E+00">
                  <c:v>7.1745362435245036E-5</c:v>
                </c:pt>
                <c:pt idx="61" formatCode="0.00E+00">
                  <c:v>7.1745362435245036E-5</c:v>
                </c:pt>
                <c:pt idx="62" formatCode="0.00E+00">
                  <c:v>7.1745362435245036E-5</c:v>
                </c:pt>
                <c:pt idx="63" formatCode="0.00E+00">
                  <c:v>7.1745362435245036E-5</c:v>
                </c:pt>
                <c:pt idx="64" formatCode="0.00E+00">
                  <c:v>7.1745362435245036E-5</c:v>
                </c:pt>
                <c:pt idx="65" formatCode="0.00E+00">
                  <c:v>7.1745362435245036E-5</c:v>
                </c:pt>
                <c:pt idx="66" formatCode="0.00E+00">
                  <c:v>7.1745362435245036E-5</c:v>
                </c:pt>
                <c:pt idx="67" formatCode="0.00E+00">
                  <c:v>7.1745362435245036E-5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B-46D7-9971-4B60B6127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848"/>
        <c:axId val="135072384"/>
      </c:lineChart>
      <c:catAx>
        <c:axId val="1350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72384"/>
        <c:crosses val="autoZero"/>
        <c:auto val="1"/>
        <c:lblAlgn val="ctr"/>
        <c:lblOffset val="100"/>
        <c:noMultiLvlLbl val="0"/>
      </c:catAx>
      <c:valAx>
        <c:axId val="1350723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7084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Extrapolations!$A$10:$B$10</c:f>
              <c:strCache>
                <c:ptCount val="2"/>
                <c:pt idx="0">
                  <c:v>rail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Extrapolations!$C$10:$BT$10</c:f>
              <c:numCache>
                <c:formatCode>General</c:formatCode>
                <c:ptCount val="70"/>
                <c:pt idx="3" formatCode="0.00E+00">
                  <c:v>3.2890937975528366E-3</c:v>
                </c:pt>
                <c:pt idx="4" formatCode="0.00E+00">
                  <c:v>3.2917330420467188E-3</c:v>
                </c:pt>
                <c:pt idx="5" formatCode="0.00E+00">
                  <c:v>3.294372286540601E-3</c:v>
                </c:pt>
                <c:pt idx="6" formatCode="0.00E+00">
                  <c:v>3.2970115310344832E-3</c:v>
                </c:pt>
                <c:pt idx="7" formatCode="0.00E+00">
                  <c:v>3.2996507755283645E-3</c:v>
                </c:pt>
                <c:pt idx="8" formatCode="0.00E+00">
                  <c:v>3.3022900200222467E-3</c:v>
                </c:pt>
                <c:pt idx="9" formatCode="0.00E+00">
                  <c:v>3.3049292645161289E-3</c:v>
                </c:pt>
                <c:pt idx="10" formatCode="0.00E+00">
                  <c:v>3.3075685090100111E-3</c:v>
                </c:pt>
                <c:pt idx="11" formatCode="0.00E+00">
                  <c:v>3.3102077535038933E-3</c:v>
                </c:pt>
                <c:pt idx="12" formatCode="0.00E+00">
                  <c:v>3.3128469979977755E-3</c:v>
                </c:pt>
                <c:pt idx="13" formatCode="0.00E+00">
                  <c:v>3.3154862424916577E-3</c:v>
                </c:pt>
                <c:pt idx="14" formatCode="0.00E+00">
                  <c:v>3.318125486985539E-3</c:v>
                </c:pt>
                <c:pt idx="15" formatCode="0.00E+00">
                  <c:v>3.3207647314794212E-3</c:v>
                </c:pt>
                <c:pt idx="16" formatCode="0.00E+00">
                  <c:v>3.3234039759733034E-3</c:v>
                </c:pt>
                <c:pt idx="17" formatCode="0.00E+00">
                  <c:v>3.3260432204671856E-3</c:v>
                </c:pt>
                <c:pt idx="18" formatCode="0.00E+00">
                  <c:v>3.3286824649610678E-3</c:v>
                </c:pt>
                <c:pt idx="19" formatCode="0.00E+00">
                  <c:v>3.33132170945495E-3</c:v>
                </c:pt>
                <c:pt idx="20" formatCode="0.00E+00">
                  <c:v>3.3339609539488322E-3</c:v>
                </c:pt>
                <c:pt idx="21" formatCode="0.00E+00">
                  <c:v>3.3366001984427144E-3</c:v>
                </c:pt>
                <c:pt idx="22" formatCode="0.00E+00">
                  <c:v>3.3392394429365957E-3</c:v>
                </c:pt>
                <c:pt idx="23" formatCode="0.00E+00">
                  <c:v>3.3418786874304779E-3</c:v>
                </c:pt>
                <c:pt idx="24" formatCode="0.00E+00">
                  <c:v>3.3445179319243601E-3</c:v>
                </c:pt>
                <c:pt idx="25" formatCode="0.00E+00">
                  <c:v>3.3471571764182423E-3</c:v>
                </c:pt>
                <c:pt idx="26" formatCode="0.00E+00">
                  <c:v>3.3497964209121245E-3</c:v>
                </c:pt>
                <c:pt idx="27" formatCode="0.00E+00">
                  <c:v>3.3524356654060067E-3</c:v>
                </c:pt>
                <c:pt idx="28" formatCode="0.00E+00">
                  <c:v>3.3550749098998889E-3</c:v>
                </c:pt>
                <c:pt idx="29" formatCode="0.00E+00">
                  <c:v>3.3577141543937711E-3</c:v>
                </c:pt>
                <c:pt idx="30" formatCode="0.00E+00">
                  <c:v>3.3603533988876525E-3</c:v>
                </c:pt>
                <c:pt idx="31" formatCode="0.00E+00">
                  <c:v>3.3629926433815347E-3</c:v>
                </c:pt>
                <c:pt idx="32" formatCode="0.00E+00">
                  <c:v>3.3656318878754169E-3</c:v>
                </c:pt>
                <c:pt idx="33" formatCode="0.00E+00">
                  <c:v>3.3682711323692991E-3</c:v>
                </c:pt>
                <c:pt idx="34" formatCode="0.00E+00">
                  <c:v>3.3709103768631813E-3</c:v>
                </c:pt>
                <c:pt idx="35" formatCode="0.00E+00">
                  <c:v>3.3735496213570635E-3</c:v>
                </c:pt>
                <c:pt idx="36" formatCode="0.00E+00">
                  <c:v>3.3761888658509456E-3</c:v>
                </c:pt>
                <c:pt idx="37" formatCode="0.00E+00">
                  <c:v>3.3788281103448278E-3</c:v>
                </c:pt>
                <c:pt idx="38" formatCode="0.00E+00">
                  <c:v>3.5120030000000001E-3</c:v>
                </c:pt>
                <c:pt idx="39" formatCode="0.00E+00">
                  <c:v>3.3663400000000002E-3</c:v>
                </c:pt>
                <c:pt idx="40" formatCode="0.00E+00">
                  <c:v>3.3698929999999997E-3</c:v>
                </c:pt>
                <c:pt idx="41" formatCode="0.00E+00">
                  <c:v>3.3734500000000001E-3</c:v>
                </c:pt>
                <c:pt idx="42" formatCode="0.00E+00">
                  <c:v>3.3770099999999997E-3</c:v>
                </c:pt>
                <c:pt idx="43" formatCode="0.00E+00">
                  <c:v>3.3805740000000003E-3</c:v>
                </c:pt>
                <c:pt idx="44" formatCode="0.00E+00">
                  <c:v>3.3841420000000001E-3</c:v>
                </c:pt>
                <c:pt idx="45" formatCode="0.00E+00">
                  <c:v>3.3877130000000001E-3</c:v>
                </c:pt>
                <c:pt idx="46" formatCode="0.00E+00">
                  <c:v>3.391289E-3</c:v>
                </c:pt>
                <c:pt idx="47" formatCode="0.00E+00">
                  <c:v>3.3948680000000001E-3</c:v>
                </c:pt>
                <c:pt idx="48" formatCode="0.00E+00">
                  <c:v>3.3984510000000002E-3</c:v>
                </c:pt>
                <c:pt idx="49" formatCode="0.00E+00">
                  <c:v>3.4020370000000001E-3</c:v>
                </c:pt>
                <c:pt idx="50" formatCode="0.00E+00">
                  <c:v>3.405628E-3</c:v>
                </c:pt>
                <c:pt idx="51" formatCode="0.00E+00">
                  <c:v>3.4092220000000004E-3</c:v>
                </c:pt>
                <c:pt idx="52" formatCode="0.00E+00">
                  <c:v>3.41282E-3</c:v>
                </c:pt>
                <c:pt idx="53" formatCode="0.00E+00">
                  <c:v>3.4164219999999997E-3</c:v>
                </c:pt>
                <c:pt idx="54" formatCode="0.00E+00">
                  <c:v>3.420027E-3</c:v>
                </c:pt>
                <c:pt idx="55" formatCode="0.00E+00">
                  <c:v>3.4236369999999998E-3</c:v>
                </c:pt>
                <c:pt idx="56" formatCode="0.00E+00">
                  <c:v>3.4272499999999997E-3</c:v>
                </c:pt>
                <c:pt idx="57" formatCode="0.00E+00">
                  <c:v>3.4308670000000002E-3</c:v>
                </c:pt>
                <c:pt idx="58" formatCode="0.00E+00">
                  <c:v>3.4344879999999999E-3</c:v>
                </c:pt>
                <c:pt idx="59" formatCode="0.00E+00">
                  <c:v>3.438113E-3</c:v>
                </c:pt>
                <c:pt idx="60" formatCode="0.00E+00">
                  <c:v>3.4417409999999999E-3</c:v>
                </c:pt>
                <c:pt idx="61" formatCode="0.00E+00">
                  <c:v>3.4453729999999998E-3</c:v>
                </c:pt>
                <c:pt idx="62" formatCode="0.00E+00">
                  <c:v>3.4490099999999997E-3</c:v>
                </c:pt>
                <c:pt idx="63" formatCode="0.00E+00">
                  <c:v>3.4526489999999999E-3</c:v>
                </c:pt>
                <c:pt idx="64" formatCode="0.00E+00">
                  <c:v>3.456293E-3</c:v>
                </c:pt>
                <c:pt idx="65" formatCode="0.00E+00">
                  <c:v>3.4599410000000002E-3</c:v>
                </c:pt>
                <c:pt idx="66" formatCode="0.00E+00">
                  <c:v>3.4635930000000001E-3</c:v>
                </c:pt>
                <c:pt idx="67" formatCode="0.00E+00">
                  <c:v>3.467248E-3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5-451A-B673-5FFCCFCC4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6960"/>
        <c:axId val="135098752"/>
      </c:lineChart>
      <c:catAx>
        <c:axId val="1350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98752"/>
        <c:crosses val="autoZero"/>
        <c:auto val="1"/>
        <c:lblAlgn val="ctr"/>
        <c:lblOffset val="100"/>
        <c:noMultiLvlLbl val="0"/>
      </c:catAx>
      <c:valAx>
        <c:axId val="13509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696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Extrapolations!$A$11:$B$11</c:f>
              <c:strCache>
                <c:ptCount val="2"/>
                <c:pt idx="0">
                  <c:v>ships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Extrapolations!$C$11:$BT$11</c:f>
              <c:numCache>
                <c:formatCode>General</c:formatCode>
                <c:ptCount val="70"/>
                <c:pt idx="4" formatCode="0.00E+00">
                  <c:v>1.2594546332724645E-5</c:v>
                </c:pt>
                <c:pt idx="5" formatCode="0.00E+00">
                  <c:v>1.2594546332724645E-5</c:v>
                </c:pt>
                <c:pt idx="6" formatCode="0.00E+00">
                  <c:v>1.2594546332724645E-5</c:v>
                </c:pt>
                <c:pt idx="7" formatCode="0.00E+00">
                  <c:v>1.2594546332724645E-5</c:v>
                </c:pt>
                <c:pt idx="8" formatCode="0.00E+00">
                  <c:v>1.2594546332724645E-5</c:v>
                </c:pt>
                <c:pt idx="9" formatCode="0.00E+00">
                  <c:v>1.2594546332724645E-5</c:v>
                </c:pt>
                <c:pt idx="10" formatCode="0.00E+00">
                  <c:v>1.2594546332724645E-5</c:v>
                </c:pt>
                <c:pt idx="11" formatCode="0.00E+00">
                  <c:v>1.2594546332724645E-5</c:v>
                </c:pt>
                <c:pt idx="12" formatCode="0.00E+00">
                  <c:v>1.2594546332724645E-5</c:v>
                </c:pt>
                <c:pt idx="13" formatCode="0.00E+00">
                  <c:v>1.2594546332724645E-5</c:v>
                </c:pt>
                <c:pt idx="14" formatCode="0.00E+00">
                  <c:v>1.2594546332724645E-5</c:v>
                </c:pt>
                <c:pt idx="15" formatCode="0.00E+00">
                  <c:v>1.2594546332724645E-5</c:v>
                </c:pt>
                <c:pt idx="16" formatCode="0.00E+00">
                  <c:v>1.2594546332724645E-5</c:v>
                </c:pt>
                <c:pt idx="17" formatCode="0.00E+00">
                  <c:v>1.2594546332724645E-5</c:v>
                </c:pt>
                <c:pt idx="18" formatCode="0.00E+00">
                  <c:v>1.2594546332724645E-5</c:v>
                </c:pt>
                <c:pt idx="19" formatCode="0.00E+00">
                  <c:v>1.2594546332724645E-5</c:v>
                </c:pt>
                <c:pt idx="20" formatCode="0.00E+00">
                  <c:v>1.2594546332724645E-5</c:v>
                </c:pt>
                <c:pt idx="21" formatCode="0.00E+00">
                  <c:v>1.2594546332724645E-5</c:v>
                </c:pt>
                <c:pt idx="22" formatCode="0.00E+00">
                  <c:v>1.2594546332724645E-5</c:v>
                </c:pt>
                <c:pt idx="23" formatCode="0.00E+00">
                  <c:v>1.2594546332724645E-5</c:v>
                </c:pt>
                <c:pt idx="24" formatCode="0.00E+00">
                  <c:v>1.2594546332724645E-5</c:v>
                </c:pt>
                <c:pt idx="25" formatCode="0.00E+00">
                  <c:v>1.2594546332724645E-5</c:v>
                </c:pt>
                <c:pt idx="26" formatCode="0.00E+00">
                  <c:v>1.2594546332724645E-5</c:v>
                </c:pt>
                <c:pt idx="27" formatCode="0.00E+00">
                  <c:v>1.2594546332724645E-5</c:v>
                </c:pt>
                <c:pt idx="28" formatCode="0.00E+00">
                  <c:v>1.2594546332724645E-5</c:v>
                </c:pt>
                <c:pt idx="29" formatCode="0.00E+00">
                  <c:v>1.2594546332724645E-5</c:v>
                </c:pt>
                <c:pt idx="30" formatCode="0.00E+00">
                  <c:v>1.2594546332724645E-5</c:v>
                </c:pt>
                <c:pt idx="31" formatCode="0.00E+00">
                  <c:v>1.2594546332724645E-5</c:v>
                </c:pt>
                <c:pt idx="32" formatCode="0.00E+00">
                  <c:v>1.2594546332724645E-5</c:v>
                </c:pt>
                <c:pt idx="33" formatCode="0.00E+00">
                  <c:v>1.2594546332724645E-5</c:v>
                </c:pt>
                <c:pt idx="34" formatCode="0.00E+00">
                  <c:v>1.2594546332724645E-5</c:v>
                </c:pt>
                <c:pt idx="35" formatCode="0.00E+00">
                  <c:v>1.2594546332724645E-5</c:v>
                </c:pt>
                <c:pt idx="36" formatCode="0.00E+00">
                  <c:v>1.2594546332724645E-5</c:v>
                </c:pt>
                <c:pt idx="37" formatCode="0.00E+00">
                  <c:v>1.2594546332724645E-5</c:v>
                </c:pt>
                <c:pt idx="38" formatCode="0.00E+00">
                  <c:v>1.2594546332724645E-5</c:v>
                </c:pt>
                <c:pt idx="39" formatCode="0.00E+00">
                  <c:v>1.2594546332724645E-5</c:v>
                </c:pt>
                <c:pt idx="40" formatCode="0.00E+00">
                  <c:v>1.2594546332724645E-5</c:v>
                </c:pt>
                <c:pt idx="41" formatCode="0.00E+00">
                  <c:v>1.2594546332724645E-5</c:v>
                </c:pt>
                <c:pt idx="42" formatCode="0.00E+00">
                  <c:v>1.2594546332724645E-5</c:v>
                </c:pt>
                <c:pt idx="43" formatCode="0.00E+00">
                  <c:v>1.2594546332724645E-5</c:v>
                </c:pt>
                <c:pt idx="44" formatCode="0.00E+00">
                  <c:v>1.2594546332724645E-5</c:v>
                </c:pt>
                <c:pt idx="45" formatCode="0.00E+00">
                  <c:v>1.2594546332724645E-5</c:v>
                </c:pt>
                <c:pt idx="46" formatCode="0.00E+00">
                  <c:v>1.2594546332724645E-5</c:v>
                </c:pt>
                <c:pt idx="47" formatCode="0.00E+00">
                  <c:v>1.2594546332724645E-5</c:v>
                </c:pt>
                <c:pt idx="48" formatCode="0.00E+00">
                  <c:v>1.2594546332724645E-5</c:v>
                </c:pt>
                <c:pt idx="49" formatCode="0.00E+00">
                  <c:v>1.2594546332724645E-5</c:v>
                </c:pt>
                <c:pt idx="50" formatCode="0.00E+00">
                  <c:v>1.2594546332724645E-5</c:v>
                </c:pt>
                <c:pt idx="51" formatCode="0.00E+00">
                  <c:v>1.2594546332724645E-5</c:v>
                </c:pt>
                <c:pt idx="52" formatCode="0.00E+00">
                  <c:v>1.2594546332724645E-5</c:v>
                </c:pt>
                <c:pt idx="53" formatCode="0.00E+00">
                  <c:v>1.2594546332724645E-5</c:v>
                </c:pt>
                <c:pt idx="54" formatCode="0.00E+00">
                  <c:v>1.2594546332724645E-5</c:v>
                </c:pt>
                <c:pt idx="55" formatCode="0.00E+00">
                  <c:v>1.2594546332724645E-5</c:v>
                </c:pt>
                <c:pt idx="56" formatCode="0.00E+00">
                  <c:v>1.2594546332724645E-5</c:v>
                </c:pt>
                <c:pt idx="57" formatCode="0.00E+00">
                  <c:v>1.2594546332724645E-5</c:v>
                </c:pt>
                <c:pt idx="58" formatCode="0.00E+00">
                  <c:v>1.2594546332724645E-5</c:v>
                </c:pt>
                <c:pt idx="59" formatCode="0.00E+00">
                  <c:v>1.2594546332724645E-5</c:v>
                </c:pt>
                <c:pt idx="60" formatCode="0.00E+00">
                  <c:v>1.2594546332724645E-5</c:v>
                </c:pt>
                <c:pt idx="61" formatCode="0.00E+00">
                  <c:v>1.2594546332724645E-5</c:v>
                </c:pt>
                <c:pt idx="62" formatCode="0.00E+00">
                  <c:v>1.2594546332724645E-5</c:v>
                </c:pt>
                <c:pt idx="63" formatCode="0.00E+00">
                  <c:v>1.2594546332724645E-5</c:v>
                </c:pt>
                <c:pt idx="64" formatCode="0.00E+00">
                  <c:v>1.2594546332724645E-5</c:v>
                </c:pt>
                <c:pt idx="65" formatCode="0.00E+00">
                  <c:v>1.2594546332724645E-5</c:v>
                </c:pt>
                <c:pt idx="66" formatCode="0.00E+00">
                  <c:v>1.2594546332724645E-5</c:v>
                </c:pt>
                <c:pt idx="67" formatCode="0.00E+00">
                  <c:v>1.2594546332724645E-5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0-4FCE-BFFD-1E700362E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10656"/>
        <c:axId val="135112192"/>
      </c:lineChart>
      <c:catAx>
        <c:axId val="13511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12192"/>
        <c:crosses val="autoZero"/>
        <c:auto val="1"/>
        <c:lblAlgn val="ctr"/>
        <c:lblOffset val="100"/>
        <c:noMultiLvlLbl val="0"/>
      </c:catAx>
      <c:valAx>
        <c:axId val="1351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106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Extrapolations!$A$12:$B$12</c:f>
              <c:strCache>
                <c:ptCount val="2"/>
                <c:pt idx="0">
                  <c:v>ships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Extrapolations!$C$12:$BT$12</c:f>
              <c:numCache>
                <c:formatCode>General</c:formatCode>
                <c:ptCount val="70"/>
                <c:pt idx="4" formatCode="0.00E+00">
                  <c:v>5.2454271866069317E-3</c:v>
                </c:pt>
                <c:pt idx="5" formatCode="0.00E+00">
                  <c:v>5.2454271866069317E-3</c:v>
                </c:pt>
                <c:pt idx="6" formatCode="0.00E+00">
                  <c:v>5.2454271866069317E-3</c:v>
                </c:pt>
                <c:pt idx="7" formatCode="0.00E+00">
                  <c:v>5.2454271866069317E-3</c:v>
                </c:pt>
                <c:pt idx="8" formatCode="0.00E+00">
                  <c:v>5.2454271866069317E-3</c:v>
                </c:pt>
                <c:pt idx="9" formatCode="0.00E+00">
                  <c:v>5.2454271866069317E-3</c:v>
                </c:pt>
                <c:pt idx="10" formatCode="0.00E+00">
                  <c:v>5.2454271866069317E-3</c:v>
                </c:pt>
                <c:pt idx="11" formatCode="0.00E+00">
                  <c:v>5.2454271866069317E-3</c:v>
                </c:pt>
                <c:pt idx="12" formatCode="0.00E+00">
                  <c:v>5.2454271866069317E-3</c:v>
                </c:pt>
                <c:pt idx="13" formatCode="0.00E+00">
                  <c:v>5.2454271866069317E-3</c:v>
                </c:pt>
                <c:pt idx="14" formatCode="0.00E+00">
                  <c:v>5.2454271866069317E-3</c:v>
                </c:pt>
                <c:pt idx="15" formatCode="0.00E+00">
                  <c:v>5.2454271866069317E-3</c:v>
                </c:pt>
                <c:pt idx="16" formatCode="0.00E+00">
                  <c:v>5.2454271866069317E-3</c:v>
                </c:pt>
                <c:pt idx="17" formatCode="0.00E+00">
                  <c:v>5.2454271866069317E-3</c:v>
                </c:pt>
                <c:pt idx="18" formatCode="0.00E+00">
                  <c:v>5.2454271866069317E-3</c:v>
                </c:pt>
                <c:pt idx="19" formatCode="0.00E+00">
                  <c:v>5.2454271866069317E-3</c:v>
                </c:pt>
                <c:pt idx="20" formatCode="0.00E+00">
                  <c:v>5.2454271866069317E-3</c:v>
                </c:pt>
                <c:pt idx="21" formatCode="0.00E+00">
                  <c:v>5.2454271866069317E-3</c:v>
                </c:pt>
                <c:pt idx="22" formatCode="0.00E+00">
                  <c:v>5.2454271866069317E-3</c:v>
                </c:pt>
                <c:pt idx="23" formatCode="0.00E+00">
                  <c:v>5.2454271866069317E-3</c:v>
                </c:pt>
                <c:pt idx="24" formatCode="0.00E+00">
                  <c:v>5.2454271866069317E-3</c:v>
                </c:pt>
                <c:pt idx="25" formatCode="0.00E+00">
                  <c:v>5.2454271866069317E-3</c:v>
                </c:pt>
                <c:pt idx="26" formatCode="0.00E+00">
                  <c:v>5.2454271866069317E-3</c:v>
                </c:pt>
                <c:pt idx="27" formatCode="0.00E+00">
                  <c:v>5.2454271866069317E-3</c:v>
                </c:pt>
                <c:pt idx="28" formatCode="0.00E+00">
                  <c:v>5.2454271866069317E-3</c:v>
                </c:pt>
                <c:pt idx="29" formatCode="0.00E+00">
                  <c:v>5.2454271866069317E-3</c:v>
                </c:pt>
                <c:pt idx="30" formatCode="0.00E+00">
                  <c:v>5.2454271866069317E-3</c:v>
                </c:pt>
                <c:pt idx="31" formatCode="0.00E+00">
                  <c:v>5.2454271866069317E-3</c:v>
                </c:pt>
                <c:pt idx="32" formatCode="0.00E+00">
                  <c:v>5.2454271866069317E-3</c:v>
                </c:pt>
                <c:pt idx="33" formatCode="0.00E+00">
                  <c:v>5.2454271866069317E-3</c:v>
                </c:pt>
                <c:pt idx="34" formatCode="0.00E+00">
                  <c:v>5.2454271866069317E-3</c:v>
                </c:pt>
                <c:pt idx="35" formatCode="0.00E+00">
                  <c:v>5.2454271866069317E-3</c:v>
                </c:pt>
                <c:pt idx="36" formatCode="0.00E+00">
                  <c:v>5.2454271866069317E-3</c:v>
                </c:pt>
                <c:pt idx="37" formatCode="0.00E+00">
                  <c:v>5.2454271866069317E-3</c:v>
                </c:pt>
                <c:pt idx="38" formatCode="0.00E+00">
                  <c:v>5.2454271866069326E-3</c:v>
                </c:pt>
                <c:pt idx="39" formatCode="0.00E+00">
                  <c:v>5.2454271866069326E-3</c:v>
                </c:pt>
                <c:pt idx="40" formatCode="0.00E+00">
                  <c:v>5.2454271866069326E-3</c:v>
                </c:pt>
                <c:pt idx="41" formatCode="0.00E+00">
                  <c:v>5.2454271866069326E-3</c:v>
                </c:pt>
                <c:pt idx="42" formatCode="0.00E+00">
                  <c:v>5.2454271866069326E-3</c:v>
                </c:pt>
                <c:pt idx="43" formatCode="0.00E+00">
                  <c:v>5.2454271866069326E-3</c:v>
                </c:pt>
                <c:pt idx="44" formatCode="0.00E+00">
                  <c:v>5.2454271866069326E-3</c:v>
                </c:pt>
                <c:pt idx="45" formatCode="0.00E+00">
                  <c:v>5.2454271866069326E-3</c:v>
                </c:pt>
                <c:pt idx="46" formatCode="0.00E+00">
                  <c:v>5.2454271866069326E-3</c:v>
                </c:pt>
                <c:pt idx="47" formatCode="0.00E+00">
                  <c:v>5.2454271866069326E-3</c:v>
                </c:pt>
                <c:pt idx="48" formatCode="0.00E+00">
                  <c:v>5.2454271866069326E-3</c:v>
                </c:pt>
                <c:pt idx="49" formatCode="0.00E+00">
                  <c:v>5.2454271866069326E-3</c:v>
                </c:pt>
                <c:pt idx="50" formatCode="0.00E+00">
                  <c:v>5.2454271866069326E-3</c:v>
                </c:pt>
                <c:pt idx="51" formatCode="0.00E+00">
                  <c:v>5.2454271866069326E-3</c:v>
                </c:pt>
                <c:pt idx="52" formatCode="0.00E+00">
                  <c:v>5.2454271866069326E-3</c:v>
                </c:pt>
                <c:pt idx="53" formatCode="0.00E+00">
                  <c:v>5.2454271866069326E-3</c:v>
                </c:pt>
                <c:pt idx="54" formatCode="0.00E+00">
                  <c:v>5.2454271866069326E-3</c:v>
                </c:pt>
                <c:pt idx="55" formatCode="0.00E+00">
                  <c:v>5.2454271866069326E-3</c:v>
                </c:pt>
                <c:pt idx="56" formatCode="0.00E+00">
                  <c:v>5.2454271866069326E-3</c:v>
                </c:pt>
                <c:pt idx="57" formatCode="0.00E+00">
                  <c:v>5.2454271866069326E-3</c:v>
                </c:pt>
                <c:pt idx="58" formatCode="0.00E+00">
                  <c:v>5.2454271866069326E-3</c:v>
                </c:pt>
                <c:pt idx="59" formatCode="0.00E+00">
                  <c:v>5.2454271866069326E-3</c:v>
                </c:pt>
                <c:pt idx="60" formatCode="0.00E+00">
                  <c:v>5.2454271866069326E-3</c:v>
                </c:pt>
                <c:pt idx="61" formatCode="0.00E+00">
                  <c:v>5.2454271866069326E-3</c:v>
                </c:pt>
                <c:pt idx="62" formatCode="0.00E+00">
                  <c:v>5.2454271866069326E-3</c:v>
                </c:pt>
                <c:pt idx="63" formatCode="0.00E+00">
                  <c:v>5.2454271866069326E-3</c:v>
                </c:pt>
                <c:pt idx="64" formatCode="0.00E+00">
                  <c:v>5.2454271866069326E-3</c:v>
                </c:pt>
                <c:pt idx="65" formatCode="0.00E+00">
                  <c:v>5.2454271866069326E-3</c:v>
                </c:pt>
                <c:pt idx="66" formatCode="0.00E+00">
                  <c:v>5.2454271866069326E-3</c:v>
                </c:pt>
                <c:pt idx="67" formatCode="0.00E+00">
                  <c:v>5.2454271866069326E-3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5-457C-979A-2B83C354C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43424"/>
        <c:axId val="135144960"/>
      </c:lineChart>
      <c:catAx>
        <c:axId val="1351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44960"/>
        <c:crosses val="autoZero"/>
        <c:auto val="1"/>
        <c:lblAlgn val="ctr"/>
        <c:lblOffset val="100"/>
        <c:noMultiLvlLbl val="0"/>
      </c:catAx>
      <c:valAx>
        <c:axId val="135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434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Extrapolations!$A$13:$B$13</c:f>
              <c:strCache>
                <c:ptCount val="2"/>
                <c:pt idx="0">
                  <c:v>motorbikes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Extrapolations!$C$13:$BT$13</c:f>
              <c:numCache>
                <c:formatCode>0.00E+00</c:formatCode>
                <c:ptCount val="70"/>
                <c:pt idx="20">
                  <c:v>1.4345302324303025E-3</c:v>
                </c:pt>
                <c:pt idx="21">
                  <c:v>1.4345302324303025E-3</c:v>
                </c:pt>
                <c:pt idx="22">
                  <c:v>1.4345302324303025E-3</c:v>
                </c:pt>
                <c:pt idx="23">
                  <c:v>1.4345302324303025E-3</c:v>
                </c:pt>
                <c:pt idx="24">
                  <c:v>1.4345302324303025E-3</c:v>
                </c:pt>
                <c:pt idx="25">
                  <c:v>1.4345302324303025E-3</c:v>
                </c:pt>
                <c:pt idx="26">
                  <c:v>1.4345302324303025E-3</c:v>
                </c:pt>
                <c:pt idx="27">
                  <c:v>1.4345302324303025E-3</c:v>
                </c:pt>
                <c:pt idx="28">
                  <c:v>1.4345302324303025E-3</c:v>
                </c:pt>
                <c:pt idx="29">
                  <c:v>1.4345302324303025E-3</c:v>
                </c:pt>
                <c:pt idx="30">
                  <c:v>1.4345302324303025E-3</c:v>
                </c:pt>
                <c:pt idx="31">
                  <c:v>1.4345302324303025E-3</c:v>
                </c:pt>
                <c:pt idx="32">
                  <c:v>1.4345302324303025E-3</c:v>
                </c:pt>
                <c:pt idx="33">
                  <c:v>1.4345302324303025E-3</c:v>
                </c:pt>
                <c:pt idx="34">
                  <c:v>1.4345302324303025E-3</c:v>
                </c:pt>
                <c:pt idx="35">
                  <c:v>1.4345302324303025E-3</c:v>
                </c:pt>
                <c:pt idx="36">
                  <c:v>1.4345302324303025E-3</c:v>
                </c:pt>
                <c:pt idx="37">
                  <c:v>1.4345302324303025E-3</c:v>
                </c:pt>
                <c:pt idx="38">
                  <c:v>1.4345302324303027E-3</c:v>
                </c:pt>
                <c:pt idx="39">
                  <c:v>1.4345302324303027E-3</c:v>
                </c:pt>
                <c:pt idx="40">
                  <c:v>1.4345302324303027E-3</c:v>
                </c:pt>
                <c:pt idx="41">
                  <c:v>1.4345302324303027E-3</c:v>
                </c:pt>
                <c:pt idx="42">
                  <c:v>1.4345302324303027E-3</c:v>
                </c:pt>
                <c:pt idx="43">
                  <c:v>1.4345302324303027E-3</c:v>
                </c:pt>
                <c:pt idx="44">
                  <c:v>1.4345302324303027E-3</c:v>
                </c:pt>
                <c:pt idx="45">
                  <c:v>1.4345302324303027E-3</c:v>
                </c:pt>
                <c:pt idx="46">
                  <c:v>1.4345302324303027E-3</c:v>
                </c:pt>
                <c:pt idx="47">
                  <c:v>1.4345302324303027E-3</c:v>
                </c:pt>
                <c:pt idx="48">
                  <c:v>1.4345302324303027E-3</c:v>
                </c:pt>
                <c:pt idx="49">
                  <c:v>1.4345302324303027E-3</c:v>
                </c:pt>
                <c:pt idx="50">
                  <c:v>1.4345302324303027E-3</c:v>
                </c:pt>
                <c:pt idx="51">
                  <c:v>1.4345302324303027E-3</c:v>
                </c:pt>
                <c:pt idx="52">
                  <c:v>1.4345302324303027E-3</c:v>
                </c:pt>
                <c:pt idx="53">
                  <c:v>1.4345302324303027E-3</c:v>
                </c:pt>
                <c:pt idx="54">
                  <c:v>1.4345302324303027E-3</c:v>
                </c:pt>
                <c:pt idx="55">
                  <c:v>1.4345302324303027E-3</c:v>
                </c:pt>
                <c:pt idx="56">
                  <c:v>1.4345302324303027E-3</c:v>
                </c:pt>
                <c:pt idx="57">
                  <c:v>1.4345302324303027E-3</c:v>
                </c:pt>
                <c:pt idx="58">
                  <c:v>1.4345302324303027E-3</c:v>
                </c:pt>
                <c:pt idx="59">
                  <c:v>1.4345302324303027E-3</c:v>
                </c:pt>
                <c:pt idx="60">
                  <c:v>1.4345302324303027E-3</c:v>
                </c:pt>
                <c:pt idx="61">
                  <c:v>1.4345302324303027E-3</c:v>
                </c:pt>
                <c:pt idx="62">
                  <c:v>1.4345302324303027E-3</c:v>
                </c:pt>
                <c:pt idx="63">
                  <c:v>1.4345302324303027E-3</c:v>
                </c:pt>
                <c:pt idx="64">
                  <c:v>1.4345302324303027E-3</c:v>
                </c:pt>
                <c:pt idx="65">
                  <c:v>1.4345302324303027E-3</c:v>
                </c:pt>
                <c:pt idx="66">
                  <c:v>1.4345302324303027E-3</c:v>
                </c:pt>
                <c:pt idx="67">
                  <c:v>1.4345302324303027E-3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9-495D-B209-DBE27AA2B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81824"/>
        <c:axId val="135183360"/>
      </c:lineChart>
      <c:catAx>
        <c:axId val="13518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83360"/>
        <c:crosses val="autoZero"/>
        <c:auto val="1"/>
        <c:lblAlgn val="ctr"/>
        <c:lblOffset val="100"/>
        <c:noMultiLvlLbl val="0"/>
      </c:catAx>
      <c:valAx>
        <c:axId val="135183360"/>
        <c:scaling>
          <c:orientation val="minMax"/>
          <c:min val="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351818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15</xdr:row>
      <xdr:rowOff>0</xdr:rowOff>
    </xdr:from>
    <xdr:to>
      <xdr:col>9</xdr:col>
      <xdr:colOff>314325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30</xdr:row>
      <xdr:rowOff>19050</xdr:rowOff>
    </xdr:from>
    <xdr:to>
      <xdr:col>9</xdr:col>
      <xdr:colOff>314325</xdr:colOff>
      <xdr:row>44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600075</xdr:colOff>
      <xdr:row>14</xdr:row>
      <xdr:rowOff>161925</xdr:rowOff>
    </xdr:from>
    <xdr:to>
      <xdr:col>17</xdr:col>
      <xdr:colOff>295275</xdr:colOff>
      <xdr:row>29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304800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14</xdr:row>
      <xdr:rowOff>180975</xdr:rowOff>
    </xdr:from>
    <xdr:to>
      <xdr:col>25</xdr:col>
      <xdr:colOff>304800</xdr:colOff>
      <xdr:row>29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19050</xdr:colOff>
      <xdr:row>30</xdr:row>
      <xdr:rowOff>9525</xdr:rowOff>
    </xdr:from>
    <xdr:to>
      <xdr:col>25</xdr:col>
      <xdr:colOff>323850</xdr:colOff>
      <xdr:row>44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15</xdr:row>
      <xdr:rowOff>9525</xdr:rowOff>
    </xdr:from>
    <xdr:to>
      <xdr:col>33</xdr:col>
      <xdr:colOff>304800</xdr:colOff>
      <xdr:row>29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28575</xdr:colOff>
      <xdr:row>30</xdr:row>
      <xdr:rowOff>9525</xdr:rowOff>
    </xdr:from>
    <xdr:to>
      <xdr:col>33</xdr:col>
      <xdr:colOff>333375</xdr:colOff>
      <xdr:row>44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15</xdr:row>
      <xdr:rowOff>9525</xdr:rowOff>
    </xdr:from>
    <xdr:to>
      <xdr:col>42</xdr:col>
      <xdr:colOff>304800</xdr:colOff>
      <xdr:row>29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9525</xdr:colOff>
      <xdr:row>30</xdr:row>
      <xdr:rowOff>0</xdr:rowOff>
    </xdr:from>
    <xdr:to>
      <xdr:col>42</xdr:col>
      <xdr:colOff>314325</xdr:colOff>
      <xdr:row>44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0</xdr:colOff>
      <xdr:row>15</xdr:row>
      <xdr:rowOff>9525</xdr:rowOff>
    </xdr:from>
    <xdr:to>
      <xdr:col>50</xdr:col>
      <xdr:colOff>304800</xdr:colOff>
      <xdr:row>29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outlooks/archive/aeo08/index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opLeftCell="A31" workbookViewId="0">
      <selection activeCell="C36" sqref="C36"/>
    </sheetView>
  </sheetViews>
  <sheetFormatPr defaultRowHeight="15"/>
  <cols>
    <col min="1" max="1" width="13.42578125" customWidth="1"/>
    <col min="2" max="2" width="107.42578125" customWidth="1"/>
  </cols>
  <sheetData>
    <row r="1" spans="1:3">
      <c r="A1" s="1" t="s">
        <v>14</v>
      </c>
      <c r="B1" t="s">
        <v>99</v>
      </c>
      <c r="C1" s="31">
        <v>45310</v>
      </c>
    </row>
    <row r="3" spans="1:3">
      <c r="A3" s="1" t="s">
        <v>0</v>
      </c>
      <c r="B3" s="2" t="s">
        <v>30</v>
      </c>
    </row>
    <row r="4" spans="1:3">
      <c r="B4" s="6" t="s">
        <v>32</v>
      </c>
    </row>
    <row r="5" spans="1:3">
      <c r="B5" s="5"/>
    </row>
    <row r="6" spans="1:3">
      <c r="B6" s="14" t="s">
        <v>15</v>
      </c>
    </row>
    <row r="7" spans="1:3">
      <c r="B7" s="5" t="s">
        <v>59</v>
      </c>
    </row>
    <row r="8" spans="1:3">
      <c r="B8" s="5">
        <v>2008</v>
      </c>
    </row>
    <row r="9" spans="1:3">
      <c r="B9" s="5" t="s">
        <v>72</v>
      </c>
    </row>
    <row r="10" spans="1:3">
      <c r="B10" s="5" t="s">
        <v>73</v>
      </c>
    </row>
    <row r="11" spans="1:3">
      <c r="B11" s="5" t="s">
        <v>74</v>
      </c>
    </row>
    <row r="12" spans="1:3">
      <c r="B12" s="5"/>
    </row>
    <row r="13" spans="1:3">
      <c r="B13" s="2" t="s">
        <v>9</v>
      </c>
    </row>
    <row r="14" spans="1:3">
      <c r="B14" s="6" t="s">
        <v>86</v>
      </c>
    </row>
    <row r="16" spans="1:3">
      <c r="B16" s="2" t="s">
        <v>10</v>
      </c>
    </row>
    <row r="17" spans="1:2">
      <c r="B17" s="6" t="s">
        <v>12</v>
      </c>
    </row>
    <row r="18" spans="1:2">
      <c r="B18" s="5"/>
    </row>
    <row r="19" spans="1:2">
      <c r="B19" s="2" t="s">
        <v>31</v>
      </c>
    </row>
    <row r="20" spans="1:2">
      <c r="B20" s="6" t="s">
        <v>20</v>
      </c>
    </row>
    <row r="21" spans="1:2">
      <c r="B21" s="6"/>
    </row>
    <row r="22" spans="1:2">
      <c r="B22" s="2" t="s">
        <v>83</v>
      </c>
    </row>
    <row r="23" spans="1:2">
      <c r="B23" s="6" t="s">
        <v>82</v>
      </c>
    </row>
    <row r="25" spans="1:2">
      <c r="A25" s="1" t="s">
        <v>1</v>
      </c>
    </row>
    <row r="26" spans="1:2">
      <c r="A26" t="s">
        <v>33</v>
      </c>
    </row>
    <row r="27" spans="1:2">
      <c r="A27" t="s">
        <v>34</v>
      </c>
    </row>
    <row r="28" spans="1:2">
      <c r="A28" t="s">
        <v>35</v>
      </c>
    </row>
    <row r="29" spans="1:2">
      <c r="A29" t="s">
        <v>36</v>
      </c>
    </row>
    <row r="30" spans="1:2">
      <c r="A30" t="s">
        <v>96</v>
      </c>
    </row>
    <row r="31" spans="1:2">
      <c r="A31" t="s">
        <v>95</v>
      </c>
    </row>
    <row r="33" spans="1:1">
      <c r="A33" t="s">
        <v>43</v>
      </c>
    </row>
    <row r="34" spans="1:1">
      <c r="A34" t="s">
        <v>44</v>
      </c>
    </row>
    <row r="35" spans="1:1">
      <c r="A35" t="s">
        <v>37</v>
      </c>
    </row>
    <row r="36" spans="1:1">
      <c r="A36" t="s">
        <v>45</v>
      </c>
    </row>
    <row r="37" spans="1:1">
      <c r="A37" t="s">
        <v>46</v>
      </c>
    </row>
    <row r="38" spans="1:1">
      <c r="A38" t="s">
        <v>47</v>
      </c>
    </row>
    <row r="39" spans="1:1">
      <c r="A39" t="s">
        <v>48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7" spans="1:1">
      <c r="A47" t="s">
        <v>97</v>
      </c>
    </row>
    <row r="48" spans="1:1">
      <c r="A48" t="s">
        <v>98</v>
      </c>
    </row>
  </sheetData>
  <hyperlinks>
    <hyperlink ref="B10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0"/>
  <sheetViews>
    <sheetView workbookViewId="0">
      <selection activeCell="A22" sqref="A22"/>
    </sheetView>
  </sheetViews>
  <sheetFormatPr defaultRowHeight="15"/>
  <cols>
    <col min="1" max="1" width="18.42578125" customWidth="1"/>
    <col min="2" max="2" width="16.42578125" customWidth="1"/>
    <col min="3" max="3" width="30.7109375" customWidth="1"/>
  </cols>
  <sheetData>
    <row r="1" spans="1:37">
      <c r="A1" t="s">
        <v>23</v>
      </c>
    </row>
    <row r="2" spans="1:37">
      <c r="A2" t="s">
        <v>24</v>
      </c>
    </row>
    <row r="3" spans="1:37">
      <c r="A3" t="s">
        <v>25</v>
      </c>
    </row>
    <row r="4" spans="1:37">
      <c r="A4" t="s">
        <v>26</v>
      </c>
    </row>
    <row r="6" spans="1:37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s="1" t="s">
        <v>28</v>
      </c>
      <c r="B7" s="1" t="s">
        <v>29</v>
      </c>
      <c r="C7" s="1"/>
      <c r="D7">
        <v>2021</v>
      </c>
      <c r="E7">
        <v>2022</v>
      </c>
      <c r="F7">
        <v>2023</v>
      </c>
      <c r="G7">
        <v>2024</v>
      </c>
      <c r="H7">
        <v>2025</v>
      </c>
      <c r="I7">
        <v>2026</v>
      </c>
      <c r="J7">
        <v>2027</v>
      </c>
      <c r="K7">
        <v>2028</v>
      </c>
      <c r="L7">
        <v>2029</v>
      </c>
      <c r="M7">
        <v>2030</v>
      </c>
      <c r="N7">
        <v>2031</v>
      </c>
      <c r="O7">
        <v>2032</v>
      </c>
      <c r="P7">
        <v>2033</v>
      </c>
      <c r="Q7">
        <v>2034</v>
      </c>
      <c r="R7">
        <v>2035</v>
      </c>
      <c r="S7">
        <v>2036</v>
      </c>
      <c r="T7">
        <v>2037</v>
      </c>
      <c r="U7">
        <v>2038</v>
      </c>
      <c r="V7">
        <v>2039</v>
      </c>
      <c r="W7">
        <v>2040</v>
      </c>
      <c r="X7">
        <v>2041</v>
      </c>
      <c r="Y7">
        <v>2042</v>
      </c>
      <c r="Z7">
        <v>2043</v>
      </c>
      <c r="AA7">
        <v>2044</v>
      </c>
      <c r="AB7">
        <v>2045</v>
      </c>
      <c r="AC7">
        <v>2046</v>
      </c>
      <c r="AD7">
        <v>2047</v>
      </c>
      <c r="AE7">
        <v>2048</v>
      </c>
      <c r="AF7">
        <v>2049</v>
      </c>
      <c r="AG7">
        <v>2050</v>
      </c>
    </row>
    <row r="8" spans="1:37">
      <c r="A8" t="s">
        <v>15</v>
      </c>
      <c r="B8" t="s">
        <v>21</v>
      </c>
      <c r="C8" t="s">
        <v>4</v>
      </c>
      <c r="D8" s="4">
        <v>3.5391080625855263E-4</v>
      </c>
      <c r="E8" s="4">
        <v>3.6152338546126896E-4</v>
      </c>
      <c r="F8" s="4">
        <v>3.6806778318324615E-4</v>
      </c>
      <c r="G8" s="4">
        <v>3.7326311577328699E-4</v>
      </c>
      <c r="H8" s="4">
        <v>3.8684273091170592E-4</v>
      </c>
      <c r="I8" s="4">
        <v>3.9133628030331842E-4</v>
      </c>
      <c r="J8" s="4">
        <v>3.9460271712590122E-4</v>
      </c>
      <c r="K8" s="4">
        <v>4.0654622240144441E-4</v>
      </c>
      <c r="L8" s="4">
        <v>4.0753465089361259E-4</v>
      </c>
      <c r="M8" s="4">
        <v>4.0771889354095417E-4</v>
      </c>
      <c r="N8" s="4">
        <v>4.0791884576015625E-4</v>
      </c>
      <c r="O8" s="4">
        <v>4.0852284515353123E-4</v>
      </c>
      <c r="P8" s="4">
        <v>4.09583671112226E-4</v>
      </c>
      <c r="Q8" s="4">
        <v>4.1078673798239525E-4</v>
      </c>
      <c r="R8" s="4">
        <v>4.122748024320864E-4</v>
      </c>
      <c r="S8" s="4">
        <v>4.1373149805260076E-4</v>
      </c>
      <c r="T8" s="4">
        <v>4.1495700440447459E-4</v>
      </c>
      <c r="U8" s="4">
        <v>4.1601549646964788E-4</v>
      </c>
      <c r="V8" s="4">
        <v>4.1779365223495714E-4</v>
      </c>
      <c r="W8" s="4">
        <v>4.1809544457369974E-4</v>
      </c>
      <c r="X8" s="4">
        <v>4.1838332983416382E-4</v>
      </c>
      <c r="Y8" s="4">
        <v>4.1848122624012197E-4</v>
      </c>
      <c r="Z8" s="4">
        <v>4.1826563698301188E-4</v>
      </c>
      <c r="AA8" s="4">
        <v>4.1769414168042572E-4</v>
      </c>
      <c r="AB8" s="4">
        <v>4.1714393092982577E-4</v>
      </c>
      <c r="AC8" s="4">
        <v>4.1708664938544884E-4</v>
      </c>
      <c r="AD8" s="4">
        <v>4.165029094218215E-4</v>
      </c>
      <c r="AE8" s="4">
        <v>4.1616572999280917E-4</v>
      </c>
      <c r="AF8" s="4">
        <v>4.1755377409260071E-4</v>
      </c>
      <c r="AG8" s="4">
        <v>4.1711981834238049E-4</v>
      </c>
      <c r="AH8" s="4"/>
      <c r="AI8" s="4"/>
      <c r="AJ8" s="4"/>
      <c r="AK8" s="4"/>
    </row>
    <row r="9" spans="1:37">
      <c r="A9" t="s">
        <v>15</v>
      </c>
      <c r="B9" t="s">
        <v>22</v>
      </c>
      <c r="C9" t="s">
        <v>4</v>
      </c>
      <c r="D9" s="4">
        <v>1.0748894488887501E-4</v>
      </c>
      <c r="E9" s="4">
        <v>1.1376628742778099E-4</v>
      </c>
      <c r="F9" s="4">
        <v>1.1487084665170681E-4</v>
      </c>
      <c r="G9" s="4">
        <v>1.1675219072501874E-4</v>
      </c>
      <c r="H9" s="4">
        <v>1.1821814758141852E-4</v>
      </c>
      <c r="I9" s="4">
        <v>1.1769306557695523E-4</v>
      </c>
      <c r="J9" s="4">
        <v>1.1740735707916262E-4</v>
      </c>
      <c r="K9" s="4">
        <v>1.1551151797500483E-4</v>
      </c>
      <c r="L9" s="4">
        <v>1.1449785838376007E-4</v>
      </c>
      <c r="M9" s="4">
        <v>1.13287341804607E-4</v>
      </c>
      <c r="N9" s="4">
        <v>1.1212406398402511E-4</v>
      </c>
      <c r="O9" s="4">
        <v>1.1076186329973974E-4</v>
      </c>
      <c r="P9" s="4">
        <v>1.0947685788155618E-4</v>
      </c>
      <c r="Q9" s="4">
        <v>1.0833659526703707E-4</v>
      </c>
      <c r="R9" s="4">
        <v>1.0725258337875167E-4</v>
      </c>
      <c r="S9" s="4">
        <v>1.0627237374881068E-4</v>
      </c>
      <c r="T9" s="4">
        <v>1.053872190542009E-4</v>
      </c>
      <c r="U9" s="4">
        <v>1.0457070988285631E-4</v>
      </c>
      <c r="V9" s="4">
        <v>1.0382785746559407E-4</v>
      </c>
      <c r="W9" s="4">
        <v>1.0317553743970813E-4</v>
      </c>
      <c r="X9" s="4">
        <v>1.0260660677729319E-4</v>
      </c>
      <c r="Y9" s="4">
        <v>1.0212195692865432E-4</v>
      </c>
      <c r="Z9" s="4">
        <v>1.0164270384030296E-4</v>
      </c>
      <c r="AA9" s="4">
        <v>1.0120623842325044E-4</v>
      </c>
      <c r="AB9" s="4">
        <v>1.0086620530512349E-4</v>
      </c>
      <c r="AC9" s="4">
        <v>1.0054219744424832E-4</v>
      </c>
      <c r="AD9" s="4">
        <v>9.9850684341711718E-5</v>
      </c>
      <c r="AE9" s="4">
        <v>9.9621972535475967E-5</v>
      </c>
      <c r="AF9" s="4">
        <v>9.9483752435656976E-5</v>
      </c>
      <c r="AG9" s="4">
        <v>9.9383928406132565E-5</v>
      </c>
      <c r="AH9" s="4"/>
      <c r="AI9" s="4"/>
      <c r="AJ9" s="4"/>
      <c r="AK9" s="4"/>
    </row>
    <row r="10" spans="1:37">
      <c r="A10" t="s">
        <v>8</v>
      </c>
      <c r="B10" t="s">
        <v>21</v>
      </c>
      <c r="C10" t="s">
        <v>5</v>
      </c>
      <c r="D10" s="4">
        <v>1.1137362177939013E-3</v>
      </c>
      <c r="E10" s="4">
        <v>1.1868928349938494E-3</v>
      </c>
      <c r="F10" s="4">
        <v>1.2242021544325342E-3</v>
      </c>
      <c r="G10" s="4">
        <v>1.2625148116111296E-3</v>
      </c>
      <c r="H10" s="4">
        <v>1.2984724640643824E-3</v>
      </c>
      <c r="I10" s="4">
        <v>1.3325458991476347E-3</v>
      </c>
      <c r="J10" s="4">
        <v>1.3625499159680566E-3</v>
      </c>
      <c r="K10" s="4">
        <v>1.3753174198569201E-3</v>
      </c>
      <c r="L10" s="4">
        <v>1.3946841343267524E-3</v>
      </c>
      <c r="M10" s="4">
        <v>1.4146533498165595E-3</v>
      </c>
      <c r="N10" s="4">
        <v>1.4334182752321722E-3</v>
      </c>
      <c r="O10" s="4">
        <v>1.4445909758303492E-3</v>
      </c>
      <c r="P10" s="4">
        <v>1.4455847020325701E-3</v>
      </c>
      <c r="Q10" s="4">
        <v>1.4457021763821076E-3</v>
      </c>
      <c r="R10" s="4">
        <v>1.4456854451868699E-3</v>
      </c>
      <c r="S10" s="4">
        <v>1.4457034223221783E-3</v>
      </c>
      <c r="T10" s="4">
        <v>1.4456555426251702E-3</v>
      </c>
      <c r="U10" s="4">
        <v>1.4455629870770495E-3</v>
      </c>
      <c r="V10" s="4">
        <v>1.4452171497116701E-3</v>
      </c>
      <c r="W10" s="4">
        <v>1.4450916657473916E-3</v>
      </c>
      <c r="X10" s="4">
        <v>1.4448529792281048E-3</v>
      </c>
      <c r="Y10" s="4">
        <v>1.443856049179987E-3</v>
      </c>
      <c r="Z10" s="4">
        <v>1.4432142120520614E-3</v>
      </c>
      <c r="AA10" s="4">
        <v>1.443266541535037E-3</v>
      </c>
      <c r="AB10" s="4">
        <v>1.4434251319069122E-3</v>
      </c>
      <c r="AC10" s="4">
        <v>1.4437811147842976E-3</v>
      </c>
      <c r="AD10" s="4">
        <v>1.4442054463741406E-3</v>
      </c>
      <c r="AE10" s="4">
        <v>1.4447501001765403E-3</v>
      </c>
      <c r="AF10" s="4">
        <v>1.4451804834752992E-3</v>
      </c>
      <c r="AG10" s="4">
        <v>1.4456904289471535E-3</v>
      </c>
      <c r="AH10" s="4"/>
      <c r="AI10" s="4"/>
      <c r="AJ10" s="4"/>
      <c r="AK10" s="4"/>
    </row>
    <row r="11" spans="1:37">
      <c r="A11" t="s">
        <v>8</v>
      </c>
      <c r="B11" t="s">
        <v>22</v>
      </c>
      <c r="C11" t="s">
        <v>5</v>
      </c>
      <c r="D11" s="4">
        <v>7.3612054146182692E-4</v>
      </c>
      <c r="E11" s="4">
        <v>7.8447318350072194E-4</v>
      </c>
      <c r="F11" s="4">
        <v>8.0913266389472246E-4</v>
      </c>
      <c r="G11" s="4">
        <v>8.3445529729440947E-4</v>
      </c>
      <c r="H11" s="4">
        <v>8.582213975349269E-4</v>
      </c>
      <c r="I11" s="4">
        <v>8.8074213007663328E-4</v>
      </c>
      <c r="J11" s="4">
        <v>9.0057319308330108E-4</v>
      </c>
      <c r="K11" s="4">
        <v>9.0901183566816969E-4</v>
      </c>
      <c r="L11" s="4">
        <v>9.2181220627128113E-4</v>
      </c>
      <c r="M11" s="4">
        <v>9.3501079807791388E-4</v>
      </c>
      <c r="N11" s="4">
        <v>9.4741341804908898E-4</v>
      </c>
      <c r="O11" s="4">
        <v>9.5479798028431191E-4</v>
      </c>
      <c r="P11" s="4">
        <v>9.5545478057360543E-4</v>
      </c>
      <c r="Q11" s="4">
        <v>9.5553242488507497E-4</v>
      </c>
      <c r="R11" s="4">
        <v>9.5552136645283517E-4</v>
      </c>
      <c r="S11" s="4">
        <v>9.5553324838534815E-4</v>
      </c>
      <c r="T11" s="4">
        <v>9.5550160244627959E-4</v>
      </c>
      <c r="U11" s="4">
        <v>9.5544042814027313E-4</v>
      </c>
      <c r="V11" s="4">
        <v>9.5521184799302321E-4</v>
      </c>
      <c r="W11" s="4">
        <v>9.5512890975122625E-4</v>
      </c>
      <c r="X11" s="4">
        <v>9.5497115062746795E-4</v>
      </c>
      <c r="Y11" s="4">
        <v>9.5431223276604333E-4</v>
      </c>
      <c r="Z11" s="4">
        <v>9.5388801248246955E-4</v>
      </c>
      <c r="AA11" s="4">
        <v>9.5392259949394229E-4</v>
      </c>
      <c r="AB11" s="4">
        <v>9.5402741931442593E-4</v>
      </c>
      <c r="AC11" s="4">
        <v>9.5426270510675759E-4</v>
      </c>
      <c r="AD11" s="4">
        <v>9.5454316577121671E-4</v>
      </c>
      <c r="AE11" s="4">
        <v>9.5490315303348411E-4</v>
      </c>
      <c r="AF11" s="4">
        <v>9.5518761355641295E-4</v>
      </c>
      <c r="AG11" s="4">
        <v>9.555246604539279E-4</v>
      </c>
      <c r="AH11" s="4"/>
      <c r="AI11" s="4"/>
      <c r="AJ11" s="4"/>
      <c r="AK11" s="4"/>
    </row>
    <row r="12" spans="1:37">
      <c r="A12" t="s">
        <v>7</v>
      </c>
      <c r="B12" t="s">
        <v>21</v>
      </c>
      <c r="C12" t="s">
        <v>5</v>
      </c>
      <c r="D12" s="4">
        <v>5.7245968727451246E-4</v>
      </c>
      <c r="E12" s="4">
        <v>5.6525537747016295E-4</v>
      </c>
      <c r="F12" s="4">
        <v>5.6816948983254214E-4</v>
      </c>
      <c r="G12" s="4">
        <v>5.7128317518608321E-4</v>
      </c>
      <c r="H12" s="4">
        <v>5.7537137435165198E-4</v>
      </c>
      <c r="I12" s="4">
        <v>5.8053804811384778E-4</v>
      </c>
      <c r="J12" s="4">
        <v>5.8402553055494823E-4</v>
      </c>
      <c r="K12" s="4">
        <v>5.8760417107298871E-4</v>
      </c>
      <c r="L12" s="4">
        <v>5.9096130220580865E-4</v>
      </c>
      <c r="M12" s="4">
        <v>5.946019196444121E-4</v>
      </c>
      <c r="N12" s="4">
        <v>5.9865845018156332E-4</v>
      </c>
      <c r="O12" s="4">
        <v>6.0321943227520944E-4</v>
      </c>
      <c r="P12" s="4">
        <v>6.0839429137508894E-4</v>
      </c>
      <c r="Q12" s="4">
        <v>6.1395089969970801E-4</v>
      </c>
      <c r="R12" s="4">
        <v>6.1977379967962927E-4</v>
      </c>
      <c r="S12" s="4">
        <v>6.2567088851316315E-4</v>
      </c>
      <c r="T12" s="4">
        <v>6.3167004143386532E-4</v>
      </c>
      <c r="U12" s="4">
        <v>6.3779136032516399E-4</v>
      </c>
      <c r="V12" s="4">
        <v>6.437466870978497E-4</v>
      </c>
      <c r="W12" s="4">
        <v>6.4981143154692399E-4</v>
      </c>
      <c r="X12" s="4">
        <v>6.5593323238593052E-4</v>
      </c>
      <c r="Y12" s="4">
        <v>6.6206558943440969E-4</v>
      </c>
      <c r="Z12" s="4">
        <v>6.6830617483670774E-4</v>
      </c>
      <c r="AA12" s="4">
        <v>6.7444724581067943E-4</v>
      </c>
      <c r="AB12" s="4">
        <v>6.8055623616867665E-4</v>
      </c>
      <c r="AC12" s="4">
        <v>6.8655076394605308E-4</v>
      </c>
      <c r="AD12" s="4">
        <v>6.9253674881163997E-4</v>
      </c>
      <c r="AE12" s="4">
        <v>6.9843365885812099E-4</v>
      </c>
      <c r="AF12" s="4">
        <v>7.0421403083949718E-4</v>
      </c>
      <c r="AG12" s="4">
        <v>7.0992567085904998E-4</v>
      </c>
      <c r="AH12" s="4"/>
      <c r="AI12" s="4"/>
      <c r="AJ12" s="4"/>
      <c r="AK12" s="4"/>
    </row>
    <row r="13" spans="1:37">
      <c r="A13" t="s">
        <v>7</v>
      </c>
      <c r="B13" t="s">
        <v>22</v>
      </c>
      <c r="C13" t="s">
        <v>5</v>
      </c>
      <c r="D13" s="4">
        <v>4.8563096039282174E-5</v>
      </c>
      <c r="E13" s="4">
        <v>4.7951937565239972E-5</v>
      </c>
      <c r="F13" s="4">
        <v>4.8199148542133818E-5</v>
      </c>
      <c r="G13" s="4">
        <v>4.8463289763291303E-5</v>
      </c>
      <c r="H13" s="4">
        <v>4.8810101273548841E-5</v>
      </c>
      <c r="I13" s="4">
        <v>4.9248402309752346E-5</v>
      </c>
      <c r="J13" s="4">
        <v>4.9544253613324154E-5</v>
      </c>
      <c r="K13" s="4">
        <v>4.9847838070065696E-5</v>
      </c>
      <c r="L13" s="4">
        <v>5.0132631366857999E-5</v>
      </c>
      <c r="M13" s="4">
        <v>5.0441473470928121E-5</v>
      </c>
      <c r="N13" s="4">
        <v>5.0785598457265348E-5</v>
      </c>
      <c r="O13" s="4">
        <v>5.1172517250624796E-5</v>
      </c>
      <c r="P13" s="4">
        <v>5.161151266819503E-5</v>
      </c>
      <c r="Q13" s="4">
        <v>5.2082892766601423E-5</v>
      </c>
      <c r="R13" s="4">
        <v>5.2576863009813412E-5</v>
      </c>
      <c r="S13" s="4">
        <v>5.3077126867236362E-5</v>
      </c>
      <c r="T13" s="4">
        <v>5.3586049060219874E-5</v>
      </c>
      <c r="U13" s="4">
        <v>5.4105334878616127E-5</v>
      </c>
      <c r="V13" s="4">
        <v>5.4610539196817424E-5</v>
      </c>
      <c r="W13" s="4">
        <v>5.5125025672775793E-5</v>
      </c>
      <c r="X13" s="4">
        <v>5.5644352375924891E-5</v>
      </c>
      <c r="Y13" s="4">
        <v>5.6164574587047429E-5</v>
      </c>
      <c r="Z13" s="4">
        <v>5.6693978062907934E-5</v>
      </c>
      <c r="AA13" s="4">
        <v>5.721493949673903E-5</v>
      </c>
      <c r="AB13" s="4">
        <v>5.7733179456780447E-5</v>
      </c>
      <c r="AC13" s="4">
        <v>5.8241709288023016E-5</v>
      </c>
      <c r="AD13" s="4">
        <v>5.8749514404049965E-5</v>
      </c>
      <c r="AE13" s="4">
        <v>5.9249763094548476E-5</v>
      </c>
      <c r="AF13" s="4">
        <v>5.9740125588038328E-5</v>
      </c>
      <c r="AG13" s="4">
        <v>6.0224657388228372E-5</v>
      </c>
      <c r="AH13" s="4"/>
      <c r="AI13" s="4"/>
      <c r="AJ13" s="4"/>
      <c r="AK13" s="4"/>
    </row>
    <row r="14" spans="1:37">
      <c r="A14" t="s">
        <v>16</v>
      </c>
      <c r="B14" t="s">
        <v>21</v>
      </c>
      <c r="C14" t="s">
        <v>5</v>
      </c>
      <c r="D14" s="4">
        <v>7.1745362435245036E-5</v>
      </c>
      <c r="E14" s="4">
        <v>7.1745362435245036E-5</v>
      </c>
      <c r="F14" s="4">
        <v>7.1745362435245036E-5</v>
      </c>
      <c r="G14" s="4">
        <v>7.1745362435245036E-5</v>
      </c>
      <c r="H14" s="4">
        <v>7.1745362435245036E-5</v>
      </c>
      <c r="I14" s="4">
        <v>7.1745362435245036E-5</v>
      </c>
      <c r="J14" s="4">
        <v>7.1745362435245036E-5</v>
      </c>
      <c r="K14" s="4">
        <v>7.1745362435245036E-5</v>
      </c>
      <c r="L14" s="4">
        <v>7.1745362435245036E-5</v>
      </c>
      <c r="M14" s="4">
        <v>7.1745362435245036E-5</v>
      </c>
      <c r="N14" s="4">
        <v>7.1745362435245036E-5</v>
      </c>
      <c r="O14" s="4">
        <v>7.1745362435245036E-5</v>
      </c>
      <c r="P14" s="4">
        <v>7.1745362435245036E-5</v>
      </c>
      <c r="Q14" s="4">
        <v>7.1745362435245036E-5</v>
      </c>
      <c r="R14" s="4">
        <v>7.1745362435245036E-5</v>
      </c>
      <c r="S14" s="4">
        <v>7.1745362435245036E-5</v>
      </c>
      <c r="T14" s="4">
        <v>7.1745362435245036E-5</v>
      </c>
      <c r="U14" s="4">
        <v>7.1745362435245036E-5</v>
      </c>
      <c r="V14" s="4">
        <v>7.1745362435245036E-5</v>
      </c>
      <c r="W14" s="4">
        <v>7.1745362435245036E-5</v>
      </c>
      <c r="X14" s="4">
        <v>7.1745362435245036E-5</v>
      </c>
      <c r="Y14" s="4">
        <v>7.1745362435245036E-5</v>
      </c>
      <c r="Z14" s="4">
        <v>7.1745362435245036E-5</v>
      </c>
      <c r="AA14" s="4">
        <v>7.1745362435245036E-5</v>
      </c>
      <c r="AB14" s="4">
        <v>7.1745362435245036E-5</v>
      </c>
      <c r="AC14" s="4">
        <v>7.1745362435245036E-5</v>
      </c>
      <c r="AD14" s="4">
        <v>7.1745362435245036E-5</v>
      </c>
      <c r="AE14" s="4">
        <v>7.1745362435245036E-5</v>
      </c>
      <c r="AF14" s="4">
        <v>7.1745362435245036E-5</v>
      </c>
      <c r="AG14" s="4">
        <v>7.1745362435245036E-5</v>
      </c>
      <c r="AH14" s="4"/>
      <c r="AI14" s="4"/>
      <c r="AJ14" s="4"/>
      <c r="AK14" s="4"/>
    </row>
    <row r="15" spans="1:37">
      <c r="A15" t="s">
        <v>16</v>
      </c>
      <c r="B15" t="s">
        <v>21</v>
      </c>
      <c r="C15" t="s">
        <v>2</v>
      </c>
      <c r="D15" s="4">
        <v>7.5686214263268839E-4</v>
      </c>
      <c r="E15" s="4">
        <v>7.5686214263268839E-4</v>
      </c>
      <c r="F15" s="4">
        <v>7.5686214263268839E-4</v>
      </c>
      <c r="G15" s="4">
        <v>7.5686214263268839E-4</v>
      </c>
      <c r="H15" s="4">
        <v>7.5686214263268839E-4</v>
      </c>
      <c r="I15" s="4">
        <v>7.5686214263268839E-4</v>
      </c>
      <c r="J15" s="4">
        <v>7.5686214263268839E-4</v>
      </c>
      <c r="K15" s="4">
        <v>7.5686214263268839E-4</v>
      </c>
      <c r="L15" s="4">
        <v>7.5686214263268839E-4</v>
      </c>
      <c r="M15" s="4">
        <v>7.5686214263268839E-4</v>
      </c>
      <c r="N15" s="4">
        <v>7.5686214263268839E-4</v>
      </c>
      <c r="O15" s="4">
        <v>7.5686214263268839E-4</v>
      </c>
      <c r="P15" s="4">
        <v>7.5686214263268839E-4</v>
      </c>
      <c r="Q15" s="4">
        <v>7.5686214263268839E-4</v>
      </c>
      <c r="R15" s="4">
        <v>7.5686214263268839E-4</v>
      </c>
      <c r="S15" s="4">
        <v>7.5686214263268839E-4</v>
      </c>
      <c r="T15" s="4">
        <v>7.5686214263268839E-4</v>
      </c>
      <c r="U15" s="4">
        <v>7.5686214263268839E-4</v>
      </c>
      <c r="V15" s="4">
        <v>7.5686214263268839E-4</v>
      </c>
      <c r="W15" s="4">
        <v>7.5686214263268839E-4</v>
      </c>
      <c r="X15" s="4">
        <v>7.5686214263268839E-4</v>
      </c>
      <c r="Y15" s="4">
        <v>7.5686214263268839E-4</v>
      </c>
      <c r="Z15" s="4">
        <v>7.5686214263268839E-4</v>
      </c>
      <c r="AA15" s="4">
        <v>7.5686214263268839E-4</v>
      </c>
      <c r="AB15" s="4">
        <v>7.5686214263268839E-4</v>
      </c>
      <c r="AC15" s="4">
        <v>7.5686214263268839E-4</v>
      </c>
      <c r="AD15" s="4">
        <v>7.5686214263268839E-4</v>
      </c>
      <c r="AE15" s="4">
        <v>7.5686214263268839E-4</v>
      </c>
      <c r="AF15" s="4">
        <v>7.5686214263268839E-4</v>
      </c>
      <c r="AG15" s="4">
        <v>7.5686214263268839E-4</v>
      </c>
      <c r="AH15" s="4"/>
      <c r="AI15" s="4"/>
      <c r="AJ15" s="4"/>
      <c r="AK15" s="4"/>
    </row>
    <row r="16" spans="1:37">
      <c r="A16" t="s">
        <v>16</v>
      </c>
      <c r="B16" t="s">
        <v>22</v>
      </c>
      <c r="C16" t="s">
        <v>5</v>
      </c>
      <c r="D16" s="4">
        <v>3.5120030000000001E-3</v>
      </c>
      <c r="E16" s="4">
        <v>3.3663400000000002E-3</v>
      </c>
      <c r="F16" s="4">
        <v>3.3698929999999997E-3</v>
      </c>
      <c r="G16" s="4">
        <v>3.3734500000000001E-3</v>
      </c>
      <c r="H16" s="4">
        <v>3.3770099999999997E-3</v>
      </c>
      <c r="I16" s="4">
        <v>3.3805740000000003E-3</v>
      </c>
      <c r="J16" s="4">
        <v>3.3841420000000001E-3</v>
      </c>
      <c r="K16" s="4">
        <v>3.3877130000000001E-3</v>
      </c>
      <c r="L16" s="4">
        <v>3.391289E-3</v>
      </c>
      <c r="M16" s="4">
        <v>3.3948680000000001E-3</v>
      </c>
      <c r="N16" s="4">
        <v>3.3984510000000002E-3</v>
      </c>
      <c r="O16" s="4">
        <v>3.4020370000000001E-3</v>
      </c>
      <c r="P16" s="4">
        <v>3.405628E-3</v>
      </c>
      <c r="Q16" s="4">
        <v>3.4092220000000004E-3</v>
      </c>
      <c r="R16" s="4">
        <v>3.41282E-3</v>
      </c>
      <c r="S16" s="4">
        <v>3.4164219999999997E-3</v>
      </c>
      <c r="T16" s="4">
        <v>3.420027E-3</v>
      </c>
      <c r="U16" s="4">
        <v>3.4236369999999998E-3</v>
      </c>
      <c r="V16" s="4">
        <v>3.4272499999999997E-3</v>
      </c>
      <c r="W16" s="4">
        <v>3.4308670000000002E-3</v>
      </c>
      <c r="X16" s="4">
        <v>3.4344879999999999E-3</v>
      </c>
      <c r="Y16" s="4">
        <v>3.438113E-3</v>
      </c>
      <c r="Z16" s="4">
        <v>3.4417409999999999E-3</v>
      </c>
      <c r="AA16" s="4">
        <v>3.4453729999999998E-3</v>
      </c>
      <c r="AB16" s="4">
        <v>3.4490099999999997E-3</v>
      </c>
      <c r="AC16" s="4">
        <v>3.4526489999999999E-3</v>
      </c>
      <c r="AD16" s="4">
        <v>3.456293E-3</v>
      </c>
      <c r="AE16" s="4">
        <v>3.4599410000000002E-3</v>
      </c>
      <c r="AF16" s="4">
        <v>3.4635930000000001E-3</v>
      </c>
      <c r="AG16" s="4">
        <v>3.467248E-3</v>
      </c>
      <c r="AH16" s="4"/>
      <c r="AI16" s="4"/>
      <c r="AJ16" s="4"/>
      <c r="AK16" s="4"/>
    </row>
    <row r="17" spans="1:37">
      <c r="A17" t="s">
        <v>17</v>
      </c>
      <c r="B17" t="s">
        <v>21</v>
      </c>
      <c r="C17" t="s">
        <v>5</v>
      </c>
      <c r="D17" s="4">
        <v>1.2594546332724645E-5</v>
      </c>
      <c r="E17" s="4">
        <v>1.2594546332724645E-5</v>
      </c>
      <c r="F17" s="4">
        <v>1.2594546332724645E-5</v>
      </c>
      <c r="G17" s="4">
        <v>1.2594546332724645E-5</v>
      </c>
      <c r="H17" s="4">
        <v>1.2594546332724645E-5</v>
      </c>
      <c r="I17" s="4">
        <v>1.2594546332724645E-5</v>
      </c>
      <c r="J17" s="4">
        <v>1.2594546332724645E-5</v>
      </c>
      <c r="K17" s="4">
        <v>1.2594546332724645E-5</v>
      </c>
      <c r="L17" s="4">
        <v>1.2594546332724645E-5</v>
      </c>
      <c r="M17" s="4">
        <v>1.2594546332724645E-5</v>
      </c>
      <c r="N17" s="4">
        <v>1.2594546332724645E-5</v>
      </c>
      <c r="O17" s="4">
        <v>1.2594546332724645E-5</v>
      </c>
      <c r="P17" s="4">
        <v>1.2594546332724645E-5</v>
      </c>
      <c r="Q17" s="4">
        <v>1.2594546332724645E-5</v>
      </c>
      <c r="R17" s="4">
        <v>1.2594546332724645E-5</v>
      </c>
      <c r="S17" s="4">
        <v>1.2594546332724645E-5</v>
      </c>
      <c r="T17" s="4">
        <v>1.2594546332724645E-5</v>
      </c>
      <c r="U17" s="4">
        <v>1.2594546332724645E-5</v>
      </c>
      <c r="V17" s="4">
        <v>1.2594546332724645E-5</v>
      </c>
      <c r="W17" s="4">
        <v>1.2594546332724645E-5</v>
      </c>
      <c r="X17" s="4">
        <v>1.2594546332724645E-5</v>
      </c>
      <c r="Y17" s="4">
        <v>1.2594546332724645E-5</v>
      </c>
      <c r="Z17" s="4">
        <v>1.2594546332724645E-5</v>
      </c>
      <c r="AA17" s="4">
        <v>1.2594546332724645E-5</v>
      </c>
      <c r="AB17" s="4">
        <v>1.2594546332724645E-5</v>
      </c>
      <c r="AC17" s="4">
        <v>1.2594546332724645E-5</v>
      </c>
      <c r="AD17" s="4">
        <v>1.2594546332724645E-5</v>
      </c>
      <c r="AE17" s="4">
        <v>1.2594546332724645E-5</v>
      </c>
      <c r="AF17" s="4">
        <v>1.2594546332724645E-5</v>
      </c>
      <c r="AG17" s="4">
        <v>1.2594546332724645E-5</v>
      </c>
      <c r="AH17" s="4"/>
      <c r="AI17" s="4"/>
      <c r="AJ17" s="4"/>
      <c r="AK17" s="4"/>
    </row>
    <row r="18" spans="1:37">
      <c r="A18" t="s">
        <v>17</v>
      </c>
      <c r="B18" t="s">
        <v>22</v>
      </c>
      <c r="C18" t="s">
        <v>5</v>
      </c>
      <c r="D18" s="4">
        <v>5.2454271866069326E-3</v>
      </c>
      <c r="E18" s="4">
        <v>5.2454271866069326E-3</v>
      </c>
      <c r="F18" s="4">
        <v>5.2454271866069326E-3</v>
      </c>
      <c r="G18" s="4">
        <v>5.2454271866069326E-3</v>
      </c>
      <c r="H18" s="4">
        <v>5.2454271866069326E-3</v>
      </c>
      <c r="I18" s="4">
        <v>5.2454271866069326E-3</v>
      </c>
      <c r="J18" s="4">
        <v>5.2454271866069326E-3</v>
      </c>
      <c r="K18" s="4">
        <v>5.2454271866069326E-3</v>
      </c>
      <c r="L18" s="4">
        <v>5.2454271866069326E-3</v>
      </c>
      <c r="M18" s="4">
        <v>5.2454271866069326E-3</v>
      </c>
      <c r="N18" s="4">
        <v>5.2454271866069326E-3</v>
      </c>
      <c r="O18" s="4">
        <v>5.2454271866069326E-3</v>
      </c>
      <c r="P18" s="4">
        <v>5.2454271866069326E-3</v>
      </c>
      <c r="Q18" s="4">
        <v>5.2454271866069326E-3</v>
      </c>
      <c r="R18" s="4">
        <v>5.2454271866069326E-3</v>
      </c>
      <c r="S18" s="4">
        <v>5.2454271866069326E-3</v>
      </c>
      <c r="T18" s="4">
        <v>5.2454271866069326E-3</v>
      </c>
      <c r="U18" s="4">
        <v>5.2454271866069326E-3</v>
      </c>
      <c r="V18" s="4">
        <v>5.2454271866069326E-3</v>
      </c>
      <c r="W18" s="4">
        <v>5.2454271866069326E-3</v>
      </c>
      <c r="X18" s="4">
        <v>5.2454271866069326E-3</v>
      </c>
      <c r="Y18" s="4">
        <v>5.2454271866069326E-3</v>
      </c>
      <c r="Z18" s="4">
        <v>5.2454271866069326E-3</v>
      </c>
      <c r="AA18" s="4">
        <v>5.2454271866069326E-3</v>
      </c>
      <c r="AB18" s="4">
        <v>5.2454271866069326E-3</v>
      </c>
      <c r="AC18" s="4">
        <v>5.2454271866069326E-3</v>
      </c>
      <c r="AD18" s="4">
        <v>5.2454271866069326E-3</v>
      </c>
      <c r="AE18" s="4">
        <v>5.2454271866069326E-3</v>
      </c>
      <c r="AF18" s="4">
        <v>5.2454271866069326E-3</v>
      </c>
      <c r="AG18" s="4">
        <v>5.2454271866069326E-3</v>
      </c>
      <c r="AH18" s="4"/>
      <c r="AI18" s="4"/>
      <c r="AJ18" s="4"/>
      <c r="AK18" s="4"/>
    </row>
    <row r="19" spans="1:37">
      <c r="A19" t="s">
        <v>18</v>
      </c>
      <c r="B19" t="s">
        <v>21</v>
      </c>
      <c r="C19" t="s">
        <v>4</v>
      </c>
      <c r="D19" s="4">
        <v>1.4345302324303027E-3</v>
      </c>
      <c r="E19" s="4">
        <v>1.4345302324303027E-3</v>
      </c>
      <c r="F19" s="4">
        <v>1.4345302324303027E-3</v>
      </c>
      <c r="G19" s="4">
        <v>1.4345302324303027E-3</v>
      </c>
      <c r="H19" s="4">
        <v>1.4345302324303027E-3</v>
      </c>
      <c r="I19" s="4">
        <v>1.4345302324303027E-3</v>
      </c>
      <c r="J19" s="4">
        <v>1.4345302324303027E-3</v>
      </c>
      <c r="K19" s="4">
        <v>1.4345302324303027E-3</v>
      </c>
      <c r="L19" s="4">
        <v>1.4345302324303027E-3</v>
      </c>
      <c r="M19" s="4">
        <v>1.4345302324303027E-3</v>
      </c>
      <c r="N19" s="4">
        <v>1.4345302324303027E-3</v>
      </c>
      <c r="O19" s="4">
        <v>1.4345302324303027E-3</v>
      </c>
      <c r="P19" s="4">
        <v>1.4345302324303027E-3</v>
      </c>
      <c r="Q19" s="4">
        <v>1.4345302324303027E-3</v>
      </c>
      <c r="R19" s="4">
        <v>1.4345302324303027E-3</v>
      </c>
      <c r="S19" s="4">
        <v>1.4345302324303027E-3</v>
      </c>
      <c r="T19" s="4">
        <v>1.4345302324303027E-3</v>
      </c>
      <c r="U19" s="4">
        <v>1.4345302324303027E-3</v>
      </c>
      <c r="V19" s="4">
        <v>1.4345302324303027E-3</v>
      </c>
      <c r="W19" s="4">
        <v>1.4345302324303027E-3</v>
      </c>
      <c r="X19" s="4">
        <v>1.4345302324303027E-3</v>
      </c>
      <c r="Y19" s="4">
        <v>1.4345302324303027E-3</v>
      </c>
      <c r="Z19" s="4">
        <v>1.4345302324303027E-3</v>
      </c>
      <c r="AA19" s="4">
        <v>1.4345302324303027E-3</v>
      </c>
      <c r="AB19" s="4">
        <v>1.4345302324303027E-3</v>
      </c>
      <c r="AC19" s="4">
        <v>1.4345302324303027E-3</v>
      </c>
      <c r="AD19" s="4">
        <v>1.4345302324303027E-3</v>
      </c>
      <c r="AE19" s="4">
        <v>1.4345302324303027E-3</v>
      </c>
      <c r="AF19" s="4">
        <v>1.4345302324303027E-3</v>
      </c>
      <c r="AG19" s="4">
        <v>1.4345302324303027E-3</v>
      </c>
      <c r="AH19" s="4"/>
      <c r="AI19" s="4"/>
      <c r="AJ19" s="4"/>
      <c r="AK19" s="4"/>
    </row>
    <row r="20" spans="1:37">
      <c r="A20" t="s">
        <v>18</v>
      </c>
      <c r="B20" t="s">
        <v>22</v>
      </c>
      <c r="C20" t="s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2" spans="1:37">
      <c r="A22" s="1" t="s">
        <v>93</v>
      </c>
    </row>
    <row r="23" spans="1:37">
      <c r="A23" t="s">
        <v>94</v>
      </c>
      <c r="B23">
        <v>2021</v>
      </c>
      <c r="C23">
        <v>2022</v>
      </c>
      <c r="D23">
        <v>2023</v>
      </c>
      <c r="E23">
        <v>2024</v>
      </c>
      <c r="F23">
        <v>2025</v>
      </c>
      <c r="G23">
        <v>2026</v>
      </c>
      <c r="H23">
        <v>2027</v>
      </c>
      <c r="I23">
        <v>2028</v>
      </c>
      <c r="J23">
        <v>2029</v>
      </c>
      <c r="K23">
        <v>2030</v>
      </c>
      <c r="L23">
        <v>2031</v>
      </c>
      <c r="M23">
        <v>2032</v>
      </c>
      <c r="N23">
        <v>2033</v>
      </c>
      <c r="O23">
        <v>2034</v>
      </c>
      <c r="P23">
        <v>2035</v>
      </c>
      <c r="Q23">
        <v>2036</v>
      </c>
      <c r="R23">
        <v>2037</v>
      </c>
      <c r="S23">
        <v>2038</v>
      </c>
      <c r="T23">
        <v>2039</v>
      </c>
      <c r="U23">
        <v>2040</v>
      </c>
      <c r="V23">
        <v>2041</v>
      </c>
      <c r="W23">
        <v>2042</v>
      </c>
      <c r="X23">
        <v>2043</v>
      </c>
      <c r="Y23">
        <v>2044</v>
      </c>
      <c r="Z23">
        <v>2045</v>
      </c>
      <c r="AA23">
        <v>2046</v>
      </c>
      <c r="AB23">
        <v>2047</v>
      </c>
      <c r="AC23">
        <v>2048</v>
      </c>
      <c r="AD23">
        <v>2049</v>
      </c>
      <c r="AE23">
        <v>2050</v>
      </c>
    </row>
    <row r="24" spans="1:37">
      <c r="A24" t="s">
        <v>2</v>
      </c>
      <c r="B24">
        <v>1.0610370953958444E-3</v>
      </c>
      <c r="C24">
        <v>1.1182929641066262E-3</v>
      </c>
      <c r="D24">
        <v>1.1230378075595187E-3</v>
      </c>
      <c r="E24">
        <v>1.1207737467721995E-3</v>
      </c>
      <c r="F24">
        <v>1.1241462933302886E-3</v>
      </c>
      <c r="G24">
        <v>1.1243227034620279E-3</v>
      </c>
      <c r="H24">
        <v>1.1197764855285623E-3</v>
      </c>
      <c r="I24">
        <v>1.1191149559385343E-3</v>
      </c>
      <c r="J24">
        <v>1.1130469624480827E-3</v>
      </c>
      <c r="K24">
        <v>1.1088287076252618E-3</v>
      </c>
      <c r="L24">
        <v>1.1076057889551705E-3</v>
      </c>
      <c r="M24">
        <v>1.1071053032327867E-3</v>
      </c>
      <c r="N24">
        <v>1.1067724143381994E-3</v>
      </c>
      <c r="O24">
        <v>1.1066615139372906E-3</v>
      </c>
      <c r="P24">
        <v>1.1066769292084788E-3</v>
      </c>
      <c r="Q24">
        <v>1.1066795967218581E-3</v>
      </c>
      <c r="R24">
        <v>1.1064406824033406E-3</v>
      </c>
      <c r="S24">
        <v>1.10616658964172E-3</v>
      </c>
      <c r="T24">
        <v>1.1060290826740075E-3</v>
      </c>
      <c r="U24">
        <v>1.1055011555537056E-3</v>
      </c>
      <c r="V24">
        <v>1.1050415873555949E-3</v>
      </c>
      <c r="W24">
        <v>1.1045586465345543E-3</v>
      </c>
      <c r="X24">
        <v>1.1038843213708662E-3</v>
      </c>
      <c r="Y24">
        <v>1.1032661366839319E-3</v>
      </c>
      <c r="Z24">
        <v>1.1026899310228654E-3</v>
      </c>
      <c r="AA24">
        <v>1.1033241851303997E-3</v>
      </c>
      <c r="AB24">
        <v>1.1025809057094401E-3</v>
      </c>
      <c r="AC24">
        <v>1.1023701654874632E-3</v>
      </c>
      <c r="AD24">
        <v>1.1025099635140992E-3</v>
      </c>
      <c r="AE24">
        <v>1.1022449653531074E-3</v>
      </c>
    </row>
    <row r="25" spans="1:37">
      <c r="A25" t="s">
        <v>3</v>
      </c>
      <c r="B25">
        <v>3.9757641638912632E-4</v>
      </c>
      <c r="C25">
        <v>3.9900747239960505E-4</v>
      </c>
      <c r="D25">
        <v>4.094728037527083E-4</v>
      </c>
      <c r="E25">
        <v>4.1042134222259559E-4</v>
      </c>
      <c r="F25">
        <v>4.2303467685595353E-4</v>
      </c>
      <c r="G25">
        <v>4.2712563186039055E-4</v>
      </c>
      <c r="H25">
        <v>4.2901230740863917E-4</v>
      </c>
      <c r="I25">
        <v>4.4013468861937947E-4</v>
      </c>
      <c r="J25">
        <v>4.4145313646605977E-4</v>
      </c>
      <c r="K25">
        <v>4.4134933786440692E-4</v>
      </c>
      <c r="L25">
        <v>4.4091962109341271E-4</v>
      </c>
      <c r="M25">
        <v>4.4021823423990848E-4</v>
      </c>
      <c r="N25">
        <v>4.4027827540505136E-4</v>
      </c>
      <c r="O25">
        <v>4.4040955993276986E-4</v>
      </c>
      <c r="P25">
        <v>4.4116372836744042E-4</v>
      </c>
      <c r="Q25">
        <v>4.4149861084351322E-4</v>
      </c>
      <c r="R25">
        <v>4.4225600784943527E-4</v>
      </c>
      <c r="S25">
        <v>4.4285604557792939E-4</v>
      </c>
      <c r="T25">
        <v>4.4414588143789507E-4</v>
      </c>
      <c r="U25">
        <v>4.4411604405746724E-4</v>
      </c>
      <c r="V25">
        <v>4.4420971921594975E-4</v>
      </c>
      <c r="W25">
        <v>4.4397500702864155E-4</v>
      </c>
      <c r="X25">
        <v>4.4370861117360116E-4</v>
      </c>
      <c r="Y25">
        <v>4.424879140459794E-4</v>
      </c>
      <c r="Z25">
        <v>4.4177355237873966E-4</v>
      </c>
      <c r="AA25">
        <v>4.4054153352135982E-4</v>
      </c>
      <c r="AB25">
        <v>4.3982519474178468E-4</v>
      </c>
      <c r="AC25">
        <v>4.3880580213641828E-4</v>
      </c>
      <c r="AD25">
        <v>4.4035893908705087E-4</v>
      </c>
      <c r="AE25">
        <v>4.3940968502460365E-4</v>
      </c>
    </row>
    <row r="26" spans="1:37">
      <c r="A26" t="s">
        <v>4</v>
      </c>
      <c r="B26">
        <v>3.4525981498377545E-4</v>
      </c>
      <c r="C26">
        <v>3.5982944807231638E-4</v>
      </c>
      <c r="D26">
        <v>3.6710644959195353E-4</v>
      </c>
      <c r="E26">
        <v>3.7373493890990666E-4</v>
      </c>
      <c r="F26">
        <v>3.9582578415611009E-4</v>
      </c>
      <c r="G26">
        <v>4.3494713071778808E-4</v>
      </c>
      <c r="H26">
        <v>4.4227847691112512E-4</v>
      </c>
      <c r="I26">
        <v>4.5901794912486538E-4</v>
      </c>
      <c r="J26">
        <v>4.6412939868974872E-4</v>
      </c>
      <c r="K26">
        <v>4.6774364798041294E-4</v>
      </c>
      <c r="L26">
        <v>4.6966309910348734E-4</v>
      </c>
      <c r="M26">
        <v>4.7260846794834008E-4</v>
      </c>
      <c r="N26">
        <v>4.7526441798452414E-4</v>
      </c>
      <c r="O26">
        <v>4.7788153153438258E-4</v>
      </c>
      <c r="P26">
        <v>4.8072409114320114E-4</v>
      </c>
      <c r="Q26">
        <v>4.8317943716800202E-4</v>
      </c>
      <c r="R26">
        <v>4.8470967915637789E-4</v>
      </c>
      <c r="S26">
        <v>4.8594611468298545E-4</v>
      </c>
      <c r="T26">
        <v>4.8792763254902827E-4</v>
      </c>
      <c r="U26">
        <v>4.8771717870415681E-4</v>
      </c>
      <c r="V26">
        <v>4.8811136392356582E-4</v>
      </c>
      <c r="W26">
        <v>4.8843918429084768E-4</v>
      </c>
      <c r="X26">
        <v>4.8810682276656785E-4</v>
      </c>
      <c r="Y26">
        <v>4.8747689393500613E-4</v>
      </c>
      <c r="Z26">
        <v>4.8672999513277174E-4</v>
      </c>
      <c r="AA26">
        <v>4.8843454079791745E-4</v>
      </c>
      <c r="AB26">
        <v>4.8748772875184347E-4</v>
      </c>
      <c r="AC26">
        <v>4.8711906355556337E-4</v>
      </c>
      <c r="AD26">
        <v>4.8876138897384217E-4</v>
      </c>
      <c r="AE26">
        <v>4.8839502633604009E-4</v>
      </c>
    </row>
    <row r="27" spans="1:37">
      <c r="A27" t="s">
        <v>5</v>
      </c>
      <c r="B27">
        <v>3.8826950759574409E-4</v>
      </c>
      <c r="C27">
        <v>3.989339915927411E-4</v>
      </c>
      <c r="D27">
        <v>4.0175941665032688E-4</v>
      </c>
      <c r="E27">
        <v>4.046076403132251E-4</v>
      </c>
      <c r="F27">
        <v>4.1514273478187707E-4</v>
      </c>
      <c r="G27">
        <v>4.1963901427461011E-4</v>
      </c>
      <c r="H27">
        <v>4.2143164929997338E-4</v>
      </c>
      <c r="I27">
        <v>4.2796953665692094E-4</v>
      </c>
      <c r="J27">
        <v>4.2869137838688967E-4</v>
      </c>
      <c r="K27">
        <v>4.2889294118354267E-4</v>
      </c>
      <c r="L27">
        <v>4.2958514978309507E-4</v>
      </c>
      <c r="M27">
        <v>4.3016225956684587E-4</v>
      </c>
      <c r="N27">
        <v>4.314632453320266E-4</v>
      </c>
      <c r="O27">
        <v>4.3270248083989658E-4</v>
      </c>
      <c r="P27">
        <v>4.3430279078009501E-4</v>
      </c>
      <c r="Q27">
        <v>4.3530324098676928E-4</v>
      </c>
      <c r="R27">
        <v>4.3666804491927715E-4</v>
      </c>
      <c r="S27">
        <v>4.3784695384923824E-4</v>
      </c>
      <c r="T27">
        <v>4.3919387063071915E-4</v>
      </c>
      <c r="U27">
        <v>4.3965998782187011E-4</v>
      </c>
      <c r="V27">
        <v>4.4023054662472997E-4</v>
      </c>
      <c r="W27">
        <v>4.4040065556194612E-4</v>
      </c>
      <c r="X27">
        <v>4.4071018775672388E-4</v>
      </c>
      <c r="Y27">
        <v>4.4012557028617579E-4</v>
      </c>
      <c r="Z27">
        <v>4.3984103857540357E-4</v>
      </c>
      <c r="AA27">
        <v>4.3927502996579274E-4</v>
      </c>
      <c r="AB27">
        <v>4.3896293494925283E-4</v>
      </c>
      <c r="AC27">
        <v>4.3836887632577525E-4</v>
      </c>
      <c r="AD27">
        <v>4.3967475364455565E-4</v>
      </c>
      <c r="AE27">
        <v>4.3902895392029714E-4</v>
      </c>
    </row>
    <row r="28" spans="1:37">
      <c r="A28" t="s">
        <v>6</v>
      </c>
      <c r="B28">
        <v>6.2864085446168573E-4</v>
      </c>
      <c r="C28">
        <v>5.8065173143116884E-4</v>
      </c>
      <c r="D28">
        <v>5.7715727565658991E-4</v>
      </c>
      <c r="E28">
        <v>5.8939802003144003E-4</v>
      </c>
      <c r="F28">
        <v>6.1132283966645277E-4</v>
      </c>
      <c r="G28">
        <v>6.2116495269514782E-4</v>
      </c>
      <c r="H28">
        <v>6.2859863293007745E-4</v>
      </c>
      <c r="I28">
        <v>6.4471041145104213E-4</v>
      </c>
      <c r="J28">
        <v>6.4840312593372079E-4</v>
      </c>
      <c r="K28">
        <v>6.5182617183108646E-4</v>
      </c>
      <c r="L28">
        <v>6.5274851137244263E-4</v>
      </c>
      <c r="M28">
        <v>6.5479808482626608E-4</v>
      </c>
      <c r="N28">
        <v>6.5728685533569657E-4</v>
      </c>
      <c r="O28">
        <v>6.599953694386326E-4</v>
      </c>
      <c r="P28">
        <v>6.6271823685959863E-4</v>
      </c>
      <c r="Q28">
        <v>6.6541147575940635E-4</v>
      </c>
      <c r="R28">
        <v>6.6758238321629323E-4</v>
      </c>
      <c r="S28">
        <v>6.695223998790733E-4</v>
      </c>
      <c r="T28">
        <v>6.7209439570581602E-4</v>
      </c>
      <c r="U28">
        <v>6.7286737744009942E-4</v>
      </c>
      <c r="V28">
        <v>6.7344823507195376E-4</v>
      </c>
      <c r="W28">
        <v>6.73909086850441E-4</v>
      </c>
      <c r="X28">
        <v>6.740064696202369E-4</v>
      </c>
      <c r="Y28">
        <v>6.7364356730673243E-4</v>
      </c>
      <c r="Z28">
        <v>6.7322262507433497E-4</v>
      </c>
      <c r="AA28">
        <v>6.7344500418278937E-4</v>
      </c>
      <c r="AB28">
        <v>6.7281217685356582E-4</v>
      </c>
      <c r="AC28">
        <v>6.7245517568083519E-4</v>
      </c>
      <c r="AD28">
        <v>6.7397575425436052E-4</v>
      </c>
      <c r="AE28">
        <v>6.7349435170381685E-4</v>
      </c>
    </row>
    <row r="29" spans="1:37">
      <c r="A29" t="s">
        <v>84</v>
      </c>
      <c r="B29">
        <v>3.4585801076062443E-4</v>
      </c>
      <c r="C29">
        <v>3.4495574783075341E-4</v>
      </c>
      <c r="D29">
        <v>3.6039991749266362E-4</v>
      </c>
      <c r="E29">
        <v>3.6434083049787565E-4</v>
      </c>
      <c r="F29">
        <v>3.7594665871961683E-4</v>
      </c>
      <c r="G29">
        <v>3.8265282942463545E-4</v>
      </c>
      <c r="H29">
        <v>3.8491153807264589E-4</v>
      </c>
      <c r="I29">
        <v>3.948653271158722E-4</v>
      </c>
      <c r="J29">
        <v>3.9594612256427204E-4</v>
      </c>
      <c r="K29">
        <v>3.9619175896624695E-4</v>
      </c>
      <c r="L29">
        <v>3.9654376773871745E-4</v>
      </c>
      <c r="M29">
        <v>3.9707573055230652E-4</v>
      </c>
      <c r="N29">
        <v>3.9834863581642401E-4</v>
      </c>
      <c r="O29">
        <v>3.9959695124185265E-4</v>
      </c>
      <c r="P29">
        <v>4.0092020917552979E-4</v>
      </c>
      <c r="Q29">
        <v>4.0164593001903277E-4</v>
      </c>
      <c r="R29">
        <v>4.025864972614837E-4</v>
      </c>
      <c r="S29">
        <v>4.0337312378417004E-4</v>
      </c>
      <c r="T29">
        <v>4.0442495213179318E-4</v>
      </c>
      <c r="U29">
        <v>4.0454932437130627E-4</v>
      </c>
      <c r="V29">
        <v>4.0464803339247029E-4</v>
      </c>
      <c r="W29">
        <v>4.0439328301694171E-4</v>
      </c>
      <c r="X29">
        <v>4.040545754555679E-4</v>
      </c>
      <c r="Y29">
        <v>4.0293590438237893E-4</v>
      </c>
      <c r="Z29">
        <v>4.0211529090881346E-4</v>
      </c>
      <c r="AA29">
        <v>4.0078697353040108E-4</v>
      </c>
      <c r="AB29">
        <v>4.0014215791000135E-4</v>
      </c>
      <c r="AC29">
        <v>3.9916649340924858E-4</v>
      </c>
      <c r="AD29">
        <v>3.9985648048380197E-4</v>
      </c>
      <c r="AE29">
        <v>3.9882869849444967E-4</v>
      </c>
    </row>
    <row r="30" spans="1:37">
      <c r="A30" t="s">
        <v>85</v>
      </c>
      <c r="B30">
        <v>5.5949994465194052E-4</v>
      </c>
      <c r="C30">
        <v>5.490709016341414E-4</v>
      </c>
      <c r="D30">
        <v>5.4591562691943185E-4</v>
      </c>
      <c r="E30">
        <v>5.4428202142592678E-4</v>
      </c>
      <c r="F30">
        <v>5.4687829275625965E-4</v>
      </c>
      <c r="G30">
        <v>5.4645085655929157E-4</v>
      </c>
      <c r="H30">
        <v>5.4701855850944456E-4</v>
      </c>
      <c r="I30">
        <v>5.5159545353608997E-4</v>
      </c>
      <c r="J30">
        <v>5.5116986450326347E-4</v>
      </c>
      <c r="K30">
        <v>5.5082515994957833E-4</v>
      </c>
      <c r="L30">
        <v>5.5045116908780244E-4</v>
      </c>
      <c r="M30">
        <v>5.5016894781847396E-4</v>
      </c>
      <c r="N30">
        <v>5.5030632856499669E-4</v>
      </c>
      <c r="O30">
        <v>5.5080345075069956E-4</v>
      </c>
      <c r="P30">
        <v>5.5167571643641449E-4</v>
      </c>
      <c r="Q30">
        <v>5.5236107717376317E-4</v>
      </c>
      <c r="R30">
        <v>5.5273978734272802E-4</v>
      </c>
      <c r="S30">
        <v>5.5274410279881891E-4</v>
      </c>
      <c r="T30">
        <v>5.5289670193281145E-4</v>
      </c>
      <c r="U30">
        <v>5.5265714178147211E-4</v>
      </c>
      <c r="V30">
        <v>5.5244896195009953E-4</v>
      </c>
      <c r="W30">
        <v>5.5221137170350255E-4</v>
      </c>
      <c r="X30">
        <v>5.5188530920952062E-4</v>
      </c>
      <c r="Y30">
        <v>5.5130828970691593E-4</v>
      </c>
      <c r="Z30">
        <v>5.5089526377585969E-4</v>
      </c>
      <c r="AA30">
        <v>5.5094868459087108E-4</v>
      </c>
      <c r="AB30">
        <v>5.5070873103541993E-4</v>
      </c>
      <c r="AC30">
        <v>5.5038144396247959E-4</v>
      </c>
      <c r="AD30">
        <v>5.5068737415113456E-4</v>
      </c>
      <c r="AE30">
        <v>5.5020714130888889E-4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sqref="A1:H7"/>
    </sheetView>
  </sheetViews>
  <sheetFormatPr defaultRowHeight="15"/>
  <sheetData>
    <row r="1" spans="1:8">
      <c r="A1" t="s">
        <v>91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84</v>
      </c>
      <c r="H1" t="s">
        <v>85</v>
      </c>
    </row>
    <row r="2" spans="1:8">
      <c r="A2" t="s">
        <v>15</v>
      </c>
      <c r="B2">
        <v>1.3018081401348375E-3</v>
      </c>
      <c r="C2">
        <v>3.3031749575123515E-4</v>
      </c>
      <c r="D2">
        <v>3.190354313353257E-4</v>
      </c>
      <c r="E2">
        <v>3.8594187567882171E-4</v>
      </c>
      <c r="F2">
        <v>6.3946128345580171E-4</v>
      </c>
      <c r="G2">
        <v>2.8289784339346184E-4</v>
      </c>
      <c r="H2">
        <v>5.8506340922459044E-4</v>
      </c>
    </row>
    <row r="3" spans="1:8">
      <c r="A3" t="s">
        <v>8</v>
      </c>
      <c r="B3">
        <v>3.4003581782857295E-3</v>
      </c>
      <c r="C3">
        <v>2.8226770072497282E-3</v>
      </c>
      <c r="D3">
        <v>9.1563612345912568E-4</v>
      </c>
      <c r="E3">
        <v>1.0581562199094108E-3</v>
      </c>
      <c r="F3">
        <v>2.3463672970163861E-3</v>
      </c>
      <c r="G3">
        <v>3.076266427557592E-3</v>
      </c>
      <c r="H3">
        <v>3.1744686597282318E-3</v>
      </c>
    </row>
    <row r="4" spans="1:8">
      <c r="A4" t="s">
        <v>7</v>
      </c>
      <c r="B4">
        <v>1.6475083571845849E-3</v>
      </c>
      <c r="C4">
        <v>5.1268752410855989E-4</v>
      </c>
      <c r="D4">
        <v>5.1268752410855989E-4</v>
      </c>
      <c r="E4">
        <v>5.1268752410855989E-4</v>
      </c>
      <c r="F4">
        <v>0</v>
      </c>
      <c r="G4">
        <v>0</v>
      </c>
      <c r="H4">
        <v>1.5380625723256794E-3</v>
      </c>
    </row>
    <row r="5" spans="1:8">
      <c r="A5" t="s">
        <v>16</v>
      </c>
      <c r="B5">
        <v>7.5686214263268839E-4</v>
      </c>
      <c r="C5">
        <v>7.1745362435245036E-5</v>
      </c>
      <c r="D5">
        <v>7.1745362435245036E-5</v>
      </c>
      <c r="E5">
        <v>7.1745362435245036E-5</v>
      </c>
      <c r="F5">
        <v>0</v>
      </c>
      <c r="G5">
        <v>0</v>
      </c>
      <c r="H5">
        <v>2.1523608730573507E-4</v>
      </c>
    </row>
    <row r="6" spans="1:8">
      <c r="A6" t="s">
        <v>17</v>
      </c>
      <c r="B6">
        <v>4.0472255247854741E-5</v>
      </c>
      <c r="C6">
        <v>0</v>
      </c>
      <c r="D6">
        <v>1.2594546332724645E-5</v>
      </c>
      <c r="E6">
        <v>1.2594546332724645E-5</v>
      </c>
      <c r="F6">
        <v>0</v>
      </c>
      <c r="G6">
        <v>0</v>
      </c>
      <c r="H6">
        <v>3.7783638998173928E-5</v>
      </c>
    </row>
    <row r="7" spans="1:8">
      <c r="A7" t="s">
        <v>18</v>
      </c>
      <c r="B7">
        <v>4.5678462664228052E-3</v>
      </c>
      <c r="C7">
        <v>1.4345302324303027E-3</v>
      </c>
      <c r="D7">
        <v>1.4345302324303027E-3</v>
      </c>
      <c r="E7">
        <v>1.4345302324303027E-3</v>
      </c>
      <c r="F7">
        <v>3.1578540511261791E-3</v>
      </c>
      <c r="G7">
        <v>1.1117609301334846E-3</v>
      </c>
      <c r="H7">
        <v>4.3035906972909077E-3</v>
      </c>
    </row>
    <row r="9" spans="1:8">
      <c r="A9" t="s">
        <v>92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84</v>
      </c>
      <c r="H9" t="s">
        <v>85</v>
      </c>
    </row>
    <row r="10" spans="1:8">
      <c r="A10" t="s">
        <v>15</v>
      </c>
      <c r="B10">
        <v>1.0150688714543495E-4</v>
      </c>
      <c r="C10">
        <v>6.6748780423538421E-5</v>
      </c>
      <c r="D10">
        <v>9.6215656200720077E-5</v>
      </c>
      <c r="E10">
        <v>6.8445241372973434E-5</v>
      </c>
      <c r="F10">
        <v>2.1334965945734235E-4</v>
      </c>
      <c r="G10">
        <v>4.0500619498536022E-5</v>
      </c>
      <c r="H10">
        <v>2.0802620001785488E-3</v>
      </c>
    </row>
    <row r="11" spans="1:8">
      <c r="A11" t="s">
        <v>8</v>
      </c>
      <c r="B11">
        <v>2.228289727670437E-3</v>
      </c>
      <c r="C11">
        <v>4.9095868400551087E-4</v>
      </c>
      <c r="D11">
        <v>6.5279355603770168E-3</v>
      </c>
      <c r="E11">
        <v>6.9342066672618309E-4</v>
      </c>
      <c r="F11">
        <v>1.3400471387543073E-3</v>
      </c>
      <c r="G11">
        <v>2.7723416471617654E-3</v>
      </c>
      <c r="H11">
        <v>2.5188574658521696E-3</v>
      </c>
    </row>
    <row r="12" spans="1:8">
      <c r="A12" t="s">
        <v>7</v>
      </c>
      <c r="B12">
        <v>1.397619925979322E-4</v>
      </c>
      <c r="C12">
        <v>4.3492483444491975E-5</v>
      </c>
      <c r="D12">
        <v>4.3492483444491975E-5</v>
      </c>
      <c r="E12">
        <v>4.3492483444491975E-5</v>
      </c>
      <c r="F12">
        <v>0</v>
      </c>
      <c r="G12">
        <v>0</v>
      </c>
      <c r="H12">
        <v>1.304774503334759E-4</v>
      </c>
    </row>
    <row r="13" spans="1:8">
      <c r="A13" t="s">
        <v>16</v>
      </c>
      <c r="B13">
        <v>1.1213005219530657E-2</v>
      </c>
      <c r="C13">
        <v>3.4893709999999998E-3</v>
      </c>
      <c r="D13">
        <v>3.4893709999999998E-3</v>
      </c>
      <c r="E13">
        <v>3.4893709999999998E-3</v>
      </c>
      <c r="F13">
        <v>0</v>
      </c>
      <c r="G13">
        <v>0</v>
      </c>
      <c r="H13">
        <v>1.0468112999999998E-2</v>
      </c>
    </row>
    <row r="14" spans="1:8">
      <c r="A14" t="s">
        <v>17</v>
      </c>
      <c r="B14">
        <v>1.5559515669947011E-2</v>
      </c>
      <c r="C14">
        <v>4.8419600000000002E-3</v>
      </c>
      <c r="D14">
        <v>4.8419600000000002E-3</v>
      </c>
      <c r="E14">
        <v>4.8419600000000002E-3</v>
      </c>
      <c r="F14">
        <v>0</v>
      </c>
      <c r="G14">
        <v>0</v>
      </c>
      <c r="H14">
        <v>1.4525879999999998E-2</v>
      </c>
    </row>
    <row r="15" spans="1:8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5"/>
  <cols>
    <col min="1" max="1" width="50.42578125" customWidth="1"/>
  </cols>
  <sheetData>
    <row r="1" spans="1:2">
      <c r="A1" s="2" t="s">
        <v>9</v>
      </c>
      <c r="B1" s="3"/>
    </row>
    <row r="2" spans="1:2">
      <c r="A2" t="s">
        <v>13</v>
      </c>
      <c r="B2" s="12">
        <v>0.68595041322314043</v>
      </c>
    </row>
    <row r="3" spans="1:2">
      <c r="A3" t="s">
        <v>8</v>
      </c>
      <c r="B3" s="12">
        <v>0.68881036513545346</v>
      </c>
    </row>
    <row r="5" spans="1:2">
      <c r="A5" s="2" t="s">
        <v>10</v>
      </c>
      <c r="B5" s="3"/>
    </row>
    <row r="6" spans="1:2">
      <c r="A6" t="s">
        <v>11</v>
      </c>
      <c r="B6">
        <v>0.55000000000000004</v>
      </c>
    </row>
    <row r="8" spans="1:2">
      <c r="A8" s="2" t="s">
        <v>19</v>
      </c>
      <c r="B8" s="3"/>
    </row>
    <row r="9" spans="1:2">
      <c r="A9" t="s">
        <v>15</v>
      </c>
      <c r="B9" s="7">
        <v>13.378781688359696</v>
      </c>
    </row>
    <row r="10" spans="1:2">
      <c r="A10" t="s">
        <v>8</v>
      </c>
      <c r="B10">
        <v>28</v>
      </c>
    </row>
    <row r="11" spans="1:2">
      <c r="A11" t="s">
        <v>7</v>
      </c>
      <c r="B11">
        <v>24</v>
      </c>
    </row>
    <row r="12" spans="1:2">
      <c r="A12" t="s">
        <v>16</v>
      </c>
      <c r="B12">
        <v>34</v>
      </c>
    </row>
    <row r="13" spans="1:2">
      <c r="A13" t="s">
        <v>17</v>
      </c>
      <c r="B13">
        <v>33</v>
      </c>
    </row>
    <row r="14" spans="1:2">
      <c r="A14" t="s">
        <v>18</v>
      </c>
      <c r="B14" s="7">
        <v>17.22332068760786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1"/>
  <sheetViews>
    <sheetView workbookViewId="0">
      <selection activeCell="B10" sqref="B10"/>
    </sheetView>
  </sheetViews>
  <sheetFormatPr defaultRowHeight="15"/>
  <cols>
    <col min="1" max="1" width="42.140625" customWidth="1"/>
    <col min="2" max="2" width="26.42578125" customWidth="1"/>
    <col min="3" max="3" width="42.85546875" customWidth="1"/>
  </cols>
  <sheetData>
    <row r="1" spans="1:38">
      <c r="A1" s="2" t="s">
        <v>49</v>
      </c>
      <c r="B1" s="3"/>
      <c r="D1" s="2" t="s">
        <v>50</v>
      </c>
    </row>
    <row r="2" spans="1:38">
      <c r="A2" t="s">
        <v>51</v>
      </c>
      <c r="B2">
        <v>1.67</v>
      </c>
      <c r="D2" s="6" t="s">
        <v>52</v>
      </c>
    </row>
    <row r="3" spans="1:38">
      <c r="A3" t="s">
        <v>53</v>
      </c>
      <c r="B3">
        <v>1</v>
      </c>
    </row>
    <row r="4" spans="1:38">
      <c r="A4" t="s">
        <v>54</v>
      </c>
      <c r="B4">
        <v>21.2</v>
      </c>
    </row>
    <row r="5" spans="1:38">
      <c r="A5" t="s">
        <v>55</v>
      </c>
      <c r="B5">
        <v>16</v>
      </c>
    </row>
    <row r="6" spans="1:38">
      <c r="A6" t="s">
        <v>56</v>
      </c>
      <c r="B6">
        <v>48.656731685074099</v>
      </c>
    </row>
    <row r="8" spans="1:38">
      <c r="A8" s="2" t="s">
        <v>57</v>
      </c>
      <c r="B8" s="3"/>
      <c r="AK8" s="2" t="s">
        <v>50</v>
      </c>
    </row>
    <row r="9" spans="1:38">
      <c r="A9" t="s">
        <v>58</v>
      </c>
      <c r="B9">
        <v>120476</v>
      </c>
      <c r="AK9" t="s">
        <v>59</v>
      </c>
      <c r="AL9" t="s">
        <v>60</v>
      </c>
    </row>
    <row r="10" spans="1:38">
      <c r="A10" t="s">
        <v>61</v>
      </c>
      <c r="B10">
        <v>137452</v>
      </c>
      <c r="AK10" s="5">
        <v>2017</v>
      </c>
      <c r="AL10" t="s">
        <v>62</v>
      </c>
    </row>
    <row r="12" spans="1:38">
      <c r="A12" s="2" t="s">
        <v>63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</row>
    <row r="13" spans="1:38">
      <c r="B13">
        <v>2007</v>
      </c>
      <c r="C13">
        <v>2007</v>
      </c>
      <c r="D13">
        <v>2021</v>
      </c>
    </row>
    <row r="14" spans="1:38" s="13" customFormat="1">
      <c r="A14" s="13" t="s">
        <v>64</v>
      </c>
      <c r="C14" s="21" t="s">
        <v>88</v>
      </c>
    </row>
    <row r="15" spans="1:38">
      <c r="A15" t="s">
        <v>65</v>
      </c>
      <c r="C15">
        <v>22.670399</v>
      </c>
    </row>
    <row r="16" spans="1:38">
      <c r="A16" t="s">
        <v>66</v>
      </c>
      <c r="B16">
        <f>TREND(C16:D16,C13:D13,B13)</f>
        <v>3.1424986163219263E-4</v>
      </c>
      <c r="C16">
        <f>C15*$B$2/$B$9</f>
        <v>3.142498616321923E-4</v>
      </c>
      <c r="D16" s="4">
        <f>BNVFE!D8</f>
        <v>3.5391080625855263E-4</v>
      </c>
    </row>
    <row r="18" spans="1:4">
      <c r="A18" s="2" t="s">
        <v>71</v>
      </c>
      <c r="B18" s="2"/>
      <c r="C18" s="2"/>
    </row>
    <row r="19" spans="1:4">
      <c r="A19" t="s">
        <v>67</v>
      </c>
      <c r="B19">
        <v>5.76</v>
      </c>
    </row>
    <row r="20" spans="1:4" ht="30">
      <c r="A20" s="13" t="s">
        <v>68</v>
      </c>
      <c r="B20">
        <f>7.1/6.1</f>
        <v>1.1639344262295082</v>
      </c>
    </row>
    <row r="21" spans="1:4">
      <c r="A21" s="13" t="s">
        <v>69</v>
      </c>
      <c r="B21">
        <f>B19*$B$20</f>
        <v>6.7042622950819668</v>
      </c>
    </row>
    <row r="22" spans="1:4" ht="30">
      <c r="A22" s="13" t="s">
        <v>70</v>
      </c>
      <c r="B22">
        <f>B21*$B$5/$B$10</f>
        <v>7.8040477200267344E-4</v>
      </c>
    </row>
    <row r="24" spans="1:4">
      <c r="A24" s="2" t="s">
        <v>75</v>
      </c>
      <c r="B24" s="3"/>
      <c r="D24" s="2" t="s">
        <v>50</v>
      </c>
    </row>
    <row r="25" spans="1:4">
      <c r="A25" t="s">
        <v>76</v>
      </c>
      <c r="B25" s="15">
        <v>0.2</v>
      </c>
      <c r="D25" s="6" t="s">
        <v>82</v>
      </c>
    </row>
    <row r="26" spans="1:4">
      <c r="A26" t="s">
        <v>77</v>
      </c>
      <c r="B26" s="15">
        <v>0.6</v>
      </c>
      <c r="D26" s="6"/>
    </row>
    <row r="27" spans="1:4">
      <c r="A27" t="s">
        <v>78</v>
      </c>
      <c r="B27">
        <f>B26/B25</f>
        <v>2.9999999999999996</v>
      </c>
    </row>
    <row r="29" spans="1:4">
      <c r="A29" s="2" t="s">
        <v>79</v>
      </c>
      <c r="B29" s="2"/>
      <c r="D29" s="2" t="s">
        <v>50</v>
      </c>
    </row>
    <row r="30" spans="1:4">
      <c r="A30" t="s">
        <v>80</v>
      </c>
      <c r="B30" s="16">
        <v>0.22500000000000001</v>
      </c>
      <c r="D30" s="6" t="s">
        <v>82</v>
      </c>
    </row>
    <row r="31" spans="1:4">
      <c r="A31" t="s">
        <v>81</v>
      </c>
      <c r="B31">
        <f>1-B30</f>
        <v>0.77500000000000002</v>
      </c>
      <c r="D31" s="1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15"/>
  <sheetViews>
    <sheetView zoomScale="90" zoomScaleNormal="90" workbookViewId="0">
      <pane xSplit="2" topLeftCell="U1" activePane="topRight" state="frozen"/>
      <selection pane="topRight" activeCell="AC2" sqref="AC2"/>
    </sheetView>
  </sheetViews>
  <sheetFormatPr defaultRowHeight="15"/>
  <cols>
    <col min="1" max="1" width="14" customWidth="1"/>
    <col min="15" max="15" width="11.42578125" customWidth="1"/>
    <col min="40" max="40" width="8.7109375" style="24"/>
  </cols>
  <sheetData>
    <row r="1" spans="1:72">
      <c r="C1">
        <v>1983</v>
      </c>
      <c r="D1">
        <v>1984</v>
      </c>
      <c r="E1">
        <v>1985</v>
      </c>
      <c r="F1">
        <v>1986</v>
      </c>
      <c r="G1">
        <v>1987</v>
      </c>
      <c r="H1">
        <v>1988</v>
      </c>
      <c r="I1">
        <v>1989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 s="25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  <c r="AT1">
        <v>2026</v>
      </c>
      <c r="AU1">
        <v>2027</v>
      </c>
      <c r="AV1">
        <v>2028</v>
      </c>
      <c r="AW1">
        <v>2029</v>
      </c>
      <c r="AX1">
        <v>2030</v>
      </c>
      <c r="AY1">
        <v>2031</v>
      </c>
      <c r="AZ1">
        <v>2032</v>
      </c>
      <c r="BA1">
        <v>2033</v>
      </c>
      <c r="BB1">
        <v>2034</v>
      </c>
      <c r="BC1">
        <v>2035</v>
      </c>
      <c r="BD1">
        <v>2036</v>
      </c>
      <c r="BE1">
        <v>2037</v>
      </c>
      <c r="BF1">
        <v>2038</v>
      </c>
      <c r="BG1">
        <v>2039</v>
      </c>
      <c r="BH1">
        <v>2040</v>
      </c>
      <c r="BI1">
        <v>2041</v>
      </c>
      <c r="BJ1">
        <v>2042</v>
      </c>
      <c r="BK1">
        <v>2043</v>
      </c>
      <c r="BL1">
        <v>2044</v>
      </c>
      <c r="BM1">
        <v>2045</v>
      </c>
      <c r="BN1">
        <v>2046</v>
      </c>
      <c r="BO1">
        <v>2047</v>
      </c>
      <c r="BP1">
        <v>2048</v>
      </c>
      <c r="BQ1">
        <v>2049</v>
      </c>
      <c r="BR1">
        <v>2050</v>
      </c>
    </row>
    <row r="2" spans="1:72">
      <c r="A2" t="s">
        <v>15</v>
      </c>
      <c r="B2" t="s">
        <v>21</v>
      </c>
      <c r="C2" s="9"/>
      <c r="D2" s="9"/>
      <c r="E2" s="9"/>
      <c r="F2" s="9"/>
      <c r="G2" s="9"/>
      <c r="H2" s="9"/>
      <c r="I2" s="9"/>
      <c r="J2" s="9"/>
      <c r="K2" s="9"/>
      <c r="L2" s="9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4">
        <f>Calculations!C16</f>
        <v>3.142498616321923E-4</v>
      </c>
      <c r="AB2" s="4">
        <f>($AO$2-$AA$2)/COUNT($AB$1:$AO$1)+AA2</f>
        <v>3.170827862483609E-4</v>
      </c>
      <c r="AC2" s="4">
        <f t="shared" ref="AC2:AN2" si="0">($AO$2-$AA$2)/COUNT($AB$1:$AO$1)+AB2</f>
        <v>3.199157108645295E-4</v>
      </c>
      <c r="AD2" s="4">
        <f t="shared" si="0"/>
        <v>3.227486354806981E-4</v>
      </c>
      <c r="AE2" s="4">
        <f t="shared" si="0"/>
        <v>3.255815600968667E-4</v>
      </c>
      <c r="AF2" s="4">
        <f t="shared" si="0"/>
        <v>3.284144847130353E-4</v>
      </c>
      <c r="AG2" s="4">
        <f t="shared" si="0"/>
        <v>3.312474093292039E-4</v>
      </c>
      <c r="AH2" s="4">
        <f t="shared" si="0"/>
        <v>3.3408033394537249E-4</v>
      </c>
      <c r="AI2" s="4">
        <f t="shared" si="0"/>
        <v>3.3691325856154109E-4</v>
      </c>
      <c r="AJ2" s="4">
        <f t="shared" si="0"/>
        <v>3.3974618317770969E-4</v>
      </c>
      <c r="AK2" s="4">
        <f t="shared" si="0"/>
        <v>3.4257910779387829E-4</v>
      </c>
      <c r="AL2" s="4">
        <f t="shared" si="0"/>
        <v>3.4541203241004689E-4</v>
      </c>
      <c r="AM2" s="4">
        <f t="shared" si="0"/>
        <v>3.4824495702621549E-4</v>
      </c>
      <c r="AN2" s="26">
        <f t="shared" si="0"/>
        <v>3.5107788164238408E-4</v>
      </c>
      <c r="AO2" s="10">
        <f>BNVFE!D8</f>
        <v>3.5391080625855263E-4</v>
      </c>
      <c r="AP2" s="10">
        <f>BNVFE!E8</f>
        <v>3.6152338546126896E-4</v>
      </c>
      <c r="AQ2" s="10">
        <f>BNVFE!F8</f>
        <v>3.6806778318324615E-4</v>
      </c>
      <c r="AR2" s="10">
        <f>BNVFE!G8</f>
        <v>3.7326311577328699E-4</v>
      </c>
      <c r="AS2" s="10">
        <f>BNVFE!H8</f>
        <v>3.8684273091170592E-4</v>
      </c>
      <c r="AT2" s="10">
        <f>BNVFE!I8</f>
        <v>3.9133628030331842E-4</v>
      </c>
      <c r="AU2" s="10">
        <f>BNVFE!J8</f>
        <v>3.9460271712590122E-4</v>
      </c>
      <c r="AV2" s="10">
        <f>BNVFE!K8</f>
        <v>4.0654622240144441E-4</v>
      </c>
      <c r="AW2" s="10">
        <f>BNVFE!L8</f>
        <v>4.0753465089361259E-4</v>
      </c>
      <c r="AX2" s="10">
        <f>BNVFE!M8</f>
        <v>4.0771889354095417E-4</v>
      </c>
      <c r="AY2" s="10">
        <f>BNVFE!N8</f>
        <v>4.0791884576015625E-4</v>
      </c>
      <c r="AZ2" s="10">
        <f>BNVFE!O8</f>
        <v>4.0852284515353123E-4</v>
      </c>
      <c r="BA2" s="10">
        <f>BNVFE!P8</f>
        <v>4.09583671112226E-4</v>
      </c>
      <c r="BB2" s="10">
        <f>BNVFE!Q8</f>
        <v>4.1078673798239525E-4</v>
      </c>
      <c r="BC2" s="10">
        <f>BNVFE!R8</f>
        <v>4.122748024320864E-4</v>
      </c>
      <c r="BD2" s="10">
        <f>BNVFE!S8</f>
        <v>4.1373149805260076E-4</v>
      </c>
      <c r="BE2" s="10">
        <f>BNVFE!T8</f>
        <v>4.1495700440447459E-4</v>
      </c>
      <c r="BF2" s="10">
        <f>BNVFE!U8</f>
        <v>4.1601549646964788E-4</v>
      </c>
      <c r="BG2" s="10">
        <f>BNVFE!V8</f>
        <v>4.1779365223495714E-4</v>
      </c>
      <c r="BH2" s="10">
        <f>BNVFE!W8</f>
        <v>4.1809544457369974E-4</v>
      </c>
      <c r="BI2" s="10">
        <f>BNVFE!X8</f>
        <v>4.1838332983416382E-4</v>
      </c>
      <c r="BJ2" s="10">
        <f>BNVFE!Y8</f>
        <v>4.1848122624012197E-4</v>
      </c>
      <c r="BK2" s="10">
        <f>BNVFE!Z8</f>
        <v>4.1826563698301188E-4</v>
      </c>
      <c r="BL2" s="10">
        <f>BNVFE!AA8</f>
        <v>4.1769414168042572E-4</v>
      </c>
      <c r="BM2" s="10">
        <f>BNVFE!AB8</f>
        <v>4.1714393092982577E-4</v>
      </c>
      <c r="BN2" s="10">
        <f>BNVFE!AC8</f>
        <v>4.1708664938544884E-4</v>
      </c>
      <c r="BO2" s="10">
        <f>BNVFE!AD8</f>
        <v>4.165029094218215E-4</v>
      </c>
      <c r="BP2" s="10">
        <f>BNVFE!AE8</f>
        <v>4.1616572999280917E-4</v>
      </c>
      <c r="BQ2" s="10">
        <f>BNVFE!AF8</f>
        <v>4.1755377409260071E-4</v>
      </c>
      <c r="BR2" s="10">
        <f>BNVFE!AG8</f>
        <v>4.1711981834238049E-4</v>
      </c>
      <c r="BS2" s="10"/>
      <c r="BT2" s="4"/>
    </row>
    <row r="3" spans="1:72">
      <c r="A3" t="s">
        <v>15</v>
      </c>
      <c r="B3" t="s">
        <v>22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4" cm="1">
        <f t="array" ref="AA3">TREND($AO$3:$AS$3,$AO$1:$AS$1,AA1)</f>
        <v>7.5108389563240119E-5</v>
      </c>
      <c r="AB3" s="4" cm="1">
        <f t="array" ref="AB3">TREND($AO$3:$AS$3,$AO$1:$AS$1,AB1)</f>
        <v>7.7552820431472588E-5</v>
      </c>
      <c r="AC3" s="4" cm="1">
        <f t="array" ref="AC3">TREND($AO$3:$AS$3,$AO$1:$AS$1,AC1)</f>
        <v>7.9997251299705058E-5</v>
      </c>
      <c r="AD3" s="4" cm="1">
        <f t="array" ref="AD3">TREND($AO$3:$AS$3,$AO$1:$AS$1,AD1)</f>
        <v>8.2441682167937527E-5</v>
      </c>
      <c r="AE3" s="4" cm="1">
        <f t="array" ref="AE3">TREND($AO$3:$AS$3,$AO$1:$AS$1,AE1)</f>
        <v>8.4886113036169997E-5</v>
      </c>
      <c r="AF3" s="4" cm="1">
        <f t="array" ref="AF3">TREND($AO$3:$AS$3,$AO$1:$AS$1,AF1)</f>
        <v>8.7330543904402466E-5</v>
      </c>
      <c r="AG3" s="4" cm="1">
        <f t="array" ref="AG3">TREND($AO$3:$AS$3,$AO$1:$AS$1,AG1)</f>
        <v>8.9774974772634936E-5</v>
      </c>
      <c r="AH3" s="4" cm="1">
        <f t="array" ref="AH3">TREND($AO$3:$AS$3,$AO$1:$AS$1,AH1)</f>
        <v>9.2219405640867405E-5</v>
      </c>
      <c r="AI3" s="4" cm="1">
        <f t="array" ref="AI3">TREND($AO$3:$AS$3,$AO$1:$AS$1,AI1)</f>
        <v>9.4663836509099875E-5</v>
      </c>
      <c r="AJ3" s="4" cm="1">
        <f t="array" ref="AJ3">TREND($AO$3:$AS$3,$AO$1:$AS$1,AJ1)</f>
        <v>9.7108267377332344E-5</v>
      </c>
      <c r="AK3" s="4" cm="1">
        <f t="array" ref="AK3">TREND($AO$3:$AS$3,$AO$1:$AS$1,AK1)</f>
        <v>9.9552698245564814E-5</v>
      </c>
      <c r="AL3" s="4" cm="1">
        <f t="array" ref="AL3">TREND($AO$3:$AS$3,$AO$1:$AS$1,AL1)</f>
        <v>1.0199712911379728E-4</v>
      </c>
      <c r="AM3" s="4" cm="1">
        <f t="array" ref="AM3">TREND($AO$3:$AS$3,$AO$1:$AS$1,AM1)</f>
        <v>1.0444155998202975E-4</v>
      </c>
      <c r="AN3" s="26" cm="1">
        <f t="array" ref="AN3">TREND($AO$3:$AS$3,$AO$1:$AS$1,AN1)</f>
        <v>1.0688599085026222E-4</v>
      </c>
      <c r="AO3" s="10">
        <f>BNVFE!D9</f>
        <v>1.0748894488887501E-4</v>
      </c>
      <c r="AP3" s="10">
        <f>BNVFE!E9</f>
        <v>1.1376628742778099E-4</v>
      </c>
      <c r="AQ3" s="10">
        <f>BNVFE!F9</f>
        <v>1.1487084665170681E-4</v>
      </c>
      <c r="AR3" s="10">
        <f>BNVFE!G9</f>
        <v>1.1675219072501874E-4</v>
      </c>
      <c r="AS3" s="10">
        <f>BNVFE!H9</f>
        <v>1.1821814758141852E-4</v>
      </c>
      <c r="AT3" s="10">
        <f>BNVFE!I9</f>
        <v>1.1769306557695523E-4</v>
      </c>
      <c r="AU3" s="10">
        <f>BNVFE!J9</f>
        <v>1.1740735707916262E-4</v>
      </c>
      <c r="AV3" s="10">
        <f>BNVFE!K9</f>
        <v>1.1551151797500483E-4</v>
      </c>
      <c r="AW3" s="10">
        <f>BNVFE!L9</f>
        <v>1.1449785838376007E-4</v>
      </c>
      <c r="AX3" s="10">
        <f>BNVFE!M9</f>
        <v>1.13287341804607E-4</v>
      </c>
      <c r="AY3" s="10">
        <f>BNVFE!N9</f>
        <v>1.1212406398402511E-4</v>
      </c>
      <c r="AZ3" s="10">
        <f>BNVFE!O9</f>
        <v>1.1076186329973974E-4</v>
      </c>
      <c r="BA3" s="10">
        <f>BNVFE!P9</f>
        <v>1.0947685788155618E-4</v>
      </c>
      <c r="BB3" s="10">
        <f>BNVFE!Q9</f>
        <v>1.0833659526703707E-4</v>
      </c>
      <c r="BC3" s="10">
        <f>BNVFE!R9</f>
        <v>1.0725258337875167E-4</v>
      </c>
      <c r="BD3" s="10">
        <f>BNVFE!S9</f>
        <v>1.0627237374881068E-4</v>
      </c>
      <c r="BE3" s="10">
        <f>BNVFE!T9</f>
        <v>1.053872190542009E-4</v>
      </c>
      <c r="BF3" s="10">
        <f>BNVFE!U9</f>
        <v>1.0457070988285631E-4</v>
      </c>
      <c r="BG3" s="10">
        <f>BNVFE!V9</f>
        <v>1.0382785746559407E-4</v>
      </c>
      <c r="BH3" s="10">
        <f>BNVFE!W9</f>
        <v>1.0317553743970813E-4</v>
      </c>
      <c r="BI3" s="10">
        <f>BNVFE!X9</f>
        <v>1.0260660677729319E-4</v>
      </c>
      <c r="BJ3" s="10">
        <f>BNVFE!Y9</f>
        <v>1.0212195692865432E-4</v>
      </c>
      <c r="BK3" s="10">
        <f>BNVFE!Z9</f>
        <v>1.0164270384030296E-4</v>
      </c>
      <c r="BL3" s="10">
        <f>BNVFE!AA9</f>
        <v>1.0120623842325044E-4</v>
      </c>
      <c r="BM3" s="10">
        <f>BNVFE!AB9</f>
        <v>1.0086620530512349E-4</v>
      </c>
      <c r="BN3" s="10">
        <f>BNVFE!AC9</f>
        <v>1.0054219744424832E-4</v>
      </c>
      <c r="BO3" s="10">
        <f>BNVFE!AD9</f>
        <v>9.9850684341711718E-5</v>
      </c>
      <c r="BP3" s="10">
        <f>BNVFE!AE9</f>
        <v>9.9621972535475967E-5</v>
      </c>
      <c r="BQ3" s="10">
        <f>BNVFE!AF9</f>
        <v>9.9483752435656976E-5</v>
      </c>
      <c r="BR3" s="10">
        <f>BNVFE!AG9</f>
        <v>9.9383928406132565E-5</v>
      </c>
      <c r="BS3" s="10"/>
      <c r="BT3" s="4"/>
    </row>
    <row r="4" spans="1:72">
      <c r="A4" t="s">
        <v>8</v>
      </c>
      <c r="B4" t="s">
        <v>21</v>
      </c>
      <c r="C4" s="9"/>
      <c r="D4" s="9"/>
      <c r="E4" s="9"/>
      <c r="F4" s="9"/>
      <c r="G4" s="9"/>
      <c r="H4" s="9"/>
      <c r="I4" s="9"/>
      <c r="J4" s="9"/>
      <c r="K4" s="9"/>
      <c r="L4" s="4">
        <f>L5/M5*M4</f>
        <v>1.1807374066651307E-3</v>
      </c>
      <c r="M4" s="4">
        <f t="shared" ref="M4:AI4" si="1">M5/N5*N4</f>
        <v>1.1807374066651307E-3</v>
      </c>
      <c r="N4" s="4">
        <f t="shared" si="1"/>
        <v>1.1807374066651307E-3</v>
      </c>
      <c r="O4" s="4">
        <f t="shared" si="1"/>
        <v>1.1807374066651307E-3</v>
      </c>
      <c r="P4" s="4">
        <f t="shared" si="1"/>
        <v>1.1807374066651307E-3</v>
      </c>
      <c r="Q4" s="4">
        <f t="shared" si="1"/>
        <v>1.1807374066651307E-3</v>
      </c>
      <c r="R4" s="4">
        <f t="shared" si="1"/>
        <v>1.1807374066651307E-3</v>
      </c>
      <c r="S4" s="4">
        <f t="shared" si="1"/>
        <v>1.1807374066651307E-3</v>
      </c>
      <c r="T4" s="4">
        <f t="shared" si="1"/>
        <v>1.1807374066651307E-3</v>
      </c>
      <c r="U4" s="4">
        <f t="shared" si="1"/>
        <v>1.1807374066651307E-3</v>
      </c>
      <c r="V4" s="4">
        <f t="shared" si="1"/>
        <v>1.1807374066651307E-3</v>
      </c>
      <c r="W4" s="4">
        <f t="shared" si="1"/>
        <v>1.177387347221569E-3</v>
      </c>
      <c r="X4" s="4">
        <f t="shared" si="1"/>
        <v>1.1740372877780075E-3</v>
      </c>
      <c r="Y4" s="4">
        <f t="shared" si="1"/>
        <v>1.1706872283344459E-3</v>
      </c>
      <c r="Z4" s="4">
        <f t="shared" si="1"/>
        <v>1.1673371688908844E-3</v>
      </c>
      <c r="AA4" s="4">
        <f t="shared" si="1"/>
        <v>1.163987109447323E-3</v>
      </c>
      <c r="AB4" s="4">
        <f t="shared" si="1"/>
        <v>1.1606370500037615E-3</v>
      </c>
      <c r="AC4" s="4">
        <f t="shared" si="1"/>
        <v>1.1572869905602E-3</v>
      </c>
      <c r="AD4" s="4">
        <f t="shared" si="1"/>
        <v>1.1539369311166386E-3</v>
      </c>
      <c r="AE4" s="4">
        <f t="shared" si="1"/>
        <v>1.1505868716730771E-3</v>
      </c>
      <c r="AF4" s="4">
        <f t="shared" si="1"/>
        <v>1.1472368122295155E-3</v>
      </c>
      <c r="AG4" s="4">
        <f>AG5/AH5*AH4</f>
        <v>1.143886752785954E-3</v>
      </c>
      <c r="AH4" s="4">
        <f t="shared" si="1"/>
        <v>1.1405366933423926E-3</v>
      </c>
      <c r="AI4" s="4">
        <f t="shared" si="1"/>
        <v>1.1371866338988309E-3</v>
      </c>
      <c r="AJ4" s="4">
        <f>AJ5/AK5*AK4</f>
        <v>1.1338365744552694E-3</v>
      </c>
      <c r="AK4" s="19">
        <f>AK5/AL5*AL4</f>
        <v>1.130486515011708E-3</v>
      </c>
      <c r="AL4" s="19">
        <f>AL5/AM5*AM4</f>
        <v>1.1271364555681463E-3</v>
      </c>
      <c r="AM4" s="19">
        <f>AM5/AN5*AN4</f>
        <v>1.1237863961245848E-3</v>
      </c>
      <c r="AN4" s="27">
        <f>AN5/AO5*AO4</f>
        <v>1.1204363366810234E-3</v>
      </c>
      <c r="AO4" s="10">
        <f>BNVFE!D10</f>
        <v>1.1137362177939013E-3</v>
      </c>
      <c r="AP4" s="10">
        <f>BNVFE!E10</f>
        <v>1.1868928349938494E-3</v>
      </c>
      <c r="AQ4" s="10">
        <f>BNVFE!F10</f>
        <v>1.2242021544325342E-3</v>
      </c>
      <c r="AR4" s="10">
        <f>BNVFE!G10</f>
        <v>1.2625148116111296E-3</v>
      </c>
      <c r="AS4" s="10">
        <f>BNVFE!H10</f>
        <v>1.2984724640643824E-3</v>
      </c>
      <c r="AT4" s="10">
        <f>BNVFE!I10</f>
        <v>1.3325458991476347E-3</v>
      </c>
      <c r="AU4" s="10">
        <f>BNVFE!J10</f>
        <v>1.3625499159680566E-3</v>
      </c>
      <c r="AV4" s="10">
        <f>BNVFE!K10</f>
        <v>1.3753174198569201E-3</v>
      </c>
      <c r="AW4" s="10">
        <f>BNVFE!L10</f>
        <v>1.3946841343267524E-3</v>
      </c>
      <c r="AX4" s="10">
        <f>BNVFE!M10</f>
        <v>1.4146533498165595E-3</v>
      </c>
      <c r="AY4" s="10">
        <f>BNVFE!N10</f>
        <v>1.4334182752321722E-3</v>
      </c>
      <c r="AZ4" s="10">
        <f>BNVFE!O10</f>
        <v>1.4445909758303492E-3</v>
      </c>
      <c r="BA4" s="10">
        <f>BNVFE!P10</f>
        <v>1.4455847020325701E-3</v>
      </c>
      <c r="BB4" s="10">
        <f>BNVFE!Q10</f>
        <v>1.4457021763821076E-3</v>
      </c>
      <c r="BC4" s="10">
        <f>BNVFE!R10</f>
        <v>1.4456854451868699E-3</v>
      </c>
      <c r="BD4" s="10">
        <f>BNVFE!S10</f>
        <v>1.4457034223221783E-3</v>
      </c>
      <c r="BE4" s="10">
        <f>BNVFE!T10</f>
        <v>1.4456555426251702E-3</v>
      </c>
      <c r="BF4" s="10">
        <f>BNVFE!U10</f>
        <v>1.4455629870770495E-3</v>
      </c>
      <c r="BG4" s="10">
        <f>BNVFE!V10</f>
        <v>1.4452171497116701E-3</v>
      </c>
      <c r="BH4" s="10">
        <f>BNVFE!W10</f>
        <v>1.4450916657473916E-3</v>
      </c>
      <c r="BI4" s="10">
        <f>BNVFE!X10</f>
        <v>1.4448529792281048E-3</v>
      </c>
      <c r="BJ4" s="10">
        <f>BNVFE!Y10</f>
        <v>1.443856049179987E-3</v>
      </c>
      <c r="BK4" s="10">
        <f>BNVFE!Z10</f>
        <v>1.4432142120520614E-3</v>
      </c>
      <c r="BL4" s="10">
        <f>BNVFE!AA10</f>
        <v>1.443266541535037E-3</v>
      </c>
      <c r="BM4" s="10">
        <f>BNVFE!AB10</f>
        <v>1.4434251319069122E-3</v>
      </c>
      <c r="BN4" s="10">
        <f>BNVFE!AC10</f>
        <v>1.4437811147842976E-3</v>
      </c>
      <c r="BO4" s="10">
        <f>BNVFE!AD10</f>
        <v>1.4442054463741406E-3</v>
      </c>
      <c r="BP4" s="10">
        <f>BNVFE!AE10</f>
        <v>1.4447501001765403E-3</v>
      </c>
      <c r="BQ4" s="10">
        <f>BNVFE!AF10</f>
        <v>1.4451804834752992E-3</v>
      </c>
      <c r="BR4" s="10">
        <f>BNVFE!AG10</f>
        <v>1.4456904289471535E-3</v>
      </c>
      <c r="BS4" s="10"/>
      <c r="BT4" s="4"/>
    </row>
    <row r="5" spans="1:72">
      <c r="A5" t="s">
        <v>8</v>
      </c>
      <c r="B5" t="s">
        <v>22</v>
      </c>
      <c r="C5" s="9"/>
      <c r="D5" s="9"/>
      <c r="E5" s="9"/>
      <c r="F5" s="9"/>
      <c r="G5" s="9"/>
      <c r="H5" s="9"/>
      <c r="I5" s="9"/>
      <c r="J5" s="9"/>
      <c r="K5" s="9"/>
      <c r="L5" s="4">
        <f>M5</f>
        <v>7.8040477200267344E-4</v>
      </c>
      <c r="M5" s="4">
        <f t="shared" ref="M5:T5" si="2">N5</f>
        <v>7.8040477200267344E-4</v>
      </c>
      <c r="N5" s="4">
        <f t="shared" si="2"/>
        <v>7.8040477200267344E-4</v>
      </c>
      <c r="O5" s="4">
        <f t="shared" si="2"/>
        <v>7.8040477200267344E-4</v>
      </c>
      <c r="P5" s="4">
        <f t="shared" si="2"/>
        <v>7.8040477200267344E-4</v>
      </c>
      <c r="Q5" s="4">
        <f t="shared" si="2"/>
        <v>7.8040477200267344E-4</v>
      </c>
      <c r="R5" s="4">
        <f t="shared" si="2"/>
        <v>7.8040477200267344E-4</v>
      </c>
      <c r="S5" s="4">
        <f t="shared" si="2"/>
        <v>7.8040477200267344E-4</v>
      </c>
      <c r="T5" s="4">
        <f t="shared" si="2"/>
        <v>7.8040477200267344E-4</v>
      </c>
      <c r="U5" s="4">
        <f>V5</f>
        <v>7.8040477200267344E-4</v>
      </c>
      <c r="V5" s="23">
        <f>Calculations!B22</f>
        <v>7.8040477200267344E-4</v>
      </c>
      <c r="W5" s="4">
        <f>($AO$5-$V$5)/COUNT($V$1:$AO$1)+V5</f>
        <v>7.7819056047563108E-4</v>
      </c>
      <c r="X5" s="4">
        <f t="shared" ref="X5:AN5" si="3">($AO$5-$V$5)/COUNT($V$1:$AO$1)+W5</f>
        <v>7.7597634894858872E-4</v>
      </c>
      <c r="Y5" s="4">
        <f t="shared" si="3"/>
        <v>7.7376213742154636E-4</v>
      </c>
      <c r="Z5" s="4">
        <f t="shared" si="3"/>
        <v>7.71547925894504E-4</v>
      </c>
      <c r="AA5" s="4">
        <f t="shared" si="3"/>
        <v>7.6933371436746164E-4</v>
      </c>
      <c r="AB5" s="4">
        <f t="shared" si="3"/>
        <v>7.6711950284041929E-4</v>
      </c>
      <c r="AC5" s="4">
        <f t="shared" si="3"/>
        <v>7.6490529131337693E-4</v>
      </c>
      <c r="AD5" s="4">
        <f t="shared" si="3"/>
        <v>7.6269107978633457E-4</v>
      </c>
      <c r="AE5" s="4">
        <f t="shared" si="3"/>
        <v>7.6047686825929221E-4</v>
      </c>
      <c r="AF5" s="4">
        <f t="shared" si="3"/>
        <v>7.5826265673224985E-4</v>
      </c>
      <c r="AG5" s="4">
        <f t="shared" si="3"/>
        <v>7.5604844520520749E-4</v>
      </c>
      <c r="AH5" s="4">
        <f t="shared" si="3"/>
        <v>7.5383423367816514E-4</v>
      </c>
      <c r="AI5" s="4">
        <f t="shared" si="3"/>
        <v>7.5162002215112278E-4</v>
      </c>
      <c r="AJ5" s="4">
        <f t="shared" si="3"/>
        <v>7.4940581062408042E-4</v>
      </c>
      <c r="AK5" s="4">
        <f t="shared" si="3"/>
        <v>7.4719159909703806E-4</v>
      </c>
      <c r="AL5" s="4">
        <f t="shared" si="3"/>
        <v>7.449773875699957E-4</v>
      </c>
      <c r="AM5" s="4">
        <f t="shared" si="3"/>
        <v>7.4276317604295334E-4</v>
      </c>
      <c r="AN5" s="26">
        <f t="shared" si="3"/>
        <v>7.4054896451591099E-4</v>
      </c>
      <c r="AO5" s="10">
        <f>BNVFE!D11</f>
        <v>7.3612054146182692E-4</v>
      </c>
      <c r="AP5" s="10">
        <f>BNVFE!E11</f>
        <v>7.8447318350072194E-4</v>
      </c>
      <c r="AQ5" s="10">
        <f>BNVFE!F11</f>
        <v>8.0913266389472246E-4</v>
      </c>
      <c r="AR5" s="10">
        <f>BNVFE!G11</f>
        <v>8.3445529729440947E-4</v>
      </c>
      <c r="AS5" s="10">
        <f>BNVFE!H11</f>
        <v>8.582213975349269E-4</v>
      </c>
      <c r="AT5" s="10">
        <f>BNVFE!I11</f>
        <v>8.8074213007663328E-4</v>
      </c>
      <c r="AU5" s="10">
        <f>BNVFE!J11</f>
        <v>9.0057319308330108E-4</v>
      </c>
      <c r="AV5" s="10">
        <f>BNVFE!K11</f>
        <v>9.0901183566816969E-4</v>
      </c>
      <c r="AW5" s="10">
        <f>BNVFE!L11</f>
        <v>9.2181220627128113E-4</v>
      </c>
      <c r="AX5" s="10">
        <f>BNVFE!M11</f>
        <v>9.3501079807791388E-4</v>
      </c>
      <c r="AY5" s="10">
        <f>BNVFE!N11</f>
        <v>9.4741341804908898E-4</v>
      </c>
      <c r="AZ5" s="10">
        <f>BNVFE!O11</f>
        <v>9.5479798028431191E-4</v>
      </c>
      <c r="BA5" s="10">
        <f>BNVFE!P11</f>
        <v>9.5545478057360543E-4</v>
      </c>
      <c r="BB5" s="10">
        <f>BNVFE!Q11</f>
        <v>9.5553242488507497E-4</v>
      </c>
      <c r="BC5" s="10">
        <f>BNVFE!R11</f>
        <v>9.5552136645283517E-4</v>
      </c>
      <c r="BD5" s="10">
        <f>BNVFE!S11</f>
        <v>9.5553324838534815E-4</v>
      </c>
      <c r="BE5" s="10">
        <f>BNVFE!T11</f>
        <v>9.5550160244627959E-4</v>
      </c>
      <c r="BF5" s="10">
        <f>BNVFE!U11</f>
        <v>9.5544042814027313E-4</v>
      </c>
      <c r="BG5" s="10">
        <f>BNVFE!V11</f>
        <v>9.5521184799302321E-4</v>
      </c>
      <c r="BH5" s="10">
        <f>BNVFE!W11</f>
        <v>9.5512890975122625E-4</v>
      </c>
      <c r="BI5" s="10">
        <f>BNVFE!X11</f>
        <v>9.5497115062746795E-4</v>
      </c>
      <c r="BJ5" s="10">
        <f>BNVFE!Y11</f>
        <v>9.5431223276604333E-4</v>
      </c>
      <c r="BK5" s="10">
        <f>BNVFE!Z11</f>
        <v>9.5388801248246955E-4</v>
      </c>
      <c r="BL5" s="10">
        <f>BNVFE!AA11</f>
        <v>9.5392259949394229E-4</v>
      </c>
      <c r="BM5" s="10">
        <f>BNVFE!AB11</f>
        <v>9.5402741931442593E-4</v>
      </c>
      <c r="BN5" s="10">
        <f>BNVFE!AC11</f>
        <v>9.5426270510675759E-4</v>
      </c>
      <c r="BO5" s="10">
        <f>BNVFE!AD11</f>
        <v>9.5454316577121671E-4</v>
      </c>
      <c r="BP5" s="10">
        <f>BNVFE!AE11</f>
        <v>9.5490315303348411E-4</v>
      </c>
      <c r="BQ5" s="10">
        <f>BNVFE!AF11</f>
        <v>9.5518761355641295E-4</v>
      </c>
      <c r="BR5" s="10">
        <f>BNVFE!AG11</f>
        <v>9.555246604539279E-4</v>
      </c>
      <c r="BS5" s="10"/>
      <c r="BT5" s="4"/>
    </row>
    <row r="6" spans="1:72">
      <c r="A6" t="s">
        <v>7</v>
      </c>
      <c r="B6" t="s">
        <v>21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4">
        <f>TREND($AO6:$BR6,$AO$1:$BR$1,P$1)</f>
        <v>4.236427364823752E-4</v>
      </c>
      <c r="Q6" s="4">
        <f t="shared" ref="Q6:AN6" si="4">TREND($AO6:$BR6,$AO$1:$BR$1,Q$1)</f>
        <v>4.2882977835183994E-4</v>
      </c>
      <c r="R6" s="4">
        <f t="shared" si="4"/>
        <v>4.3401682022130295E-4</v>
      </c>
      <c r="S6" s="4">
        <f t="shared" si="4"/>
        <v>4.3920386209076769E-4</v>
      </c>
      <c r="T6" s="4">
        <f t="shared" si="4"/>
        <v>4.4439090396023069E-4</v>
      </c>
      <c r="U6" s="4">
        <f t="shared" si="4"/>
        <v>4.4957794582969543E-4</v>
      </c>
      <c r="V6" s="4">
        <f t="shared" si="4"/>
        <v>4.5476498769915844E-4</v>
      </c>
      <c r="W6" s="4">
        <f t="shared" si="4"/>
        <v>4.5995202956862317E-4</v>
      </c>
      <c r="X6" s="4">
        <f t="shared" si="4"/>
        <v>4.6513907143808618E-4</v>
      </c>
      <c r="Y6" s="4">
        <f t="shared" si="4"/>
        <v>4.7032611330755092E-4</v>
      </c>
      <c r="Z6" s="4">
        <f t="shared" si="4"/>
        <v>4.7551315517701392E-4</v>
      </c>
      <c r="AA6" s="4">
        <f t="shared" si="4"/>
        <v>4.8070019704647866E-4</v>
      </c>
      <c r="AB6" s="4">
        <f t="shared" si="4"/>
        <v>4.8588723891594167E-4</v>
      </c>
      <c r="AC6" s="4">
        <f t="shared" si="4"/>
        <v>4.9107428078540641E-4</v>
      </c>
      <c r="AD6" s="4">
        <f t="shared" si="4"/>
        <v>4.9626132265486941E-4</v>
      </c>
      <c r="AE6" s="4">
        <f t="shared" si="4"/>
        <v>5.0144836452433242E-4</v>
      </c>
      <c r="AF6" s="4">
        <f t="shared" si="4"/>
        <v>5.0663540639379716E-4</v>
      </c>
      <c r="AG6" s="4">
        <f t="shared" si="4"/>
        <v>5.1182244826326016E-4</v>
      </c>
      <c r="AH6" s="4">
        <f t="shared" si="4"/>
        <v>5.170094901327249E-4</v>
      </c>
      <c r="AI6" s="4">
        <f t="shared" si="4"/>
        <v>5.2219653200218791E-4</v>
      </c>
      <c r="AJ6" s="4">
        <f t="shared" si="4"/>
        <v>5.2738357387165265E-4</v>
      </c>
      <c r="AK6" s="4">
        <f t="shared" si="4"/>
        <v>5.3257061574111565E-4</v>
      </c>
      <c r="AL6" s="4">
        <f t="shared" si="4"/>
        <v>5.3775765761058039E-4</v>
      </c>
      <c r="AM6" s="4">
        <f t="shared" si="4"/>
        <v>5.429446994800434E-4</v>
      </c>
      <c r="AN6" s="26">
        <f t="shared" si="4"/>
        <v>5.4813174134950814E-4</v>
      </c>
      <c r="AO6" s="10">
        <f>BNVFE!D12</f>
        <v>5.7245968727451246E-4</v>
      </c>
      <c r="AP6" s="10">
        <f>BNVFE!E12</f>
        <v>5.6525537747016295E-4</v>
      </c>
      <c r="AQ6" s="10">
        <f>BNVFE!F12</f>
        <v>5.6816948983254214E-4</v>
      </c>
      <c r="AR6" s="10">
        <f>BNVFE!G12</f>
        <v>5.7128317518608321E-4</v>
      </c>
      <c r="AS6" s="10">
        <f>BNVFE!H12</f>
        <v>5.7537137435165198E-4</v>
      </c>
      <c r="AT6" s="10">
        <f>BNVFE!I12</f>
        <v>5.8053804811384778E-4</v>
      </c>
      <c r="AU6" s="10">
        <f>BNVFE!J12</f>
        <v>5.8402553055494823E-4</v>
      </c>
      <c r="AV6" s="10">
        <f>BNVFE!K12</f>
        <v>5.8760417107298871E-4</v>
      </c>
      <c r="AW6" s="10">
        <f>BNVFE!L12</f>
        <v>5.9096130220580865E-4</v>
      </c>
      <c r="AX6" s="10">
        <f>BNVFE!M12</f>
        <v>5.946019196444121E-4</v>
      </c>
      <c r="AY6" s="10">
        <f>BNVFE!N12</f>
        <v>5.9865845018156332E-4</v>
      </c>
      <c r="AZ6" s="10">
        <f>BNVFE!O12</f>
        <v>6.0321943227520944E-4</v>
      </c>
      <c r="BA6" s="10">
        <f>BNVFE!P12</f>
        <v>6.0839429137508894E-4</v>
      </c>
      <c r="BB6" s="10">
        <f>BNVFE!Q12</f>
        <v>6.1395089969970801E-4</v>
      </c>
      <c r="BC6" s="10">
        <f>BNVFE!R12</f>
        <v>6.1977379967962927E-4</v>
      </c>
      <c r="BD6" s="10">
        <f>BNVFE!S12</f>
        <v>6.2567088851316315E-4</v>
      </c>
      <c r="BE6" s="10">
        <f>BNVFE!T12</f>
        <v>6.3167004143386532E-4</v>
      </c>
      <c r="BF6" s="10">
        <f>BNVFE!U12</f>
        <v>6.3779136032516399E-4</v>
      </c>
      <c r="BG6" s="10">
        <f>BNVFE!V12</f>
        <v>6.437466870978497E-4</v>
      </c>
      <c r="BH6" s="10">
        <f>BNVFE!W12</f>
        <v>6.4981143154692399E-4</v>
      </c>
      <c r="BI6" s="10">
        <f>BNVFE!X12</f>
        <v>6.5593323238593052E-4</v>
      </c>
      <c r="BJ6" s="10">
        <f>BNVFE!Y12</f>
        <v>6.6206558943440969E-4</v>
      </c>
      <c r="BK6" s="10">
        <f>BNVFE!Z12</f>
        <v>6.6830617483670774E-4</v>
      </c>
      <c r="BL6" s="10">
        <f>BNVFE!AA12</f>
        <v>6.7444724581067943E-4</v>
      </c>
      <c r="BM6" s="10">
        <f>BNVFE!AB12</f>
        <v>6.8055623616867665E-4</v>
      </c>
      <c r="BN6" s="10">
        <f>BNVFE!AC12</f>
        <v>6.8655076394605308E-4</v>
      </c>
      <c r="BO6" s="10">
        <f>BNVFE!AD12</f>
        <v>6.9253674881163997E-4</v>
      </c>
      <c r="BP6" s="10">
        <f>BNVFE!AE12</f>
        <v>6.9843365885812099E-4</v>
      </c>
      <c r="BQ6" s="10">
        <f>BNVFE!AF12</f>
        <v>7.0421403083949718E-4</v>
      </c>
      <c r="BR6" s="10">
        <f>BNVFE!AG12</f>
        <v>7.0992567085904998E-4</v>
      </c>
      <c r="BS6" s="10"/>
      <c r="BT6" s="4"/>
    </row>
    <row r="7" spans="1:72">
      <c r="A7" t="s">
        <v>7</v>
      </c>
      <c r="B7" t="s">
        <v>22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4">
        <f>TREND($AO7:$BR7,$AO$1:$BR$1,P$1)-($AR7-$AO7)</f>
        <v>3.6038411832808568E-5</v>
      </c>
      <c r="Q7" s="4">
        <f t="shared" ref="Q7:AN7" si="5">TREND($AO7:$BR7,$AO$1:$BR$1,Q$1)-($AR7-$AO7)</f>
        <v>3.647844074325616E-5</v>
      </c>
      <c r="R7" s="4">
        <f t="shared" si="5"/>
        <v>3.6918469653703644E-5</v>
      </c>
      <c r="S7" s="4">
        <f t="shared" si="5"/>
        <v>3.7358498564151237E-5</v>
      </c>
      <c r="T7" s="4">
        <f t="shared" si="5"/>
        <v>3.7798527474598721E-5</v>
      </c>
      <c r="U7" s="4">
        <f t="shared" si="5"/>
        <v>3.8238556385046314E-5</v>
      </c>
      <c r="V7" s="4">
        <f t="shared" si="5"/>
        <v>3.8678585295493906E-5</v>
      </c>
      <c r="W7" s="4">
        <f t="shared" si="5"/>
        <v>3.9118614205941391E-5</v>
      </c>
      <c r="X7" s="4">
        <f t="shared" si="5"/>
        <v>3.9558643116388983E-5</v>
      </c>
      <c r="Y7" s="4">
        <f t="shared" si="5"/>
        <v>3.9998672026836467E-5</v>
      </c>
      <c r="Z7" s="4">
        <f t="shared" si="5"/>
        <v>4.043870093728406E-5</v>
      </c>
      <c r="AA7" s="4">
        <f t="shared" si="5"/>
        <v>4.0878729847731653E-5</v>
      </c>
      <c r="AB7" s="4">
        <f t="shared" si="5"/>
        <v>4.1318758758179137E-5</v>
      </c>
      <c r="AC7" s="4">
        <f t="shared" si="5"/>
        <v>4.1758787668626729E-5</v>
      </c>
      <c r="AD7" s="4">
        <f t="shared" si="5"/>
        <v>4.2198816579074322E-5</v>
      </c>
      <c r="AE7" s="4">
        <f t="shared" si="5"/>
        <v>4.2638845489521806E-5</v>
      </c>
      <c r="AF7" s="4">
        <f t="shared" si="5"/>
        <v>4.3078874399969399E-5</v>
      </c>
      <c r="AG7" s="4">
        <f t="shared" si="5"/>
        <v>4.3518903310416883E-5</v>
      </c>
      <c r="AH7" s="4">
        <f t="shared" si="5"/>
        <v>4.3958932220864476E-5</v>
      </c>
      <c r="AI7" s="4">
        <f t="shared" si="5"/>
        <v>4.4398961131312068E-5</v>
      </c>
      <c r="AJ7" s="4">
        <f t="shared" si="5"/>
        <v>4.4838990041759552E-5</v>
      </c>
      <c r="AK7" s="4">
        <f t="shared" si="5"/>
        <v>4.5279018952207145E-5</v>
      </c>
      <c r="AL7" s="4">
        <f t="shared" si="5"/>
        <v>4.5719047862654629E-5</v>
      </c>
      <c r="AM7" s="4">
        <f t="shared" si="5"/>
        <v>4.6159076773102222E-5</v>
      </c>
      <c r="AN7" s="26">
        <f t="shared" si="5"/>
        <v>4.6599105683549815E-5</v>
      </c>
      <c r="AO7" s="10">
        <f>BNVFE!D13</f>
        <v>4.8563096039282174E-5</v>
      </c>
      <c r="AP7" s="10">
        <f>BNVFE!E13</f>
        <v>4.7951937565239972E-5</v>
      </c>
      <c r="AQ7" s="10">
        <f>BNVFE!F13</f>
        <v>4.8199148542133818E-5</v>
      </c>
      <c r="AR7" s="10">
        <f>BNVFE!G13</f>
        <v>4.8463289763291303E-5</v>
      </c>
      <c r="AS7" s="10">
        <f>BNVFE!H13</f>
        <v>4.8810101273548841E-5</v>
      </c>
      <c r="AT7" s="10">
        <f>BNVFE!I13</f>
        <v>4.9248402309752346E-5</v>
      </c>
      <c r="AU7" s="10">
        <f>BNVFE!J13</f>
        <v>4.9544253613324154E-5</v>
      </c>
      <c r="AV7" s="10">
        <f>BNVFE!K13</f>
        <v>4.9847838070065696E-5</v>
      </c>
      <c r="AW7" s="10">
        <f>BNVFE!L13</f>
        <v>5.0132631366857999E-5</v>
      </c>
      <c r="AX7" s="10">
        <f>BNVFE!M13</f>
        <v>5.0441473470928121E-5</v>
      </c>
      <c r="AY7" s="10">
        <f>BNVFE!N13</f>
        <v>5.0785598457265348E-5</v>
      </c>
      <c r="AZ7" s="10">
        <f>BNVFE!O13</f>
        <v>5.1172517250624796E-5</v>
      </c>
      <c r="BA7" s="10">
        <f>BNVFE!P13</f>
        <v>5.161151266819503E-5</v>
      </c>
      <c r="BB7" s="10">
        <f>BNVFE!Q13</f>
        <v>5.2082892766601423E-5</v>
      </c>
      <c r="BC7" s="10">
        <f>BNVFE!R13</f>
        <v>5.2576863009813412E-5</v>
      </c>
      <c r="BD7" s="10">
        <f>BNVFE!S13</f>
        <v>5.3077126867236362E-5</v>
      </c>
      <c r="BE7" s="10">
        <f>BNVFE!T13</f>
        <v>5.3586049060219874E-5</v>
      </c>
      <c r="BF7" s="10">
        <f>BNVFE!U13</f>
        <v>5.4105334878616127E-5</v>
      </c>
      <c r="BG7" s="10">
        <f>BNVFE!V13</f>
        <v>5.4610539196817424E-5</v>
      </c>
      <c r="BH7" s="10">
        <f>BNVFE!W13</f>
        <v>5.5125025672775793E-5</v>
      </c>
      <c r="BI7" s="10">
        <f>BNVFE!X13</f>
        <v>5.5644352375924891E-5</v>
      </c>
      <c r="BJ7" s="10">
        <f>BNVFE!Y13</f>
        <v>5.6164574587047429E-5</v>
      </c>
      <c r="BK7" s="10">
        <f>BNVFE!Z13</f>
        <v>5.6693978062907934E-5</v>
      </c>
      <c r="BL7" s="10">
        <f>BNVFE!AA13</f>
        <v>5.721493949673903E-5</v>
      </c>
      <c r="BM7" s="10">
        <f>BNVFE!AB13</f>
        <v>5.7733179456780447E-5</v>
      </c>
      <c r="BN7" s="10">
        <f>BNVFE!AC13</f>
        <v>5.8241709288023016E-5</v>
      </c>
      <c r="BO7" s="10">
        <f>BNVFE!AD13</f>
        <v>5.8749514404049965E-5</v>
      </c>
      <c r="BP7" s="10">
        <f>BNVFE!AE13</f>
        <v>5.9249763094548476E-5</v>
      </c>
      <c r="BQ7" s="10">
        <f>BNVFE!AF13</f>
        <v>5.9740125588038328E-5</v>
      </c>
      <c r="BR7" s="10">
        <f>BNVFE!AG13</f>
        <v>6.0224657388228372E-5</v>
      </c>
      <c r="BS7" s="10"/>
      <c r="BT7" s="4"/>
    </row>
    <row r="8" spans="1:72">
      <c r="A8" t="s">
        <v>16</v>
      </c>
      <c r="B8" t="s">
        <v>89</v>
      </c>
      <c r="C8" s="9"/>
      <c r="D8" s="9"/>
      <c r="E8" s="9"/>
      <c r="F8" s="4">
        <f>SYFAFE!$E$5</f>
        <v>7.1745362435245036E-5</v>
      </c>
      <c r="G8" s="4">
        <f>F8</f>
        <v>7.1745362435245036E-5</v>
      </c>
      <c r="H8" s="4">
        <f t="shared" ref="H8:BR8" si="6">G8</f>
        <v>7.1745362435245036E-5</v>
      </c>
      <c r="I8" s="4">
        <f t="shared" si="6"/>
        <v>7.1745362435245036E-5</v>
      </c>
      <c r="J8" s="4">
        <f t="shared" si="6"/>
        <v>7.1745362435245036E-5</v>
      </c>
      <c r="K8" s="4">
        <f t="shared" si="6"/>
        <v>7.1745362435245036E-5</v>
      </c>
      <c r="L8" s="4">
        <f t="shared" si="6"/>
        <v>7.1745362435245036E-5</v>
      </c>
      <c r="M8" s="4">
        <f t="shared" si="6"/>
        <v>7.1745362435245036E-5</v>
      </c>
      <c r="N8" s="4">
        <f t="shared" si="6"/>
        <v>7.1745362435245036E-5</v>
      </c>
      <c r="O8" s="4">
        <f t="shared" si="6"/>
        <v>7.1745362435245036E-5</v>
      </c>
      <c r="P8" s="4">
        <f t="shared" si="6"/>
        <v>7.1745362435245036E-5</v>
      </c>
      <c r="Q8" s="4">
        <f t="shared" si="6"/>
        <v>7.1745362435245036E-5</v>
      </c>
      <c r="R8" s="4">
        <f t="shared" si="6"/>
        <v>7.1745362435245036E-5</v>
      </c>
      <c r="S8" s="4">
        <f t="shared" si="6"/>
        <v>7.1745362435245036E-5</v>
      </c>
      <c r="T8" s="4">
        <f t="shared" si="6"/>
        <v>7.1745362435245036E-5</v>
      </c>
      <c r="U8" s="4">
        <f t="shared" si="6"/>
        <v>7.1745362435245036E-5</v>
      </c>
      <c r="V8" s="4">
        <f t="shared" si="6"/>
        <v>7.1745362435245036E-5</v>
      </c>
      <c r="W8" s="4">
        <f t="shared" si="6"/>
        <v>7.1745362435245036E-5</v>
      </c>
      <c r="X8" s="4">
        <f t="shared" si="6"/>
        <v>7.1745362435245036E-5</v>
      </c>
      <c r="Y8" s="4">
        <f t="shared" si="6"/>
        <v>7.1745362435245036E-5</v>
      </c>
      <c r="Z8" s="4">
        <f t="shared" si="6"/>
        <v>7.1745362435245036E-5</v>
      </c>
      <c r="AA8" s="4">
        <f t="shared" si="6"/>
        <v>7.1745362435245036E-5</v>
      </c>
      <c r="AB8" s="4">
        <f t="shared" si="6"/>
        <v>7.1745362435245036E-5</v>
      </c>
      <c r="AC8" s="4">
        <f t="shared" si="6"/>
        <v>7.1745362435245036E-5</v>
      </c>
      <c r="AD8" s="4">
        <f t="shared" si="6"/>
        <v>7.1745362435245036E-5</v>
      </c>
      <c r="AE8" s="4">
        <f t="shared" si="6"/>
        <v>7.1745362435245036E-5</v>
      </c>
      <c r="AF8" s="4">
        <f t="shared" si="6"/>
        <v>7.1745362435245036E-5</v>
      </c>
      <c r="AG8" s="4">
        <f t="shared" si="6"/>
        <v>7.1745362435245036E-5</v>
      </c>
      <c r="AH8" s="4">
        <f t="shared" si="6"/>
        <v>7.1745362435245036E-5</v>
      </c>
      <c r="AI8" s="4">
        <f t="shared" si="6"/>
        <v>7.1745362435245036E-5</v>
      </c>
      <c r="AJ8" s="4">
        <f t="shared" si="6"/>
        <v>7.1745362435245036E-5</v>
      </c>
      <c r="AK8" s="4">
        <f t="shared" si="6"/>
        <v>7.1745362435245036E-5</v>
      </c>
      <c r="AL8" s="4">
        <f t="shared" si="6"/>
        <v>7.1745362435245036E-5</v>
      </c>
      <c r="AM8" s="4">
        <f t="shared" si="6"/>
        <v>7.1745362435245036E-5</v>
      </c>
      <c r="AN8" s="4">
        <f t="shared" si="6"/>
        <v>7.1745362435245036E-5</v>
      </c>
      <c r="AO8" s="4">
        <f t="shared" si="6"/>
        <v>7.1745362435245036E-5</v>
      </c>
      <c r="AP8" s="4">
        <f t="shared" si="6"/>
        <v>7.1745362435245036E-5</v>
      </c>
      <c r="AQ8" s="4">
        <f t="shared" si="6"/>
        <v>7.1745362435245036E-5</v>
      </c>
      <c r="AR8" s="4">
        <f t="shared" si="6"/>
        <v>7.1745362435245036E-5</v>
      </c>
      <c r="AS8" s="4">
        <f t="shared" si="6"/>
        <v>7.1745362435245036E-5</v>
      </c>
      <c r="AT8" s="4">
        <f t="shared" si="6"/>
        <v>7.1745362435245036E-5</v>
      </c>
      <c r="AU8" s="4">
        <f t="shared" si="6"/>
        <v>7.1745362435245036E-5</v>
      </c>
      <c r="AV8" s="4">
        <f t="shared" si="6"/>
        <v>7.1745362435245036E-5</v>
      </c>
      <c r="AW8" s="4">
        <f t="shared" si="6"/>
        <v>7.1745362435245036E-5</v>
      </c>
      <c r="AX8" s="4">
        <f t="shared" si="6"/>
        <v>7.1745362435245036E-5</v>
      </c>
      <c r="AY8" s="4">
        <f t="shared" si="6"/>
        <v>7.1745362435245036E-5</v>
      </c>
      <c r="AZ8" s="4">
        <f t="shared" si="6"/>
        <v>7.1745362435245036E-5</v>
      </c>
      <c r="BA8" s="4">
        <f t="shared" si="6"/>
        <v>7.1745362435245036E-5</v>
      </c>
      <c r="BB8" s="4">
        <f t="shared" si="6"/>
        <v>7.1745362435245036E-5</v>
      </c>
      <c r="BC8" s="4">
        <f t="shared" si="6"/>
        <v>7.1745362435245036E-5</v>
      </c>
      <c r="BD8" s="4">
        <f t="shared" si="6"/>
        <v>7.1745362435245036E-5</v>
      </c>
      <c r="BE8" s="4">
        <f t="shared" si="6"/>
        <v>7.1745362435245036E-5</v>
      </c>
      <c r="BF8" s="4">
        <f t="shared" si="6"/>
        <v>7.1745362435245036E-5</v>
      </c>
      <c r="BG8" s="4">
        <f t="shared" si="6"/>
        <v>7.1745362435245036E-5</v>
      </c>
      <c r="BH8" s="4">
        <f t="shared" si="6"/>
        <v>7.1745362435245036E-5</v>
      </c>
      <c r="BI8" s="4">
        <f t="shared" si="6"/>
        <v>7.1745362435245036E-5</v>
      </c>
      <c r="BJ8" s="4">
        <f t="shared" si="6"/>
        <v>7.1745362435245036E-5</v>
      </c>
      <c r="BK8" s="4">
        <f t="shared" si="6"/>
        <v>7.1745362435245036E-5</v>
      </c>
      <c r="BL8" s="4">
        <f t="shared" si="6"/>
        <v>7.1745362435245036E-5</v>
      </c>
      <c r="BM8" s="4">
        <f t="shared" si="6"/>
        <v>7.1745362435245036E-5</v>
      </c>
      <c r="BN8" s="4">
        <f t="shared" si="6"/>
        <v>7.1745362435245036E-5</v>
      </c>
      <c r="BO8" s="4">
        <f t="shared" si="6"/>
        <v>7.1745362435245036E-5</v>
      </c>
      <c r="BP8" s="4">
        <f t="shared" si="6"/>
        <v>7.1745362435245036E-5</v>
      </c>
      <c r="BQ8" s="4">
        <f t="shared" si="6"/>
        <v>7.1745362435245036E-5</v>
      </c>
      <c r="BR8" s="4">
        <f t="shared" si="6"/>
        <v>7.1745362435245036E-5</v>
      </c>
      <c r="BS8" s="10"/>
      <c r="BT8" s="4"/>
    </row>
    <row r="9" spans="1:72">
      <c r="A9" t="s">
        <v>16</v>
      </c>
      <c r="B9" t="s">
        <v>90</v>
      </c>
      <c r="C9" s="9"/>
      <c r="D9" s="9"/>
      <c r="E9" s="9"/>
      <c r="F9" s="19">
        <f>SYFAFE!$B$5</f>
        <v>7.5686214263268839E-4</v>
      </c>
      <c r="G9" s="4">
        <f>F9</f>
        <v>7.5686214263268839E-4</v>
      </c>
      <c r="H9" s="4">
        <f t="shared" ref="H9:BR9" si="7">G9</f>
        <v>7.5686214263268839E-4</v>
      </c>
      <c r="I9" s="4">
        <f t="shared" si="7"/>
        <v>7.5686214263268839E-4</v>
      </c>
      <c r="J9" s="4">
        <f t="shared" si="7"/>
        <v>7.5686214263268839E-4</v>
      </c>
      <c r="K9" s="4">
        <f t="shared" si="7"/>
        <v>7.5686214263268839E-4</v>
      </c>
      <c r="L9" s="4">
        <f t="shared" si="7"/>
        <v>7.5686214263268839E-4</v>
      </c>
      <c r="M9" s="4">
        <f t="shared" si="7"/>
        <v>7.5686214263268839E-4</v>
      </c>
      <c r="N9" s="4">
        <f t="shared" si="7"/>
        <v>7.5686214263268839E-4</v>
      </c>
      <c r="O9" s="4">
        <f t="shared" si="7"/>
        <v>7.5686214263268839E-4</v>
      </c>
      <c r="P9" s="4">
        <f t="shared" si="7"/>
        <v>7.5686214263268839E-4</v>
      </c>
      <c r="Q9" s="4">
        <f t="shared" si="7"/>
        <v>7.5686214263268839E-4</v>
      </c>
      <c r="R9" s="4">
        <f t="shared" si="7"/>
        <v>7.5686214263268839E-4</v>
      </c>
      <c r="S9" s="4">
        <f t="shared" si="7"/>
        <v>7.5686214263268839E-4</v>
      </c>
      <c r="T9" s="4">
        <f t="shared" si="7"/>
        <v>7.5686214263268839E-4</v>
      </c>
      <c r="U9" s="4">
        <f t="shared" si="7"/>
        <v>7.5686214263268839E-4</v>
      </c>
      <c r="V9" s="4">
        <f t="shared" si="7"/>
        <v>7.5686214263268839E-4</v>
      </c>
      <c r="W9" s="4">
        <f t="shared" si="7"/>
        <v>7.5686214263268839E-4</v>
      </c>
      <c r="X9" s="4">
        <f t="shared" si="7"/>
        <v>7.5686214263268839E-4</v>
      </c>
      <c r="Y9" s="4">
        <f t="shared" si="7"/>
        <v>7.5686214263268839E-4</v>
      </c>
      <c r="Z9" s="4">
        <f t="shared" si="7"/>
        <v>7.5686214263268839E-4</v>
      </c>
      <c r="AA9" s="4">
        <f t="shared" si="7"/>
        <v>7.5686214263268839E-4</v>
      </c>
      <c r="AB9" s="4">
        <f t="shared" si="7"/>
        <v>7.5686214263268839E-4</v>
      </c>
      <c r="AC9" s="4">
        <f t="shared" si="7"/>
        <v>7.5686214263268839E-4</v>
      </c>
      <c r="AD9" s="4">
        <f t="shared" si="7"/>
        <v>7.5686214263268839E-4</v>
      </c>
      <c r="AE9" s="4">
        <f t="shared" si="7"/>
        <v>7.5686214263268839E-4</v>
      </c>
      <c r="AF9" s="4">
        <f t="shared" si="7"/>
        <v>7.5686214263268839E-4</v>
      </c>
      <c r="AG9" s="4">
        <f t="shared" si="7"/>
        <v>7.5686214263268839E-4</v>
      </c>
      <c r="AH9" s="4">
        <f t="shared" si="7"/>
        <v>7.5686214263268839E-4</v>
      </c>
      <c r="AI9" s="4">
        <f t="shared" si="7"/>
        <v>7.5686214263268839E-4</v>
      </c>
      <c r="AJ9" s="4">
        <f t="shared" si="7"/>
        <v>7.5686214263268839E-4</v>
      </c>
      <c r="AK9" s="4">
        <f t="shared" si="7"/>
        <v>7.5686214263268839E-4</v>
      </c>
      <c r="AL9" s="4">
        <f t="shared" si="7"/>
        <v>7.5686214263268839E-4</v>
      </c>
      <c r="AM9" s="4">
        <f t="shared" si="7"/>
        <v>7.5686214263268839E-4</v>
      </c>
      <c r="AN9" s="4">
        <f t="shared" si="7"/>
        <v>7.5686214263268839E-4</v>
      </c>
      <c r="AO9" s="4">
        <f t="shared" si="7"/>
        <v>7.5686214263268839E-4</v>
      </c>
      <c r="AP9" s="4">
        <f t="shared" si="7"/>
        <v>7.5686214263268839E-4</v>
      </c>
      <c r="AQ9" s="4">
        <f t="shared" si="7"/>
        <v>7.5686214263268839E-4</v>
      </c>
      <c r="AR9" s="4">
        <f t="shared" si="7"/>
        <v>7.5686214263268839E-4</v>
      </c>
      <c r="AS9" s="4">
        <f t="shared" si="7"/>
        <v>7.5686214263268839E-4</v>
      </c>
      <c r="AT9" s="4">
        <f t="shared" si="7"/>
        <v>7.5686214263268839E-4</v>
      </c>
      <c r="AU9" s="4">
        <f t="shared" si="7"/>
        <v>7.5686214263268839E-4</v>
      </c>
      <c r="AV9" s="4">
        <f t="shared" si="7"/>
        <v>7.5686214263268839E-4</v>
      </c>
      <c r="AW9" s="4">
        <f t="shared" si="7"/>
        <v>7.5686214263268839E-4</v>
      </c>
      <c r="AX9" s="4">
        <f t="shared" si="7"/>
        <v>7.5686214263268839E-4</v>
      </c>
      <c r="AY9" s="4">
        <f t="shared" si="7"/>
        <v>7.5686214263268839E-4</v>
      </c>
      <c r="AZ9" s="4">
        <f t="shared" si="7"/>
        <v>7.5686214263268839E-4</v>
      </c>
      <c r="BA9" s="4">
        <f t="shared" si="7"/>
        <v>7.5686214263268839E-4</v>
      </c>
      <c r="BB9" s="4">
        <f t="shared" si="7"/>
        <v>7.5686214263268839E-4</v>
      </c>
      <c r="BC9" s="4">
        <f t="shared" si="7"/>
        <v>7.5686214263268839E-4</v>
      </c>
      <c r="BD9" s="4">
        <f t="shared" si="7"/>
        <v>7.5686214263268839E-4</v>
      </c>
      <c r="BE9" s="4">
        <f t="shared" si="7"/>
        <v>7.5686214263268839E-4</v>
      </c>
      <c r="BF9" s="4">
        <f t="shared" si="7"/>
        <v>7.5686214263268839E-4</v>
      </c>
      <c r="BG9" s="4">
        <f t="shared" si="7"/>
        <v>7.5686214263268839E-4</v>
      </c>
      <c r="BH9" s="4">
        <f t="shared" si="7"/>
        <v>7.5686214263268839E-4</v>
      </c>
      <c r="BI9" s="4">
        <f t="shared" si="7"/>
        <v>7.5686214263268839E-4</v>
      </c>
      <c r="BJ9" s="4">
        <f t="shared" si="7"/>
        <v>7.5686214263268839E-4</v>
      </c>
      <c r="BK9" s="4">
        <f t="shared" si="7"/>
        <v>7.5686214263268839E-4</v>
      </c>
      <c r="BL9" s="4">
        <f t="shared" si="7"/>
        <v>7.5686214263268839E-4</v>
      </c>
      <c r="BM9" s="4">
        <f t="shared" si="7"/>
        <v>7.5686214263268839E-4</v>
      </c>
      <c r="BN9" s="4">
        <f t="shared" si="7"/>
        <v>7.5686214263268839E-4</v>
      </c>
      <c r="BO9" s="4">
        <f t="shared" si="7"/>
        <v>7.5686214263268839E-4</v>
      </c>
      <c r="BP9" s="4">
        <f t="shared" si="7"/>
        <v>7.5686214263268839E-4</v>
      </c>
      <c r="BQ9" s="4">
        <f t="shared" si="7"/>
        <v>7.5686214263268839E-4</v>
      </c>
      <c r="BR9" s="4">
        <f t="shared" si="7"/>
        <v>7.5686214263268839E-4</v>
      </c>
      <c r="BS9" s="10"/>
      <c r="BT9" s="4"/>
    </row>
    <row r="10" spans="1:72">
      <c r="A10" t="s">
        <v>16</v>
      </c>
      <c r="B10" t="s">
        <v>22</v>
      </c>
      <c r="C10" s="9"/>
      <c r="D10" s="9"/>
      <c r="E10" s="9"/>
      <c r="F10" s="4">
        <f>TREND($AO10:$BR10,$AO$1:$BR$1,F$1)</f>
        <v>3.2890937975528366E-3</v>
      </c>
      <c r="G10" s="4">
        <f t="shared" ref="G10:AN13" si="8">TREND($AO10:$BR10,$AO$1:$BR$1,G$1)</f>
        <v>3.2917330420467188E-3</v>
      </c>
      <c r="H10" s="4">
        <f t="shared" si="8"/>
        <v>3.294372286540601E-3</v>
      </c>
      <c r="I10" s="4">
        <f t="shared" si="8"/>
        <v>3.2970115310344832E-3</v>
      </c>
      <c r="J10" s="4">
        <f t="shared" si="8"/>
        <v>3.2996507755283645E-3</v>
      </c>
      <c r="K10" s="4">
        <f t="shared" si="8"/>
        <v>3.3022900200222467E-3</v>
      </c>
      <c r="L10" s="4">
        <f t="shared" si="8"/>
        <v>3.3049292645161289E-3</v>
      </c>
      <c r="M10" s="4">
        <f t="shared" si="8"/>
        <v>3.3075685090100111E-3</v>
      </c>
      <c r="N10" s="4">
        <f t="shared" si="8"/>
        <v>3.3102077535038933E-3</v>
      </c>
      <c r="O10" s="4">
        <f t="shared" si="8"/>
        <v>3.3128469979977755E-3</v>
      </c>
      <c r="P10" s="4">
        <f t="shared" si="8"/>
        <v>3.3154862424916577E-3</v>
      </c>
      <c r="Q10" s="4">
        <f t="shared" si="8"/>
        <v>3.318125486985539E-3</v>
      </c>
      <c r="R10" s="4">
        <f t="shared" si="8"/>
        <v>3.3207647314794212E-3</v>
      </c>
      <c r="S10" s="4">
        <f t="shared" si="8"/>
        <v>3.3234039759733034E-3</v>
      </c>
      <c r="T10" s="4">
        <f t="shared" si="8"/>
        <v>3.3260432204671856E-3</v>
      </c>
      <c r="U10" s="4">
        <f t="shared" si="8"/>
        <v>3.3286824649610678E-3</v>
      </c>
      <c r="V10" s="4">
        <f t="shared" si="8"/>
        <v>3.33132170945495E-3</v>
      </c>
      <c r="W10" s="4">
        <f t="shared" si="8"/>
        <v>3.3339609539488322E-3</v>
      </c>
      <c r="X10" s="4">
        <f t="shared" si="8"/>
        <v>3.3366001984427144E-3</v>
      </c>
      <c r="Y10" s="4">
        <f t="shared" si="8"/>
        <v>3.3392394429365957E-3</v>
      </c>
      <c r="Z10" s="4">
        <f t="shared" si="8"/>
        <v>3.3418786874304779E-3</v>
      </c>
      <c r="AA10" s="4">
        <f t="shared" si="8"/>
        <v>3.3445179319243601E-3</v>
      </c>
      <c r="AB10" s="4">
        <f t="shared" si="8"/>
        <v>3.3471571764182423E-3</v>
      </c>
      <c r="AC10" s="4">
        <f t="shared" si="8"/>
        <v>3.3497964209121245E-3</v>
      </c>
      <c r="AD10" s="4">
        <f t="shared" si="8"/>
        <v>3.3524356654060067E-3</v>
      </c>
      <c r="AE10" s="4">
        <f t="shared" si="8"/>
        <v>3.3550749098998889E-3</v>
      </c>
      <c r="AF10" s="4">
        <f t="shared" si="8"/>
        <v>3.3577141543937711E-3</v>
      </c>
      <c r="AG10" s="4">
        <f t="shared" si="8"/>
        <v>3.3603533988876525E-3</v>
      </c>
      <c r="AH10" s="4">
        <f t="shared" si="8"/>
        <v>3.3629926433815347E-3</v>
      </c>
      <c r="AI10" s="4">
        <f t="shared" si="8"/>
        <v>3.3656318878754169E-3</v>
      </c>
      <c r="AJ10" s="4">
        <f t="shared" si="8"/>
        <v>3.3682711323692991E-3</v>
      </c>
      <c r="AK10" s="4">
        <f t="shared" si="8"/>
        <v>3.3709103768631813E-3</v>
      </c>
      <c r="AL10" s="4">
        <f t="shared" si="8"/>
        <v>3.3735496213570635E-3</v>
      </c>
      <c r="AM10" s="4">
        <f t="shared" si="8"/>
        <v>3.3761888658509456E-3</v>
      </c>
      <c r="AN10" s="26">
        <f t="shared" si="8"/>
        <v>3.3788281103448278E-3</v>
      </c>
      <c r="AO10" s="10">
        <f>BNVFE!D16</f>
        <v>3.5120030000000001E-3</v>
      </c>
      <c r="AP10" s="10">
        <f>BNVFE!E16</f>
        <v>3.3663400000000002E-3</v>
      </c>
      <c r="AQ10" s="10">
        <f>BNVFE!F16</f>
        <v>3.3698929999999997E-3</v>
      </c>
      <c r="AR10" s="10">
        <f>BNVFE!G16</f>
        <v>3.3734500000000001E-3</v>
      </c>
      <c r="AS10" s="10">
        <f>BNVFE!H16</f>
        <v>3.3770099999999997E-3</v>
      </c>
      <c r="AT10" s="10">
        <f>BNVFE!I16</f>
        <v>3.3805740000000003E-3</v>
      </c>
      <c r="AU10" s="10">
        <f>BNVFE!J16</f>
        <v>3.3841420000000001E-3</v>
      </c>
      <c r="AV10" s="10">
        <f>BNVFE!K16</f>
        <v>3.3877130000000001E-3</v>
      </c>
      <c r="AW10" s="10">
        <f>BNVFE!L16</f>
        <v>3.391289E-3</v>
      </c>
      <c r="AX10" s="10">
        <f>BNVFE!M16</f>
        <v>3.3948680000000001E-3</v>
      </c>
      <c r="AY10" s="10">
        <f>BNVFE!N16</f>
        <v>3.3984510000000002E-3</v>
      </c>
      <c r="AZ10" s="10">
        <f>BNVFE!O16</f>
        <v>3.4020370000000001E-3</v>
      </c>
      <c r="BA10" s="10">
        <f>BNVFE!P16</f>
        <v>3.405628E-3</v>
      </c>
      <c r="BB10" s="10">
        <f>BNVFE!Q16</f>
        <v>3.4092220000000004E-3</v>
      </c>
      <c r="BC10" s="10">
        <f>BNVFE!R16</f>
        <v>3.41282E-3</v>
      </c>
      <c r="BD10" s="10">
        <f>BNVFE!S16</f>
        <v>3.4164219999999997E-3</v>
      </c>
      <c r="BE10" s="10">
        <f>BNVFE!T16</f>
        <v>3.420027E-3</v>
      </c>
      <c r="BF10" s="10">
        <f>BNVFE!U16</f>
        <v>3.4236369999999998E-3</v>
      </c>
      <c r="BG10" s="10">
        <f>BNVFE!V16</f>
        <v>3.4272499999999997E-3</v>
      </c>
      <c r="BH10" s="10">
        <f>BNVFE!W16</f>
        <v>3.4308670000000002E-3</v>
      </c>
      <c r="BI10" s="10">
        <f>BNVFE!X16</f>
        <v>3.4344879999999999E-3</v>
      </c>
      <c r="BJ10" s="10">
        <f>BNVFE!Y16</f>
        <v>3.438113E-3</v>
      </c>
      <c r="BK10" s="10">
        <f>BNVFE!Z16</f>
        <v>3.4417409999999999E-3</v>
      </c>
      <c r="BL10" s="10">
        <f>BNVFE!AA16</f>
        <v>3.4453729999999998E-3</v>
      </c>
      <c r="BM10" s="10">
        <f>BNVFE!AB16</f>
        <v>3.4490099999999997E-3</v>
      </c>
      <c r="BN10" s="10">
        <f>BNVFE!AC16</f>
        <v>3.4526489999999999E-3</v>
      </c>
      <c r="BO10" s="10">
        <f>BNVFE!AD16</f>
        <v>3.456293E-3</v>
      </c>
      <c r="BP10" s="10">
        <f>BNVFE!AE16</f>
        <v>3.4599410000000002E-3</v>
      </c>
      <c r="BQ10" s="10">
        <f>BNVFE!AF16</f>
        <v>3.4635930000000001E-3</v>
      </c>
      <c r="BR10" s="10">
        <f>BNVFE!AG16</f>
        <v>3.467248E-3</v>
      </c>
      <c r="BS10" s="10"/>
      <c r="BT10" s="4"/>
    </row>
    <row r="11" spans="1:72">
      <c r="A11" t="s">
        <v>17</v>
      </c>
      <c r="B11" t="s">
        <v>21</v>
      </c>
      <c r="C11" s="9"/>
      <c r="D11" s="9"/>
      <c r="E11" s="9"/>
      <c r="F11" s="9"/>
      <c r="G11" s="4">
        <f>TREND($AO11:$BR11,$AO$1:$BR$1,G$1)</f>
        <v>1.2594546332724645E-5</v>
      </c>
      <c r="H11" s="4">
        <f t="shared" si="8"/>
        <v>1.2594546332724645E-5</v>
      </c>
      <c r="I11" s="4">
        <f t="shared" si="8"/>
        <v>1.2594546332724645E-5</v>
      </c>
      <c r="J11" s="4">
        <f t="shared" si="8"/>
        <v>1.2594546332724645E-5</v>
      </c>
      <c r="K11" s="4">
        <f t="shared" si="8"/>
        <v>1.2594546332724645E-5</v>
      </c>
      <c r="L11" s="4">
        <f t="shared" si="8"/>
        <v>1.2594546332724645E-5</v>
      </c>
      <c r="M11" s="4">
        <f t="shared" si="8"/>
        <v>1.2594546332724645E-5</v>
      </c>
      <c r="N11" s="4">
        <f t="shared" si="8"/>
        <v>1.2594546332724645E-5</v>
      </c>
      <c r="O11" s="4">
        <f t="shared" si="8"/>
        <v>1.2594546332724645E-5</v>
      </c>
      <c r="P11" s="4">
        <f t="shared" si="8"/>
        <v>1.2594546332724645E-5</v>
      </c>
      <c r="Q11" s="4">
        <f t="shared" si="8"/>
        <v>1.2594546332724645E-5</v>
      </c>
      <c r="R11" s="4">
        <f t="shared" si="8"/>
        <v>1.2594546332724645E-5</v>
      </c>
      <c r="S11" s="4">
        <f t="shared" si="8"/>
        <v>1.2594546332724645E-5</v>
      </c>
      <c r="T11" s="4">
        <f t="shared" si="8"/>
        <v>1.2594546332724645E-5</v>
      </c>
      <c r="U11" s="4">
        <f t="shared" si="8"/>
        <v>1.2594546332724645E-5</v>
      </c>
      <c r="V11" s="4">
        <f t="shared" si="8"/>
        <v>1.2594546332724645E-5</v>
      </c>
      <c r="W11" s="4">
        <f t="shared" si="8"/>
        <v>1.2594546332724645E-5</v>
      </c>
      <c r="X11" s="4">
        <f t="shared" si="8"/>
        <v>1.2594546332724645E-5</v>
      </c>
      <c r="Y11" s="4">
        <f t="shared" si="8"/>
        <v>1.2594546332724645E-5</v>
      </c>
      <c r="Z11" s="4">
        <f t="shared" si="8"/>
        <v>1.2594546332724645E-5</v>
      </c>
      <c r="AA11" s="4">
        <f t="shared" si="8"/>
        <v>1.2594546332724645E-5</v>
      </c>
      <c r="AB11" s="4">
        <f t="shared" si="8"/>
        <v>1.2594546332724645E-5</v>
      </c>
      <c r="AC11" s="4">
        <f t="shared" si="8"/>
        <v>1.2594546332724645E-5</v>
      </c>
      <c r="AD11" s="4">
        <f t="shared" si="8"/>
        <v>1.2594546332724645E-5</v>
      </c>
      <c r="AE11" s="4">
        <f t="shared" si="8"/>
        <v>1.2594546332724645E-5</v>
      </c>
      <c r="AF11" s="4">
        <f t="shared" si="8"/>
        <v>1.2594546332724645E-5</v>
      </c>
      <c r="AG11" s="4">
        <f t="shared" si="8"/>
        <v>1.2594546332724645E-5</v>
      </c>
      <c r="AH11" s="4">
        <f t="shared" si="8"/>
        <v>1.2594546332724645E-5</v>
      </c>
      <c r="AI11" s="4">
        <f t="shared" si="8"/>
        <v>1.2594546332724645E-5</v>
      </c>
      <c r="AJ11" s="4">
        <f t="shared" si="8"/>
        <v>1.2594546332724645E-5</v>
      </c>
      <c r="AK11" s="4">
        <f t="shared" si="8"/>
        <v>1.2594546332724645E-5</v>
      </c>
      <c r="AL11" s="4">
        <f t="shared" si="8"/>
        <v>1.2594546332724645E-5</v>
      </c>
      <c r="AM11" s="4">
        <f t="shared" si="8"/>
        <v>1.2594546332724645E-5</v>
      </c>
      <c r="AN11" s="26">
        <f t="shared" si="8"/>
        <v>1.2594546332724645E-5</v>
      </c>
      <c r="AO11" s="10">
        <f>BNVFE!D17</f>
        <v>1.2594546332724645E-5</v>
      </c>
      <c r="AP11" s="10">
        <f>BNVFE!E17</f>
        <v>1.2594546332724645E-5</v>
      </c>
      <c r="AQ11" s="10">
        <f>BNVFE!F17</f>
        <v>1.2594546332724645E-5</v>
      </c>
      <c r="AR11" s="10">
        <f>BNVFE!G17</f>
        <v>1.2594546332724645E-5</v>
      </c>
      <c r="AS11" s="10">
        <f>BNVFE!H17</f>
        <v>1.2594546332724645E-5</v>
      </c>
      <c r="AT11" s="10">
        <f>BNVFE!I17</f>
        <v>1.2594546332724645E-5</v>
      </c>
      <c r="AU11" s="10">
        <f>BNVFE!J17</f>
        <v>1.2594546332724645E-5</v>
      </c>
      <c r="AV11" s="10">
        <f>BNVFE!K17</f>
        <v>1.2594546332724645E-5</v>
      </c>
      <c r="AW11" s="10">
        <f>BNVFE!L17</f>
        <v>1.2594546332724645E-5</v>
      </c>
      <c r="AX11" s="10">
        <f>BNVFE!M17</f>
        <v>1.2594546332724645E-5</v>
      </c>
      <c r="AY11" s="10">
        <f>BNVFE!N17</f>
        <v>1.2594546332724645E-5</v>
      </c>
      <c r="AZ11" s="10">
        <f>BNVFE!O17</f>
        <v>1.2594546332724645E-5</v>
      </c>
      <c r="BA11" s="10">
        <f>BNVFE!P17</f>
        <v>1.2594546332724645E-5</v>
      </c>
      <c r="BB11" s="10">
        <f>BNVFE!Q17</f>
        <v>1.2594546332724645E-5</v>
      </c>
      <c r="BC11" s="10">
        <f>BNVFE!R17</f>
        <v>1.2594546332724645E-5</v>
      </c>
      <c r="BD11" s="10">
        <f>BNVFE!S17</f>
        <v>1.2594546332724645E-5</v>
      </c>
      <c r="BE11" s="10">
        <f>BNVFE!T17</f>
        <v>1.2594546332724645E-5</v>
      </c>
      <c r="BF11" s="10">
        <f>BNVFE!U17</f>
        <v>1.2594546332724645E-5</v>
      </c>
      <c r="BG11" s="10">
        <f>BNVFE!V17</f>
        <v>1.2594546332724645E-5</v>
      </c>
      <c r="BH11" s="10">
        <f>BNVFE!W17</f>
        <v>1.2594546332724645E-5</v>
      </c>
      <c r="BI11" s="10">
        <f>BNVFE!X17</f>
        <v>1.2594546332724645E-5</v>
      </c>
      <c r="BJ11" s="10">
        <f>BNVFE!Y17</f>
        <v>1.2594546332724645E-5</v>
      </c>
      <c r="BK11" s="10">
        <f>BNVFE!Z17</f>
        <v>1.2594546332724645E-5</v>
      </c>
      <c r="BL11" s="10">
        <f>BNVFE!AA17</f>
        <v>1.2594546332724645E-5</v>
      </c>
      <c r="BM11" s="10">
        <f>BNVFE!AB17</f>
        <v>1.2594546332724645E-5</v>
      </c>
      <c r="BN11" s="10">
        <f>BNVFE!AC17</f>
        <v>1.2594546332724645E-5</v>
      </c>
      <c r="BO11" s="10">
        <f>BNVFE!AD17</f>
        <v>1.2594546332724645E-5</v>
      </c>
      <c r="BP11" s="10">
        <f>BNVFE!AE17</f>
        <v>1.2594546332724645E-5</v>
      </c>
      <c r="BQ11" s="10">
        <f>BNVFE!AF17</f>
        <v>1.2594546332724645E-5</v>
      </c>
      <c r="BR11" s="10">
        <f>BNVFE!AG17</f>
        <v>1.2594546332724645E-5</v>
      </c>
      <c r="BS11" s="10"/>
      <c r="BT11" s="4"/>
    </row>
    <row r="12" spans="1:72">
      <c r="A12" t="s">
        <v>17</v>
      </c>
      <c r="B12" t="s">
        <v>22</v>
      </c>
      <c r="C12" s="9"/>
      <c r="D12" s="9"/>
      <c r="E12" s="9"/>
      <c r="F12" s="9"/>
      <c r="G12" s="4">
        <f>TREND($AO12:$BR12,$AO$1:$BR$1,G$1)</f>
        <v>5.2454271866069317E-3</v>
      </c>
      <c r="H12" s="4">
        <f t="shared" si="8"/>
        <v>5.2454271866069317E-3</v>
      </c>
      <c r="I12" s="4">
        <f t="shared" si="8"/>
        <v>5.2454271866069317E-3</v>
      </c>
      <c r="J12" s="4">
        <f t="shared" si="8"/>
        <v>5.2454271866069317E-3</v>
      </c>
      <c r="K12" s="4">
        <f t="shared" si="8"/>
        <v>5.2454271866069317E-3</v>
      </c>
      <c r="L12" s="4">
        <f t="shared" si="8"/>
        <v>5.2454271866069317E-3</v>
      </c>
      <c r="M12" s="4">
        <f t="shared" si="8"/>
        <v>5.2454271866069317E-3</v>
      </c>
      <c r="N12" s="4">
        <f t="shared" si="8"/>
        <v>5.2454271866069317E-3</v>
      </c>
      <c r="O12" s="4">
        <f t="shared" si="8"/>
        <v>5.2454271866069317E-3</v>
      </c>
      <c r="P12" s="4">
        <f t="shared" si="8"/>
        <v>5.2454271866069317E-3</v>
      </c>
      <c r="Q12" s="4">
        <f t="shared" si="8"/>
        <v>5.2454271866069317E-3</v>
      </c>
      <c r="R12" s="4">
        <f t="shared" si="8"/>
        <v>5.2454271866069317E-3</v>
      </c>
      <c r="S12" s="4">
        <f t="shared" si="8"/>
        <v>5.2454271866069317E-3</v>
      </c>
      <c r="T12" s="4">
        <f t="shared" si="8"/>
        <v>5.2454271866069317E-3</v>
      </c>
      <c r="U12" s="4">
        <f t="shared" si="8"/>
        <v>5.2454271866069317E-3</v>
      </c>
      <c r="V12" s="4">
        <f t="shared" si="8"/>
        <v>5.2454271866069317E-3</v>
      </c>
      <c r="W12" s="4">
        <f t="shared" si="8"/>
        <v>5.2454271866069317E-3</v>
      </c>
      <c r="X12" s="4">
        <f t="shared" si="8"/>
        <v>5.2454271866069317E-3</v>
      </c>
      <c r="Y12" s="4">
        <f t="shared" si="8"/>
        <v>5.2454271866069317E-3</v>
      </c>
      <c r="Z12" s="4">
        <f t="shared" si="8"/>
        <v>5.2454271866069317E-3</v>
      </c>
      <c r="AA12" s="4">
        <f t="shared" si="8"/>
        <v>5.2454271866069317E-3</v>
      </c>
      <c r="AB12" s="4">
        <f t="shared" si="8"/>
        <v>5.2454271866069317E-3</v>
      </c>
      <c r="AC12" s="4">
        <f t="shared" si="8"/>
        <v>5.2454271866069317E-3</v>
      </c>
      <c r="AD12" s="4">
        <f t="shared" si="8"/>
        <v>5.2454271866069317E-3</v>
      </c>
      <c r="AE12" s="4">
        <f t="shared" si="8"/>
        <v>5.2454271866069317E-3</v>
      </c>
      <c r="AF12" s="4">
        <f t="shared" si="8"/>
        <v>5.2454271866069317E-3</v>
      </c>
      <c r="AG12" s="4">
        <f t="shared" si="8"/>
        <v>5.2454271866069317E-3</v>
      </c>
      <c r="AH12" s="4">
        <f t="shared" si="8"/>
        <v>5.2454271866069317E-3</v>
      </c>
      <c r="AI12" s="4">
        <f t="shared" si="8"/>
        <v>5.2454271866069317E-3</v>
      </c>
      <c r="AJ12" s="4">
        <f t="shared" si="8"/>
        <v>5.2454271866069317E-3</v>
      </c>
      <c r="AK12" s="4">
        <f t="shared" si="8"/>
        <v>5.2454271866069317E-3</v>
      </c>
      <c r="AL12" s="4">
        <f t="shared" si="8"/>
        <v>5.2454271866069317E-3</v>
      </c>
      <c r="AM12" s="4">
        <f t="shared" si="8"/>
        <v>5.2454271866069317E-3</v>
      </c>
      <c r="AN12" s="26">
        <f t="shared" si="8"/>
        <v>5.2454271866069317E-3</v>
      </c>
      <c r="AO12" s="10">
        <f>BNVFE!D18</f>
        <v>5.2454271866069326E-3</v>
      </c>
      <c r="AP12" s="10">
        <f>BNVFE!E18</f>
        <v>5.2454271866069326E-3</v>
      </c>
      <c r="AQ12" s="10">
        <f>BNVFE!F18</f>
        <v>5.2454271866069326E-3</v>
      </c>
      <c r="AR12" s="10">
        <f>BNVFE!G18</f>
        <v>5.2454271866069326E-3</v>
      </c>
      <c r="AS12" s="10">
        <f>BNVFE!H18</f>
        <v>5.2454271866069326E-3</v>
      </c>
      <c r="AT12" s="10">
        <f>BNVFE!I18</f>
        <v>5.2454271866069326E-3</v>
      </c>
      <c r="AU12" s="10">
        <f>BNVFE!J18</f>
        <v>5.2454271866069326E-3</v>
      </c>
      <c r="AV12" s="10">
        <f>BNVFE!K18</f>
        <v>5.2454271866069326E-3</v>
      </c>
      <c r="AW12" s="10">
        <f>BNVFE!L18</f>
        <v>5.2454271866069326E-3</v>
      </c>
      <c r="AX12" s="10">
        <f>BNVFE!M18</f>
        <v>5.2454271866069326E-3</v>
      </c>
      <c r="AY12" s="10">
        <f>BNVFE!N18</f>
        <v>5.2454271866069326E-3</v>
      </c>
      <c r="AZ12" s="10">
        <f>BNVFE!O18</f>
        <v>5.2454271866069326E-3</v>
      </c>
      <c r="BA12" s="10">
        <f>BNVFE!P18</f>
        <v>5.2454271866069326E-3</v>
      </c>
      <c r="BB12" s="10">
        <f>BNVFE!Q18</f>
        <v>5.2454271866069326E-3</v>
      </c>
      <c r="BC12" s="10">
        <f>BNVFE!R18</f>
        <v>5.2454271866069326E-3</v>
      </c>
      <c r="BD12" s="10">
        <f>BNVFE!S18</f>
        <v>5.2454271866069326E-3</v>
      </c>
      <c r="BE12" s="10">
        <f>BNVFE!T18</f>
        <v>5.2454271866069326E-3</v>
      </c>
      <c r="BF12" s="10">
        <f>BNVFE!U18</f>
        <v>5.2454271866069326E-3</v>
      </c>
      <c r="BG12" s="10">
        <f>BNVFE!V18</f>
        <v>5.2454271866069326E-3</v>
      </c>
      <c r="BH12" s="10">
        <f>BNVFE!W18</f>
        <v>5.2454271866069326E-3</v>
      </c>
      <c r="BI12" s="10">
        <f>BNVFE!X18</f>
        <v>5.2454271866069326E-3</v>
      </c>
      <c r="BJ12" s="10">
        <f>BNVFE!Y18</f>
        <v>5.2454271866069326E-3</v>
      </c>
      <c r="BK12" s="10">
        <f>BNVFE!Z18</f>
        <v>5.2454271866069326E-3</v>
      </c>
      <c r="BL12" s="10">
        <f>BNVFE!AA18</f>
        <v>5.2454271866069326E-3</v>
      </c>
      <c r="BM12" s="10">
        <f>BNVFE!AB18</f>
        <v>5.2454271866069326E-3</v>
      </c>
      <c r="BN12" s="10">
        <f>BNVFE!AC18</f>
        <v>5.2454271866069326E-3</v>
      </c>
      <c r="BO12" s="10">
        <f>BNVFE!AD18</f>
        <v>5.2454271866069326E-3</v>
      </c>
      <c r="BP12" s="10">
        <f>BNVFE!AE18</f>
        <v>5.2454271866069326E-3</v>
      </c>
      <c r="BQ12" s="10">
        <f>BNVFE!AF18</f>
        <v>5.2454271866069326E-3</v>
      </c>
      <c r="BR12" s="10">
        <f>BNVFE!AG18</f>
        <v>5.2454271866069326E-3</v>
      </c>
      <c r="BS12" s="10"/>
      <c r="BT12" s="4"/>
    </row>
    <row r="13" spans="1:72">
      <c r="A13" t="s">
        <v>18</v>
      </c>
      <c r="B13" t="s">
        <v>21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4">
        <f>TREND($AO13:$BR13,$AO$1:$BR$1,W$1)</f>
        <v>1.4345302324303025E-3</v>
      </c>
      <c r="X13" s="4">
        <f t="shared" si="8"/>
        <v>1.4345302324303025E-3</v>
      </c>
      <c r="Y13" s="4">
        <f t="shared" si="8"/>
        <v>1.4345302324303025E-3</v>
      </c>
      <c r="Z13" s="4">
        <f t="shared" si="8"/>
        <v>1.4345302324303025E-3</v>
      </c>
      <c r="AA13" s="4">
        <f t="shared" si="8"/>
        <v>1.4345302324303025E-3</v>
      </c>
      <c r="AB13" s="4">
        <f t="shared" si="8"/>
        <v>1.4345302324303025E-3</v>
      </c>
      <c r="AC13" s="4">
        <f t="shared" si="8"/>
        <v>1.4345302324303025E-3</v>
      </c>
      <c r="AD13" s="4">
        <f t="shared" si="8"/>
        <v>1.4345302324303025E-3</v>
      </c>
      <c r="AE13" s="4">
        <f t="shared" si="8"/>
        <v>1.4345302324303025E-3</v>
      </c>
      <c r="AF13" s="4">
        <f t="shared" si="8"/>
        <v>1.4345302324303025E-3</v>
      </c>
      <c r="AG13" s="4">
        <f t="shared" si="8"/>
        <v>1.4345302324303025E-3</v>
      </c>
      <c r="AH13" s="4">
        <f t="shared" si="8"/>
        <v>1.4345302324303025E-3</v>
      </c>
      <c r="AI13" s="4">
        <f t="shared" si="8"/>
        <v>1.4345302324303025E-3</v>
      </c>
      <c r="AJ13" s="4">
        <f t="shared" si="8"/>
        <v>1.4345302324303025E-3</v>
      </c>
      <c r="AK13" s="4">
        <f t="shared" si="8"/>
        <v>1.4345302324303025E-3</v>
      </c>
      <c r="AL13" s="4">
        <f t="shared" si="8"/>
        <v>1.4345302324303025E-3</v>
      </c>
      <c r="AM13" s="4">
        <f t="shared" si="8"/>
        <v>1.4345302324303025E-3</v>
      </c>
      <c r="AN13" s="26">
        <f t="shared" si="8"/>
        <v>1.4345302324303025E-3</v>
      </c>
      <c r="AO13" s="10">
        <f>BNVFE!D19</f>
        <v>1.4345302324303027E-3</v>
      </c>
      <c r="AP13" s="10">
        <f>BNVFE!E19</f>
        <v>1.4345302324303027E-3</v>
      </c>
      <c r="AQ13" s="10">
        <f>BNVFE!F19</f>
        <v>1.4345302324303027E-3</v>
      </c>
      <c r="AR13" s="10">
        <f>BNVFE!G19</f>
        <v>1.4345302324303027E-3</v>
      </c>
      <c r="AS13" s="10">
        <f>BNVFE!H19</f>
        <v>1.4345302324303027E-3</v>
      </c>
      <c r="AT13" s="10">
        <f>BNVFE!I19</f>
        <v>1.4345302324303027E-3</v>
      </c>
      <c r="AU13" s="10">
        <f>BNVFE!J19</f>
        <v>1.4345302324303027E-3</v>
      </c>
      <c r="AV13" s="10">
        <f>BNVFE!K19</f>
        <v>1.4345302324303027E-3</v>
      </c>
      <c r="AW13" s="10">
        <f>BNVFE!L19</f>
        <v>1.4345302324303027E-3</v>
      </c>
      <c r="AX13" s="10">
        <f>BNVFE!M19</f>
        <v>1.4345302324303027E-3</v>
      </c>
      <c r="AY13" s="10">
        <f>BNVFE!N19</f>
        <v>1.4345302324303027E-3</v>
      </c>
      <c r="AZ13" s="10">
        <f>BNVFE!O19</f>
        <v>1.4345302324303027E-3</v>
      </c>
      <c r="BA13" s="10">
        <f>BNVFE!P19</f>
        <v>1.4345302324303027E-3</v>
      </c>
      <c r="BB13" s="10">
        <f>BNVFE!Q19</f>
        <v>1.4345302324303027E-3</v>
      </c>
      <c r="BC13" s="10">
        <f>BNVFE!R19</f>
        <v>1.4345302324303027E-3</v>
      </c>
      <c r="BD13" s="10">
        <f>BNVFE!S19</f>
        <v>1.4345302324303027E-3</v>
      </c>
      <c r="BE13" s="10">
        <f>BNVFE!T19</f>
        <v>1.4345302324303027E-3</v>
      </c>
      <c r="BF13" s="10">
        <f>BNVFE!U19</f>
        <v>1.4345302324303027E-3</v>
      </c>
      <c r="BG13" s="10">
        <f>BNVFE!V19</f>
        <v>1.4345302324303027E-3</v>
      </c>
      <c r="BH13" s="10">
        <f>BNVFE!W19</f>
        <v>1.4345302324303027E-3</v>
      </c>
      <c r="BI13" s="10">
        <f>BNVFE!X19</f>
        <v>1.4345302324303027E-3</v>
      </c>
      <c r="BJ13" s="10">
        <f>BNVFE!Y19</f>
        <v>1.4345302324303027E-3</v>
      </c>
      <c r="BK13" s="10">
        <f>BNVFE!Z19</f>
        <v>1.4345302324303027E-3</v>
      </c>
      <c r="BL13" s="10">
        <f>BNVFE!AA19</f>
        <v>1.4345302324303027E-3</v>
      </c>
      <c r="BM13" s="10">
        <f>BNVFE!AB19</f>
        <v>1.4345302324303027E-3</v>
      </c>
      <c r="BN13" s="10">
        <f>BNVFE!AC19</f>
        <v>1.4345302324303027E-3</v>
      </c>
      <c r="BO13" s="10">
        <f>BNVFE!AD19</f>
        <v>1.4345302324303027E-3</v>
      </c>
      <c r="BP13" s="10">
        <f>BNVFE!AE19</f>
        <v>1.4345302324303027E-3</v>
      </c>
      <c r="BQ13" s="10">
        <f>BNVFE!AF19</f>
        <v>1.4345302324303027E-3</v>
      </c>
      <c r="BR13" s="10">
        <f>BNVFE!AG19</f>
        <v>1.4345302324303027E-3</v>
      </c>
      <c r="BS13" s="10"/>
      <c r="BT13" s="4"/>
    </row>
    <row r="14" spans="1:72">
      <c r="A14" t="s">
        <v>18</v>
      </c>
      <c r="B14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>
        <f t="shared" ref="W14:AM14" si="9">$AO14</f>
        <v>0</v>
      </c>
      <c r="X14">
        <f t="shared" si="9"/>
        <v>0</v>
      </c>
      <c r="Y14">
        <f t="shared" si="9"/>
        <v>0</v>
      </c>
      <c r="Z14">
        <f t="shared" si="9"/>
        <v>0</v>
      </c>
      <c r="AA14">
        <f t="shared" si="9"/>
        <v>0</v>
      </c>
      <c r="AB14">
        <f t="shared" si="9"/>
        <v>0</v>
      </c>
      <c r="AC14">
        <f t="shared" si="9"/>
        <v>0</v>
      </c>
      <c r="AD14">
        <f t="shared" si="9"/>
        <v>0</v>
      </c>
      <c r="AE14">
        <f t="shared" si="9"/>
        <v>0</v>
      </c>
      <c r="AF14">
        <f t="shared" si="9"/>
        <v>0</v>
      </c>
      <c r="AG14">
        <f t="shared" si="9"/>
        <v>0</v>
      </c>
      <c r="AH14">
        <f t="shared" si="9"/>
        <v>0</v>
      </c>
      <c r="AI14">
        <f t="shared" si="9"/>
        <v>0</v>
      </c>
      <c r="AJ14">
        <f t="shared" si="9"/>
        <v>0</v>
      </c>
      <c r="AK14" s="20">
        <f t="shared" si="9"/>
        <v>0</v>
      </c>
      <c r="AL14" s="20">
        <f t="shared" si="9"/>
        <v>0</v>
      </c>
      <c r="AM14" s="20">
        <f t="shared" si="9"/>
        <v>0</v>
      </c>
      <c r="AN14" s="28">
        <f>$AO14</f>
        <v>0</v>
      </c>
      <c r="AO14" s="11">
        <f>BNVFE!D20</f>
        <v>0</v>
      </c>
      <c r="AP14" s="11">
        <f>BNVFE!E20</f>
        <v>0</v>
      </c>
      <c r="AQ14" s="11">
        <f>BNVFE!F20</f>
        <v>0</v>
      </c>
      <c r="AR14" s="11">
        <f>BNVFE!G20</f>
        <v>0</v>
      </c>
      <c r="AS14" s="11">
        <f>BNVFE!H20</f>
        <v>0</v>
      </c>
      <c r="AT14" s="11">
        <f>BNVFE!I20</f>
        <v>0</v>
      </c>
      <c r="AU14" s="11">
        <f>BNVFE!J20</f>
        <v>0</v>
      </c>
      <c r="AV14" s="11">
        <f>BNVFE!K20</f>
        <v>0</v>
      </c>
      <c r="AW14" s="11">
        <f>BNVFE!L20</f>
        <v>0</v>
      </c>
      <c r="AX14" s="11">
        <f>BNVFE!M20</f>
        <v>0</v>
      </c>
      <c r="AY14" s="11">
        <f>BNVFE!N20</f>
        <v>0</v>
      </c>
      <c r="AZ14" s="11">
        <f>BNVFE!O20</f>
        <v>0</v>
      </c>
      <c r="BA14" s="11">
        <f>BNVFE!P20</f>
        <v>0</v>
      </c>
      <c r="BB14" s="11">
        <f>BNVFE!Q20</f>
        <v>0</v>
      </c>
      <c r="BC14" s="11">
        <f>BNVFE!R20</f>
        <v>0</v>
      </c>
      <c r="BD14" s="11">
        <f>BNVFE!S20</f>
        <v>0</v>
      </c>
      <c r="BE14" s="11">
        <f>BNVFE!T20</f>
        <v>0</v>
      </c>
      <c r="BF14" s="11">
        <f>BNVFE!U20</f>
        <v>0</v>
      </c>
      <c r="BG14" s="11">
        <f>BNVFE!V20</f>
        <v>0</v>
      </c>
      <c r="BH14" s="11">
        <f>BNVFE!W20</f>
        <v>0</v>
      </c>
      <c r="BI14" s="11">
        <f>BNVFE!X20</f>
        <v>0</v>
      </c>
      <c r="BJ14" s="11">
        <f>BNVFE!Y20</f>
        <v>0</v>
      </c>
      <c r="BK14" s="11">
        <f>BNVFE!Z20</f>
        <v>0</v>
      </c>
      <c r="BL14" s="11">
        <f>BNVFE!AA20</f>
        <v>0</v>
      </c>
      <c r="BM14" s="11">
        <f>BNVFE!AB20</f>
        <v>0</v>
      </c>
      <c r="BN14" s="11">
        <f>BNVFE!AC20</f>
        <v>0</v>
      </c>
      <c r="BO14" s="11">
        <f>BNVFE!AD20</f>
        <v>0</v>
      </c>
      <c r="BP14" s="11">
        <f>BNVFE!AE20</f>
        <v>0</v>
      </c>
      <c r="BQ14" s="11">
        <f>BNVFE!AF20</f>
        <v>0</v>
      </c>
      <c r="BR14" s="11">
        <f>BNVFE!AG20</f>
        <v>0</v>
      </c>
      <c r="BS14" s="11"/>
    </row>
    <row r="15" spans="1:72">
      <c r="E15" s="22"/>
      <c r="X15" s="4"/>
      <c r="AH15" s="4"/>
      <c r="AN15" s="2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H10"/>
  <sheetViews>
    <sheetView workbookViewId="0">
      <selection activeCell="C4" sqref="C4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SYFAFE!$B$2</f>
        <v>1.3018081401348375E-3</v>
      </c>
      <c r="C2" s="4">
        <f>SYFAFE!$B$2</f>
        <v>1.3018081401348375E-3</v>
      </c>
      <c r="D2" s="4">
        <f>SYFAFE!$B$2</f>
        <v>1.3018081401348375E-3</v>
      </c>
      <c r="E2" s="4">
        <f>SYFAFE!$B$2</f>
        <v>1.3018081401348375E-3</v>
      </c>
      <c r="F2" s="4">
        <f>SYFAFE!$B$2</f>
        <v>1.3018081401348375E-3</v>
      </c>
      <c r="G2" s="4">
        <f>SYFAFE!$B$2</f>
        <v>1.3018081401348375E-3</v>
      </c>
      <c r="H2" s="4">
        <f>SYFAFE!$B$2</f>
        <v>1.3018081401348375E-3</v>
      </c>
      <c r="I2" s="4">
        <f>SYFAFE!$B$2</f>
        <v>1.3018081401348375E-3</v>
      </c>
      <c r="J2" s="4">
        <f>SYFAFE!$B$2</f>
        <v>1.3018081401348375E-3</v>
      </c>
      <c r="K2" s="4">
        <f>SYFAFE!$B$2</f>
        <v>1.3018081401348375E-3</v>
      </c>
      <c r="L2" s="4">
        <f>SYFAFE!$B$2</f>
        <v>1.3018081401348375E-3</v>
      </c>
      <c r="M2" s="4">
        <f>SYFAFE!$B$2</f>
        <v>1.3018081401348375E-3</v>
      </c>
      <c r="N2" s="4">
        <f>SYFAFE!$B$2</f>
        <v>1.3018081401348375E-3</v>
      </c>
      <c r="O2" s="4">
        <f>SYFAFE!$B$2</f>
        <v>1.3018081401348375E-3</v>
      </c>
      <c r="P2" s="4">
        <f>SYFAFE!$B$2</f>
        <v>1.3018081401348375E-3</v>
      </c>
      <c r="Q2" s="4">
        <f>SYFAFE!$B$2</f>
        <v>1.3018081401348375E-3</v>
      </c>
      <c r="R2" s="4">
        <f>SYFAFE!$B$2</f>
        <v>1.3018081401348375E-3</v>
      </c>
      <c r="S2" s="4">
        <f>SYFAFE!$B$2</f>
        <v>1.3018081401348375E-3</v>
      </c>
      <c r="T2" s="4">
        <f>SYFAFE!$B$2</f>
        <v>1.3018081401348375E-3</v>
      </c>
      <c r="U2" s="4">
        <f>SYFAFE!$B$2</f>
        <v>1.3018081401348375E-3</v>
      </c>
      <c r="V2" s="4">
        <f>SYFAFE!$B$2</f>
        <v>1.3018081401348375E-3</v>
      </c>
      <c r="W2" s="4">
        <f>SYFAFE!$B$2</f>
        <v>1.3018081401348375E-3</v>
      </c>
      <c r="X2" s="4">
        <f>SYFAFE!$B$2</f>
        <v>1.3018081401348375E-3</v>
      </c>
      <c r="Y2" s="4">
        <f>SYFAFE!$B$2</f>
        <v>1.3018081401348375E-3</v>
      </c>
      <c r="Z2" s="4">
        <f>SYFAFE!$B$2</f>
        <v>1.3018081401348375E-3</v>
      </c>
      <c r="AA2" s="4">
        <f>SYFAFE!$B$2</f>
        <v>1.3018081401348375E-3</v>
      </c>
      <c r="AB2" s="4">
        <f>SYFAFE!$B$2</f>
        <v>1.3018081401348375E-3</v>
      </c>
      <c r="AC2" s="4">
        <f>SYFAFE!$B$2</f>
        <v>1.3018081401348375E-3</v>
      </c>
      <c r="AD2" s="4">
        <f>SYFAFE!$B$2</f>
        <v>1.3018081401348375E-3</v>
      </c>
      <c r="AE2" s="4">
        <f>SYFAFE!$B$2</f>
        <v>1.3018081401348375E-3</v>
      </c>
      <c r="AG2" s="4"/>
      <c r="AH2" s="4"/>
    </row>
    <row r="3" spans="1:34">
      <c r="A3" t="s">
        <v>3</v>
      </c>
      <c r="B3" s="4">
        <f>BNVFE!B25*('BHNVFEAL-LDVs-psgr'!B$4/BNVFE!B$26)</f>
        <v>3.6512977295439592E-4</v>
      </c>
      <c r="C3" s="4">
        <f>BNVFE!C25*('BHNVFEAL-LDVs-psgr'!C$4/BNVFE!C$26)</f>
        <v>3.5474795033263841E-4</v>
      </c>
      <c r="D3" s="4">
        <f>BNVFE!D25*('BHNVFEAL-LDVs-psgr'!D$4/BNVFE!D$26)</f>
        <v>3.5999582362156076E-4</v>
      </c>
      <c r="E3" s="4">
        <f>BNVFE!E25*('BHNVFEAL-LDVs-psgr'!E$4/BNVFE!E$26)</f>
        <v>3.575411527957111E-4</v>
      </c>
      <c r="F3" s="4">
        <f>BNVFE!F25*('BHNVFEAL-LDVs-psgr'!F$4/BNVFE!F$26)</f>
        <v>3.5098955393113139E-4</v>
      </c>
      <c r="G3" s="4">
        <f>BNVFE!G25*('BHNVFEAL-LDVs-psgr'!G$4/BNVFE!G$26)</f>
        <v>3.2529070551256162E-4</v>
      </c>
      <c r="H3" s="4">
        <f>BNVFE!H25*('BHNVFEAL-LDVs-psgr'!H$4/BNVFE!H$26)</f>
        <v>3.2405957424546739E-4</v>
      </c>
      <c r="I3" s="4">
        <f>BNVFE!I25*('BHNVFEAL-LDVs-psgr'!I$4/BNVFE!I$26)</f>
        <v>3.2305318872919765E-4</v>
      </c>
      <c r="J3" s="4">
        <f>BNVFE!J25*('BHNVFEAL-LDVs-psgr'!J$4/BNVFE!J$26)</f>
        <v>3.2314699001954232E-4</v>
      </c>
      <c r="K3" s="4">
        <f>BNVFE!K25*('BHNVFEAL-LDVs-psgr'!K$4/BNVFE!K$26)</f>
        <v>3.2324770853401079E-4</v>
      </c>
      <c r="L3" s="4">
        <f>BNVFE!L25*('BHNVFEAL-LDVs-psgr'!L$4/BNVFE!L$26)</f>
        <v>3.2427274517001246E-4</v>
      </c>
      <c r="M3" s="4">
        <f>BNVFE!M25*('BHNVFEAL-LDVs-psgr'!M$4/BNVFE!M$26)</f>
        <v>3.2437797979064292E-4</v>
      </c>
      <c r="N3" s="4">
        <f>BNVFE!N25*('BHNVFEAL-LDVs-psgr'!N$4/BNVFE!N$26)</f>
        <v>3.2523361399085606E-4</v>
      </c>
      <c r="O3" s="4">
        <f>BNVFE!O25*('BHNVFEAL-LDVs-psgr'!O$4/BNVFE!O$26)</f>
        <v>3.2615971146515569E-4</v>
      </c>
      <c r="P3" s="4">
        <f>BNVFE!P25*('BHNVFEAL-LDVs-psgr'!P$4/BNVFE!P$26)</f>
        <v>3.3177243986842866E-4</v>
      </c>
      <c r="Q3" s="4">
        <f>BNVFE!Q25*('BHNVFEAL-LDVs-psgr'!Q$4/BNVFE!Q$26)</f>
        <v>3.3631690935380739E-4</v>
      </c>
      <c r="R3" s="4">
        <f>BNVFE!R25*('BHNVFEAL-LDVs-psgr'!R$4/BNVFE!R$26)</f>
        <v>3.4057057772530629E-4</v>
      </c>
      <c r="S3" s="4">
        <f>BNVFE!S25*('BHNVFEAL-LDVs-psgr'!S$4/BNVFE!S$26)</f>
        <v>3.5254040910253097E-4</v>
      </c>
      <c r="T3" s="4">
        <f>BNVFE!T25*('BHNVFEAL-LDVs-psgr'!T$4/BNVFE!T$26)</f>
        <v>3.5622167214823523E-4</v>
      </c>
      <c r="U3" s="4">
        <f>BNVFE!U25*('BHNVFEAL-LDVs-psgr'!U$4/BNVFE!U$26)</f>
        <v>3.5932586621187509E-4</v>
      </c>
      <c r="V3" s="4">
        <f>BNVFE!V25*('BHNVFEAL-LDVs-psgr'!V$4/BNVFE!V$26)</f>
        <v>3.6998069835868409E-4</v>
      </c>
      <c r="W3" s="4">
        <f>BNVFE!W25*('BHNVFEAL-LDVs-psgr'!W$4/BNVFE!W$26)</f>
        <v>3.7043547142435307E-4</v>
      </c>
      <c r="X3" s="4">
        <f>BNVFE!X25*('BHNVFEAL-LDVs-psgr'!X$4/BNVFE!X$26)</f>
        <v>3.7063277045978053E-4</v>
      </c>
      <c r="Y3" s="4">
        <f>BNVFE!Y25*('BHNVFEAL-LDVs-psgr'!Y$4/BNVFE!Y$26)</f>
        <v>3.7027223527136152E-4</v>
      </c>
      <c r="Z3" s="4">
        <f>BNVFE!Z25*('BHNVFEAL-LDVs-psgr'!Z$4/BNVFE!Z$26)</f>
        <v>3.707899458345789E-4</v>
      </c>
      <c r="AA3" s="4">
        <f>BNVFE!AA25*('BHNVFEAL-LDVs-psgr'!AA$4/BNVFE!AA$26)</f>
        <v>3.6942231456915355E-4</v>
      </c>
      <c r="AB3" s="4">
        <f>BNVFE!AB25*('BHNVFEAL-LDVs-psgr'!AB$4/BNVFE!AB$26)</f>
        <v>3.7062339495815715E-4</v>
      </c>
      <c r="AC3" s="4">
        <f>BNVFE!AC25*('BHNVFEAL-LDVs-psgr'!AC$4/BNVFE!AC$26)</f>
        <v>3.7138471662628673E-4</v>
      </c>
      <c r="AD3" s="4">
        <f>BNVFE!AD25*('BHNVFEAL-LDVs-psgr'!AD$4/BNVFE!AD$26)</f>
        <v>3.7275932113182964E-4</v>
      </c>
      <c r="AE3" s="4">
        <f>BNVFE!AE25*('BHNVFEAL-LDVs-psgr'!AE$4/BNVFE!AE$26)</f>
        <v>3.7333739446942469E-4</v>
      </c>
      <c r="AG3" s="4"/>
      <c r="AH3" s="4"/>
    </row>
    <row r="4" spans="1:34">
      <c r="A4" t="s">
        <v>4</v>
      </c>
      <c r="B4" s="4">
        <f>Extrapolations!AB2</f>
        <v>3.170827862483609E-4</v>
      </c>
      <c r="C4" s="4">
        <f>Extrapolations!AC2</f>
        <v>3.199157108645295E-4</v>
      </c>
      <c r="D4" s="4">
        <f>Extrapolations!AD2</f>
        <v>3.227486354806981E-4</v>
      </c>
      <c r="E4" s="4">
        <f>Extrapolations!AE2</f>
        <v>3.255815600968667E-4</v>
      </c>
      <c r="F4" s="4">
        <f>Extrapolations!AF2</f>
        <v>3.284144847130353E-4</v>
      </c>
      <c r="G4" s="4">
        <f>Extrapolations!AG2</f>
        <v>3.312474093292039E-4</v>
      </c>
      <c r="H4" s="4">
        <f>Extrapolations!AH2</f>
        <v>3.3408033394537249E-4</v>
      </c>
      <c r="I4" s="4">
        <f>Extrapolations!AI2</f>
        <v>3.3691325856154109E-4</v>
      </c>
      <c r="J4" s="4">
        <f>Extrapolations!AJ2</f>
        <v>3.3974618317770969E-4</v>
      </c>
      <c r="K4" s="4">
        <f>Extrapolations!AK2</f>
        <v>3.4257910779387829E-4</v>
      </c>
      <c r="L4" s="4">
        <f>Extrapolations!AL2</f>
        <v>3.4541203241004689E-4</v>
      </c>
      <c r="M4" s="4">
        <f>Extrapolations!AM2</f>
        <v>3.4824495702621549E-4</v>
      </c>
      <c r="N4" s="4">
        <f>Extrapolations!AN2</f>
        <v>3.5107788164238408E-4</v>
      </c>
      <c r="O4" s="4">
        <f>Extrapolations!AO2</f>
        <v>3.5391080625855263E-4</v>
      </c>
      <c r="P4" s="4">
        <f>Extrapolations!AP2</f>
        <v>3.6152338546126896E-4</v>
      </c>
      <c r="Q4" s="4">
        <f>Extrapolations!AQ2</f>
        <v>3.6806778318324615E-4</v>
      </c>
      <c r="R4" s="4">
        <f>Extrapolations!AR2</f>
        <v>3.7326311577328699E-4</v>
      </c>
      <c r="S4" s="4">
        <f>Extrapolations!AS2</f>
        <v>3.8684273091170592E-4</v>
      </c>
      <c r="T4" s="4">
        <f>Extrapolations!AT2</f>
        <v>3.9133628030331842E-4</v>
      </c>
      <c r="U4" s="4">
        <f>Extrapolations!AU2</f>
        <v>3.9460271712590122E-4</v>
      </c>
      <c r="V4" s="4">
        <f>Extrapolations!AV2</f>
        <v>4.0654622240144441E-4</v>
      </c>
      <c r="W4" s="4">
        <f>Extrapolations!AW2</f>
        <v>4.0753465089361259E-4</v>
      </c>
      <c r="X4" s="4">
        <f>Extrapolations!AX2</f>
        <v>4.0771889354095417E-4</v>
      </c>
      <c r="Y4" s="4">
        <f>Extrapolations!AY2</f>
        <v>4.0791884576015625E-4</v>
      </c>
      <c r="Z4" s="4">
        <f>Extrapolations!AZ2</f>
        <v>4.0852284515353123E-4</v>
      </c>
      <c r="AA4" s="4">
        <f>Extrapolations!BA2</f>
        <v>4.09583671112226E-4</v>
      </c>
      <c r="AB4" s="4">
        <f>Extrapolations!BB2</f>
        <v>4.1078673798239525E-4</v>
      </c>
      <c r="AC4" s="4">
        <f>Extrapolations!BC2</f>
        <v>4.122748024320864E-4</v>
      </c>
      <c r="AD4" s="4">
        <f>Extrapolations!BD2</f>
        <v>4.1373149805260076E-4</v>
      </c>
      <c r="AE4" s="4">
        <f>Extrapolations!BE2</f>
        <v>4.1495700440447459E-4</v>
      </c>
      <c r="AG4" s="4"/>
      <c r="AH4" s="4"/>
    </row>
    <row r="5" spans="1:34">
      <c r="A5" t="s">
        <v>5</v>
      </c>
      <c r="B5" s="4">
        <f>BNVFE!B27*('BHNVFEAL-LDVs-psgr'!B$4/BNVFE!B$26)</f>
        <v>3.5658241110255779E-4</v>
      </c>
      <c r="C5" s="4">
        <f>BNVFE!C27*('BHNVFEAL-LDVs-psgr'!C$4/BNVFE!C$26)</f>
        <v>3.546826203139623E-4</v>
      </c>
      <c r="D5" s="4">
        <f>BNVFE!D27*('BHNVFEAL-LDVs-psgr'!D$4/BNVFE!D$26)</f>
        <v>3.5321445226457391E-4</v>
      </c>
      <c r="E5" s="4">
        <f>BNVFE!E27*('BHNVFEAL-LDVs-psgr'!E$4/BNVFE!E$26)</f>
        <v>3.524765095404888E-4</v>
      </c>
      <c r="F5" s="4">
        <f>BNVFE!F27*('BHNVFEAL-LDVs-psgr'!F$4/BNVFE!F$26)</f>
        <v>3.4444165282567749E-4</v>
      </c>
      <c r="G5" s="4">
        <f>BNVFE!G27*('BHNVFEAL-LDVs-psgr'!G$4/BNVFE!G$26)</f>
        <v>3.1958904086234162E-4</v>
      </c>
      <c r="H5" s="4">
        <f>BNVFE!H27*('BHNVFEAL-LDVs-psgr'!H$4/BNVFE!H$26)</f>
        <v>3.1833343353394986E-4</v>
      </c>
      <c r="I5" s="4">
        <f>BNVFE!I27*('BHNVFEAL-LDVs-psgr'!I$4/BNVFE!I$26)</f>
        <v>3.1412412398046098E-4</v>
      </c>
      <c r="J5" s="4">
        <f>BNVFE!J27*('BHNVFEAL-LDVs-psgr'!J$4/BNVFE!J$26)</f>
        <v>3.1380528787726191E-4</v>
      </c>
      <c r="K5" s="4">
        <f>BNVFE!K27*('BHNVFEAL-LDVs-psgr'!K$4/BNVFE!K$26)</f>
        <v>3.1412454613579944E-4</v>
      </c>
      <c r="L5" s="4">
        <f>BNVFE!L27*('BHNVFEAL-LDVs-psgr'!L$4/BNVFE!L$26)</f>
        <v>3.1593684912226372E-4</v>
      </c>
      <c r="M5" s="4">
        <f>BNVFE!M27*('BHNVFEAL-LDVs-psgr'!M$4/BNVFE!M$26)</f>
        <v>3.1696816235110396E-4</v>
      </c>
      <c r="N5" s="4">
        <f>BNVFE!N27*('BHNVFEAL-LDVs-psgr'!N$4/BNVFE!N$26)</f>
        <v>3.1872195023581305E-4</v>
      </c>
      <c r="O5" s="4">
        <f>BNVFE!O27*('BHNVFEAL-LDVs-psgr'!O$4/BNVFE!O$26)</f>
        <v>3.204519818383183E-4</v>
      </c>
      <c r="P5" s="4">
        <f>BNVFE!P27*('BHNVFEAL-LDVs-psgr'!P$4/BNVFE!P$26)</f>
        <v>3.2661274550379422E-4</v>
      </c>
      <c r="Q5" s="4">
        <f>BNVFE!Q27*('BHNVFEAL-LDVs-psgr'!Q$4/BNVFE!Q$26)</f>
        <v>3.3159751139569607E-4</v>
      </c>
      <c r="R5" s="4">
        <f>BNVFE!R27*('BHNVFEAL-LDVs-psgr'!R$4/BNVFE!R$26)</f>
        <v>3.3626742360268452E-4</v>
      </c>
      <c r="S5" s="4">
        <f>BNVFE!S27*('BHNVFEAL-LDVs-psgr'!S$4/BNVFE!S$26)</f>
        <v>3.4855286672866461E-4</v>
      </c>
      <c r="T5" s="4">
        <f>BNVFE!T27*('BHNVFEAL-LDVs-psgr'!T$4/BNVFE!T$26)</f>
        <v>3.5224997356011041E-4</v>
      </c>
      <c r="U5" s="4">
        <f>BNVFE!U27*('BHNVFEAL-LDVs-psgr'!U$4/BNVFE!U$26)</f>
        <v>3.5572055564458207E-4</v>
      </c>
      <c r="V5" s="4">
        <f>BNVFE!V27*('BHNVFEAL-LDVs-psgr'!V$4/BNVFE!V$26)</f>
        <v>3.6666645963201293E-4</v>
      </c>
      <c r="W5" s="4">
        <f>BNVFE!W27*('BHNVFEAL-LDVs-psgr'!W$4/BNVFE!W$26)</f>
        <v>3.6745317163350868E-4</v>
      </c>
      <c r="X5" s="4">
        <f>BNVFE!X27*('BHNVFEAL-LDVs-psgr'!X$4/BNVFE!X$26)</f>
        <v>3.6812816732604984E-4</v>
      </c>
      <c r="Y5" s="4">
        <f>BNVFE!Y27*('BHNVFEAL-LDVs-psgr'!Y$4/BNVFE!Y$26)</f>
        <v>3.6829543482855682E-4</v>
      </c>
      <c r="Z5" s="4">
        <f>BNVFE!Z27*('BHNVFEAL-LDVs-psgr'!Z$4/BNVFE!Z$26)</f>
        <v>3.6916794586512564E-4</v>
      </c>
      <c r="AA5" s="4">
        <f>BNVFE!AA27*('BHNVFEAL-LDVs-psgr'!AA$4/BNVFE!AA$26)</f>
        <v>3.6836027015493497E-4</v>
      </c>
      <c r="AB5" s="4">
        <f>BNVFE!AB27*('BHNVFEAL-LDVs-psgr'!AB$4/BNVFE!AB$26)</f>
        <v>3.6989680254038607E-4</v>
      </c>
      <c r="AC5" s="4">
        <f>BNVFE!AC27*('BHNVFEAL-LDVs-psgr'!AC$4/BNVFE!AC$26)</f>
        <v>3.7101492304657024E-4</v>
      </c>
      <c r="AD5" s="4">
        <f>BNVFE!AD27*('BHNVFEAL-LDVs-psgr'!AD$4/BNVFE!AD$26)</f>
        <v>3.7218016517873024E-4</v>
      </c>
      <c r="AE5" s="4">
        <f>BNVFE!AE27*('BHNVFEAL-LDVs-psgr'!AE$4/BNVFE!AE$26)</f>
        <v>3.7301391239035468E-4</v>
      </c>
      <c r="AG5" s="4"/>
      <c r="AH5" s="4"/>
    </row>
    <row r="6" spans="1:34">
      <c r="A6" t="s">
        <v>6</v>
      </c>
      <c r="B6" s="4">
        <f>BNVFE!B28*('BHNVFEAL-LDVs-psgr'!B$4/BNVFE!B$26)</f>
        <v>5.7733679111085859E-4</v>
      </c>
      <c r="C6" s="4">
        <f>BNVFE!C28*('BHNVFEAL-LDVs-psgr'!C$4/BNVFE!C$26)</f>
        <v>5.1624349374592988E-4</v>
      </c>
      <c r="D6" s="4">
        <f>BNVFE!D28*('BHNVFEAL-LDVs-psgr'!D$4/BNVFE!D$26)</f>
        <v>5.0741882465691354E-4</v>
      </c>
      <c r="E6" s="4">
        <f>BNVFE!E28*('BHNVFEAL-LDVs-psgr'!E$4/BNVFE!E$26)</f>
        <v>5.1345781970387209E-4</v>
      </c>
      <c r="F6" s="4">
        <f>BNVFE!F28*('BHNVFEAL-LDVs-psgr'!F$4/BNVFE!F$26)</f>
        <v>5.0721121114026969E-4</v>
      </c>
      <c r="G6" s="4">
        <f>BNVFE!G28*('BHNVFEAL-LDVs-psgr'!G$4/BNVFE!G$26)</f>
        <v>4.7306733810797443E-4</v>
      </c>
      <c r="H6" s="4">
        <f>BNVFE!H28*('BHNVFEAL-LDVs-psgr'!H$4/BNVFE!H$26)</f>
        <v>4.7481949081841583E-4</v>
      </c>
      <c r="I6" s="4">
        <f>BNVFE!I28*('BHNVFEAL-LDVs-psgr'!I$4/BNVFE!I$26)</f>
        <v>4.7320913259414843E-4</v>
      </c>
      <c r="J6" s="4">
        <f>BNVFE!J28*('BHNVFEAL-LDVs-psgr'!J$4/BNVFE!J$26)</f>
        <v>4.7463592657213656E-4</v>
      </c>
      <c r="K6" s="4">
        <f>BNVFE!K28*('BHNVFEAL-LDVs-psgr'!K$4/BNVFE!K$26)</f>
        <v>4.7740258867597427E-4</v>
      </c>
      <c r="L6" s="4">
        <f>BNVFE!L28*('BHNVFEAL-LDVs-psgr'!L$4/BNVFE!L$26)</f>
        <v>4.8006153857130626E-4</v>
      </c>
      <c r="M6" s="4">
        <f>BNVFE!M28*('BHNVFEAL-LDVs-psgr'!M$4/BNVFE!M$26)</f>
        <v>4.8249268977570829E-4</v>
      </c>
      <c r="N6" s="4">
        <f>BNVFE!N28*('BHNVFEAL-LDVs-psgr'!N$4/BNVFE!N$26)</f>
        <v>4.8553787759081645E-4</v>
      </c>
      <c r="O6" s="4">
        <f>BNVFE!O28*('BHNVFEAL-LDVs-psgr'!O$4/BNVFE!O$26)</f>
        <v>4.8878116836815273E-4</v>
      </c>
      <c r="P6" s="4">
        <f>BNVFE!P28*('BHNVFEAL-LDVs-psgr'!P$4/BNVFE!P$26)</f>
        <v>4.9839012649989111E-4</v>
      </c>
      <c r="Q6" s="4">
        <f>BNVFE!Q28*('BHNVFEAL-LDVs-psgr'!Q$4/BNVFE!Q$26)</f>
        <v>5.0688524375738135E-4</v>
      </c>
      <c r="R6" s="4">
        <f>BNVFE!R28*('BHNVFEAL-LDVs-psgr'!R$4/BNVFE!R$26)</f>
        <v>5.1408893015787694E-4</v>
      </c>
      <c r="S6" s="4">
        <f>BNVFE!S28*('BHNVFEAL-LDVs-psgr'!S$4/BNVFE!S$26)</f>
        <v>5.3298064486994104E-4</v>
      </c>
      <c r="T6" s="4">
        <f>BNVFE!T28*('BHNVFEAL-LDVs-psgr'!T$4/BNVFE!T$26)</f>
        <v>5.3904493880410056E-4</v>
      </c>
      <c r="U6" s="4">
        <f>BNVFE!U28*('BHNVFEAL-LDVs-psgr'!U$4/BNVFE!U$26)</f>
        <v>5.4440423055981968E-4</v>
      </c>
      <c r="V6" s="4">
        <f>BNVFE!V28*('BHNVFEAL-LDVs-psgr'!V$4/BNVFE!V$26)</f>
        <v>5.6091264450523141E-4</v>
      </c>
      <c r="W6" s="4">
        <f>BNVFE!W28*('BHNVFEAL-LDVs-psgr'!W$4/BNVFE!W$26)</f>
        <v>5.6228352121743142E-4</v>
      </c>
      <c r="X6" s="4">
        <f>BNVFE!X28*('BHNVFEAL-LDVs-psgr'!X$4/BNVFE!X$26)</f>
        <v>5.6300211186441568E-4</v>
      </c>
      <c r="Y6" s="4">
        <f>BNVFE!Y28*('BHNVFEAL-LDVs-psgr'!Y$4/BNVFE!Y$26)</f>
        <v>5.6370242333199415E-4</v>
      </c>
      <c r="Z6" s="4">
        <f>BNVFE!Z28*('BHNVFEAL-LDVs-psgr'!Z$4/BNVFE!Z$26)</f>
        <v>5.6505007903216167E-4</v>
      </c>
      <c r="AA6" s="4">
        <f>BNVFE!AA28*('BHNVFEAL-LDVs-psgr'!AA$4/BNVFE!AA$26)</f>
        <v>5.6472680383080583E-4</v>
      </c>
      <c r="AB6" s="4">
        <f>BNVFE!AB28*('BHNVFEAL-LDVs-psgr'!AB$4/BNVFE!AB$26)</f>
        <v>5.6695236229259763E-4</v>
      </c>
      <c r="AC6" s="4">
        <f>BNVFE!AC28*('BHNVFEAL-LDVs-psgr'!AC$4/BNVFE!AC$26)</f>
        <v>5.6913462321645978E-4</v>
      </c>
      <c r="AD6" s="4">
        <f>BNVFE!AD28*('BHNVFEAL-LDVs-psgr'!AD$4/BNVFE!AD$26)</f>
        <v>5.7051355681803149E-4</v>
      </c>
      <c r="AE6" s="4">
        <f>BNVFE!AE28*('BHNVFEAL-LDVs-psgr'!AE$4/BNVFE!AE$26)</f>
        <v>5.7222367877689934E-4</v>
      </c>
      <c r="AG6" s="4"/>
      <c r="AH6" s="4"/>
    </row>
    <row r="7" spans="1:34">
      <c r="A7" t="s">
        <v>84</v>
      </c>
      <c r="B7" s="4">
        <f>BNVFE!B29*('BHNVFEAL-LDVs-psgr'!B$4/BNVFE!B$26)</f>
        <v>3.1763216261773128E-4</v>
      </c>
      <c r="C7" s="4">
        <f>BNVFE!C29*('BHNVFEAL-LDVs-psgr'!C$4/BNVFE!C$26)</f>
        <v>3.0669186158966625E-4</v>
      </c>
      <c r="D7" s="4">
        <f>BNVFE!D29*('BHNVFEAL-LDVs-psgr'!D$4/BNVFE!D$26)</f>
        <v>3.1685245989931227E-4</v>
      </c>
      <c r="E7" s="4">
        <f>BNVFE!E29*('BHNVFEAL-LDVs-psgr'!E$4/BNVFE!E$26)</f>
        <v>3.1739782303062078E-4</v>
      </c>
      <c r="F7" s="4">
        <f>BNVFE!F29*('BHNVFEAL-LDVs-psgr'!F$4/BNVFE!F$26)</f>
        <v>3.1192088323962313E-4</v>
      </c>
      <c r="G7" s="4">
        <f>BNVFE!G29*('BHNVFEAL-LDVs-psgr'!G$4/BNVFE!G$26)</f>
        <v>2.9142107044187574E-4</v>
      </c>
      <c r="H7" s="4">
        <f>BNVFE!H29*('BHNVFEAL-LDVs-psgr'!H$4/BNVFE!H$26)</f>
        <v>2.9074753100539563E-4</v>
      </c>
      <c r="I7" s="4">
        <f>BNVFE!I29*('BHNVFEAL-LDVs-psgr'!I$4/BNVFE!I$26)</f>
        <v>2.8982606084405671E-4</v>
      </c>
      <c r="J7" s="4">
        <f>BNVFE!J29*('BHNVFEAL-LDVs-psgr'!J$4/BNVFE!J$26)</f>
        <v>2.8983551626977824E-4</v>
      </c>
      <c r="K7" s="4">
        <f>BNVFE!K29*('BHNVFEAL-LDVs-psgr'!K$4/BNVFE!K$26)</f>
        <v>2.9017394439876564E-4</v>
      </c>
      <c r="L7" s="4">
        <f>BNVFE!L29*('BHNVFEAL-LDVs-psgr'!L$4/BNVFE!L$26)</f>
        <v>2.9163668386046073E-4</v>
      </c>
      <c r="M7" s="4">
        <f>BNVFE!M29*('BHNVFEAL-LDVs-psgr'!M$4/BNVFE!M$26)</f>
        <v>2.925881148990673E-4</v>
      </c>
      <c r="N7" s="4">
        <f>BNVFE!N29*('BHNVFEAL-LDVs-psgr'!N$4/BNVFE!N$26)</f>
        <v>2.9426018427939119E-4</v>
      </c>
      <c r="O7" s="4">
        <f>BNVFE!O29*('BHNVFEAL-LDVs-psgr'!O$4/BNVFE!O$26)</f>
        <v>2.9593459855706646E-4</v>
      </c>
      <c r="P7" s="4">
        <f>BNVFE!P29*('BHNVFEAL-LDVs-psgr'!P$4/BNVFE!P$26)</f>
        <v>3.0150773383604229E-4</v>
      </c>
      <c r="Q7" s="4">
        <f>BNVFE!Q29*('BHNVFEAL-LDVs-psgr'!Q$4/BNVFE!Q$26)</f>
        <v>3.0595864748126056E-4</v>
      </c>
      <c r="R7" s="4">
        <f>BNVFE!R29*('BHNVFEAL-LDVs-psgr'!R$4/BNVFE!R$26)</f>
        <v>3.1002205402131999E-4</v>
      </c>
      <c r="S7" s="4">
        <f>BNVFE!S29*('BHNVFEAL-LDVs-psgr'!S$4/BNVFE!S$26)</f>
        <v>3.2110959644743808E-4</v>
      </c>
      <c r="T7" s="4">
        <f>BNVFE!T29*('BHNVFEAL-LDVs-psgr'!T$4/BNVFE!T$26)</f>
        <v>3.2436399554231139E-4</v>
      </c>
      <c r="U7" s="4">
        <f>BNVFE!U29*('BHNVFEAL-LDVs-psgr'!U$4/BNVFE!U$26)</f>
        <v>3.2731318390816493E-4</v>
      </c>
      <c r="V7" s="4">
        <f>BNVFE!V29*('BHNVFEAL-LDVs-psgr'!V$4/BNVFE!V$26)</f>
        <v>3.3702991066531066E-4</v>
      </c>
      <c r="W7" s="4">
        <f>BNVFE!W29*('BHNVFEAL-LDVs-psgr'!W$4/BNVFE!W$26)</f>
        <v>3.3741002097795717E-4</v>
      </c>
      <c r="X7" s="4">
        <f>BNVFE!X29*('BHNVFEAL-LDVs-psgr'!X$4/BNVFE!X$26)</f>
        <v>3.3750948921623593E-4</v>
      </c>
      <c r="Y7" s="4">
        <f>BNVFE!Y29*('BHNVFEAL-LDVs-psgr'!Y$4/BNVFE!Y$26)</f>
        <v>3.3717526117842833E-4</v>
      </c>
      <c r="Z7" s="4">
        <f>BNVFE!Z29*('BHNVFEAL-LDVs-psgr'!Z$4/BNVFE!Z$26)</f>
        <v>3.375039228412405E-4</v>
      </c>
      <c r="AA7" s="4">
        <f>BNVFE!AA29*('BHNVFEAL-LDVs-psgr'!AA$4/BNVFE!AA$26)</f>
        <v>3.3608556774951192E-4</v>
      </c>
      <c r="AB7" s="4">
        <f>BNVFE!AB29*('BHNVFEAL-LDVs-psgr'!AB$4/BNVFE!AB$26)</f>
        <v>3.3718406040280117E-4</v>
      </c>
      <c r="AC7" s="4">
        <f>BNVFE!AC29*('BHNVFEAL-LDVs-psgr'!AC$4/BNVFE!AC$26)</f>
        <v>3.378358588691025E-4</v>
      </c>
      <c r="AD7" s="4">
        <f>BNVFE!AD29*('BHNVFEAL-LDVs-psgr'!AD$4/BNVFE!AD$26)</f>
        <v>3.3847440572982264E-4</v>
      </c>
      <c r="AE7" s="4">
        <f>BNVFE!AE29*('BHNVFEAL-LDVs-psgr'!AE$4/BNVFE!AE$26)</f>
        <v>3.3885840983958386E-4</v>
      </c>
      <c r="AG7" s="4"/>
      <c r="AH7" s="4"/>
    </row>
    <row r="8" spans="1:34">
      <c r="A8" t="s">
        <v>85</v>
      </c>
      <c r="B8" s="4">
        <f>SYFAFE!$H$2</f>
        <v>5.8506340922459044E-4</v>
      </c>
      <c r="C8" s="4">
        <f t="shared" ref="C8:AE8" si="0">B8</f>
        <v>5.8506340922459044E-4</v>
      </c>
      <c r="D8" s="4">
        <f t="shared" si="0"/>
        <v>5.8506340922459044E-4</v>
      </c>
      <c r="E8" s="4">
        <f t="shared" si="0"/>
        <v>5.8506340922459044E-4</v>
      </c>
      <c r="F8" s="4">
        <f t="shared" si="0"/>
        <v>5.8506340922459044E-4</v>
      </c>
      <c r="G8" s="4">
        <f t="shared" si="0"/>
        <v>5.8506340922459044E-4</v>
      </c>
      <c r="H8" s="4">
        <f t="shared" si="0"/>
        <v>5.8506340922459044E-4</v>
      </c>
      <c r="I8" s="4">
        <f t="shared" si="0"/>
        <v>5.8506340922459044E-4</v>
      </c>
      <c r="J8" s="4">
        <f t="shared" si="0"/>
        <v>5.8506340922459044E-4</v>
      </c>
      <c r="K8" s="4">
        <f t="shared" si="0"/>
        <v>5.8506340922459044E-4</v>
      </c>
      <c r="L8" s="4">
        <f t="shared" si="0"/>
        <v>5.8506340922459044E-4</v>
      </c>
      <c r="M8" s="4">
        <f t="shared" si="0"/>
        <v>5.8506340922459044E-4</v>
      </c>
      <c r="N8" s="4">
        <f t="shared" si="0"/>
        <v>5.8506340922459044E-4</v>
      </c>
      <c r="O8" s="4">
        <f t="shared" si="0"/>
        <v>5.8506340922459044E-4</v>
      </c>
      <c r="P8" s="4">
        <f t="shared" si="0"/>
        <v>5.8506340922459044E-4</v>
      </c>
      <c r="Q8" s="4">
        <f t="shared" si="0"/>
        <v>5.8506340922459044E-4</v>
      </c>
      <c r="R8" s="4">
        <f t="shared" si="0"/>
        <v>5.8506340922459044E-4</v>
      </c>
      <c r="S8" s="4">
        <f t="shared" si="0"/>
        <v>5.8506340922459044E-4</v>
      </c>
      <c r="T8" s="4">
        <f t="shared" si="0"/>
        <v>5.8506340922459044E-4</v>
      </c>
      <c r="U8" s="4">
        <f t="shared" si="0"/>
        <v>5.8506340922459044E-4</v>
      </c>
      <c r="V8" s="4">
        <f t="shared" si="0"/>
        <v>5.8506340922459044E-4</v>
      </c>
      <c r="W8" s="4">
        <f t="shared" si="0"/>
        <v>5.8506340922459044E-4</v>
      </c>
      <c r="X8" s="4">
        <f t="shared" si="0"/>
        <v>5.8506340922459044E-4</v>
      </c>
      <c r="Y8" s="4">
        <f t="shared" si="0"/>
        <v>5.8506340922459044E-4</v>
      </c>
      <c r="Z8" s="4">
        <f t="shared" si="0"/>
        <v>5.8506340922459044E-4</v>
      </c>
      <c r="AA8" s="4">
        <f t="shared" si="0"/>
        <v>5.8506340922459044E-4</v>
      </c>
      <c r="AB8" s="4">
        <f t="shared" si="0"/>
        <v>5.8506340922459044E-4</v>
      </c>
      <c r="AC8" s="4">
        <f t="shared" si="0"/>
        <v>5.8506340922459044E-4</v>
      </c>
      <c r="AD8" s="4">
        <f t="shared" si="0"/>
        <v>5.8506340922459044E-4</v>
      </c>
      <c r="AE8" s="4">
        <f t="shared" si="0"/>
        <v>5.8506340922459044E-4</v>
      </c>
      <c r="AG8" s="4"/>
      <c r="AH8" s="4"/>
    </row>
    <row r="10" spans="1:34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TRANSPOSE(SYFAFE!B10:H10)</f>
        <v>1.0150688714543495E-4</v>
      </c>
      <c r="C2" s="4">
        <f>B2</f>
        <v>1.0150688714543495E-4</v>
      </c>
      <c r="D2" s="4">
        <f t="shared" ref="D2:AE8" si="0">C2</f>
        <v>1.0150688714543495E-4</v>
      </c>
      <c r="E2" s="4">
        <f t="shared" si="0"/>
        <v>1.0150688714543495E-4</v>
      </c>
      <c r="F2" s="4">
        <f t="shared" si="0"/>
        <v>1.0150688714543495E-4</v>
      </c>
      <c r="G2" s="4">
        <f t="shared" si="0"/>
        <v>1.0150688714543495E-4</v>
      </c>
      <c r="H2" s="4">
        <f t="shared" si="0"/>
        <v>1.0150688714543495E-4</v>
      </c>
      <c r="I2" s="4">
        <f t="shared" si="0"/>
        <v>1.0150688714543495E-4</v>
      </c>
      <c r="J2" s="4">
        <f t="shared" si="0"/>
        <v>1.0150688714543495E-4</v>
      </c>
      <c r="K2" s="4">
        <f t="shared" si="0"/>
        <v>1.0150688714543495E-4</v>
      </c>
      <c r="L2" s="4">
        <f t="shared" si="0"/>
        <v>1.0150688714543495E-4</v>
      </c>
      <c r="M2" s="4">
        <f t="shared" si="0"/>
        <v>1.0150688714543495E-4</v>
      </c>
      <c r="N2" s="4">
        <f t="shared" si="0"/>
        <v>1.0150688714543495E-4</v>
      </c>
      <c r="O2" s="4">
        <f t="shared" si="0"/>
        <v>1.0150688714543495E-4</v>
      </c>
      <c r="P2" s="4">
        <f t="shared" si="0"/>
        <v>1.0150688714543495E-4</v>
      </c>
      <c r="Q2" s="4">
        <f t="shared" si="0"/>
        <v>1.0150688714543495E-4</v>
      </c>
      <c r="R2" s="4">
        <f t="shared" si="0"/>
        <v>1.0150688714543495E-4</v>
      </c>
      <c r="S2" s="4">
        <f t="shared" si="0"/>
        <v>1.0150688714543495E-4</v>
      </c>
      <c r="T2" s="4">
        <f t="shared" si="0"/>
        <v>1.0150688714543495E-4</v>
      </c>
      <c r="U2" s="4">
        <f t="shared" si="0"/>
        <v>1.0150688714543495E-4</v>
      </c>
      <c r="V2" s="4">
        <f t="shared" si="0"/>
        <v>1.0150688714543495E-4</v>
      </c>
      <c r="W2" s="4">
        <f t="shared" si="0"/>
        <v>1.0150688714543495E-4</v>
      </c>
      <c r="X2" s="4">
        <f t="shared" si="0"/>
        <v>1.0150688714543495E-4</v>
      </c>
      <c r="Y2" s="4">
        <f t="shared" si="0"/>
        <v>1.0150688714543495E-4</v>
      </c>
      <c r="Z2" s="4">
        <f t="shared" si="0"/>
        <v>1.0150688714543495E-4</v>
      </c>
      <c r="AA2" s="4">
        <f t="shared" si="0"/>
        <v>1.0150688714543495E-4</v>
      </c>
      <c r="AB2" s="4">
        <f t="shared" si="0"/>
        <v>1.0150688714543495E-4</v>
      </c>
      <c r="AC2" s="4">
        <f t="shared" si="0"/>
        <v>1.0150688714543495E-4</v>
      </c>
      <c r="AD2" s="4">
        <f t="shared" si="0"/>
        <v>1.0150688714543495E-4</v>
      </c>
      <c r="AE2" s="4">
        <f t="shared" si="0"/>
        <v>1.0150688714543495E-4</v>
      </c>
      <c r="AG2" s="4"/>
      <c r="AH2" s="4"/>
    </row>
    <row r="3" spans="1:34">
      <c r="A3" t="s">
        <v>3</v>
      </c>
      <c r="B3" s="4">
        <v>6.6748780423538421E-5</v>
      </c>
      <c r="C3" s="4">
        <f t="shared" ref="C3:C8" si="1">B3</f>
        <v>6.6748780423538421E-5</v>
      </c>
      <c r="D3" s="4">
        <f t="shared" ref="D3:Q3" si="2">C3</f>
        <v>6.6748780423538421E-5</v>
      </c>
      <c r="E3" s="4">
        <f t="shared" si="2"/>
        <v>6.6748780423538421E-5</v>
      </c>
      <c r="F3" s="4">
        <f t="shared" si="2"/>
        <v>6.6748780423538421E-5</v>
      </c>
      <c r="G3" s="4">
        <f t="shared" si="2"/>
        <v>6.6748780423538421E-5</v>
      </c>
      <c r="H3" s="4">
        <f t="shared" si="2"/>
        <v>6.6748780423538421E-5</v>
      </c>
      <c r="I3" s="4">
        <f t="shared" si="2"/>
        <v>6.6748780423538421E-5</v>
      </c>
      <c r="J3" s="4">
        <f t="shared" si="2"/>
        <v>6.6748780423538421E-5</v>
      </c>
      <c r="K3" s="4">
        <f t="shared" si="2"/>
        <v>6.6748780423538421E-5</v>
      </c>
      <c r="L3" s="4">
        <f t="shared" si="2"/>
        <v>6.6748780423538421E-5</v>
      </c>
      <c r="M3" s="4">
        <f t="shared" si="2"/>
        <v>6.6748780423538421E-5</v>
      </c>
      <c r="N3" s="4">
        <f t="shared" si="2"/>
        <v>6.6748780423538421E-5</v>
      </c>
      <c r="O3" s="4">
        <f t="shared" si="2"/>
        <v>6.6748780423538421E-5</v>
      </c>
      <c r="P3" s="4">
        <f t="shared" si="2"/>
        <v>6.6748780423538421E-5</v>
      </c>
      <c r="Q3" s="4">
        <f t="shared" si="2"/>
        <v>6.6748780423538421E-5</v>
      </c>
      <c r="R3" s="4">
        <f t="shared" si="0"/>
        <v>6.6748780423538421E-5</v>
      </c>
      <c r="S3" s="4">
        <f t="shared" si="0"/>
        <v>6.6748780423538421E-5</v>
      </c>
      <c r="T3" s="4">
        <f t="shared" si="0"/>
        <v>6.6748780423538421E-5</v>
      </c>
      <c r="U3" s="4">
        <f t="shared" si="0"/>
        <v>6.6748780423538421E-5</v>
      </c>
      <c r="V3" s="4">
        <f t="shared" si="0"/>
        <v>6.6748780423538421E-5</v>
      </c>
      <c r="W3" s="4">
        <f t="shared" si="0"/>
        <v>6.6748780423538421E-5</v>
      </c>
      <c r="X3" s="4">
        <f t="shared" si="0"/>
        <v>6.6748780423538421E-5</v>
      </c>
      <c r="Y3" s="4">
        <f t="shared" si="0"/>
        <v>6.6748780423538421E-5</v>
      </c>
      <c r="Z3" s="4">
        <f t="shared" si="0"/>
        <v>6.6748780423538421E-5</v>
      </c>
      <c r="AA3" s="4">
        <f t="shared" si="0"/>
        <v>6.6748780423538421E-5</v>
      </c>
      <c r="AB3" s="4">
        <f t="shared" si="0"/>
        <v>6.6748780423538421E-5</v>
      </c>
      <c r="AC3" s="4">
        <f t="shared" si="0"/>
        <v>6.6748780423538421E-5</v>
      </c>
      <c r="AD3" s="4">
        <f t="shared" si="0"/>
        <v>6.6748780423538421E-5</v>
      </c>
      <c r="AE3" s="4">
        <f t="shared" si="0"/>
        <v>6.6748780423538421E-5</v>
      </c>
      <c r="AG3" s="4"/>
      <c r="AH3" s="4"/>
    </row>
    <row r="4" spans="1:34">
      <c r="A4" t="s">
        <v>4</v>
      </c>
      <c r="B4" s="4">
        <v>9.6215656200720077E-5</v>
      </c>
      <c r="C4" s="4">
        <f t="shared" si="1"/>
        <v>9.6215656200720077E-5</v>
      </c>
      <c r="D4" s="4">
        <f t="shared" si="0"/>
        <v>9.6215656200720077E-5</v>
      </c>
      <c r="E4" s="4">
        <f t="shared" si="0"/>
        <v>9.6215656200720077E-5</v>
      </c>
      <c r="F4" s="4">
        <f t="shared" si="0"/>
        <v>9.6215656200720077E-5</v>
      </c>
      <c r="G4" s="4">
        <f t="shared" si="0"/>
        <v>9.6215656200720077E-5</v>
      </c>
      <c r="H4" s="4">
        <f t="shared" si="0"/>
        <v>9.6215656200720077E-5</v>
      </c>
      <c r="I4" s="4">
        <f t="shared" si="0"/>
        <v>9.6215656200720077E-5</v>
      </c>
      <c r="J4" s="4">
        <f t="shared" si="0"/>
        <v>9.6215656200720077E-5</v>
      </c>
      <c r="K4" s="4">
        <f t="shared" si="0"/>
        <v>9.6215656200720077E-5</v>
      </c>
      <c r="L4" s="4">
        <f t="shared" si="0"/>
        <v>9.6215656200720077E-5</v>
      </c>
      <c r="M4" s="4">
        <f t="shared" si="0"/>
        <v>9.6215656200720077E-5</v>
      </c>
      <c r="N4" s="4">
        <f t="shared" si="0"/>
        <v>9.6215656200720077E-5</v>
      </c>
      <c r="O4" s="4">
        <f t="shared" si="0"/>
        <v>9.6215656200720077E-5</v>
      </c>
      <c r="P4" s="4">
        <f t="shared" si="0"/>
        <v>9.6215656200720077E-5</v>
      </c>
      <c r="Q4" s="4">
        <f t="shared" si="0"/>
        <v>9.6215656200720077E-5</v>
      </c>
      <c r="R4" s="4">
        <f t="shared" si="0"/>
        <v>9.6215656200720077E-5</v>
      </c>
      <c r="S4" s="4">
        <f t="shared" si="0"/>
        <v>9.6215656200720077E-5</v>
      </c>
      <c r="T4" s="4">
        <f t="shared" si="0"/>
        <v>9.6215656200720077E-5</v>
      </c>
      <c r="U4" s="4">
        <f t="shared" si="0"/>
        <v>9.6215656200720077E-5</v>
      </c>
      <c r="V4" s="4">
        <f t="shared" si="0"/>
        <v>9.6215656200720077E-5</v>
      </c>
      <c r="W4" s="4">
        <f t="shared" si="0"/>
        <v>9.6215656200720077E-5</v>
      </c>
      <c r="X4" s="4">
        <f t="shared" si="0"/>
        <v>9.6215656200720077E-5</v>
      </c>
      <c r="Y4" s="4">
        <f t="shared" si="0"/>
        <v>9.6215656200720077E-5</v>
      </c>
      <c r="Z4" s="4">
        <f t="shared" si="0"/>
        <v>9.6215656200720077E-5</v>
      </c>
      <c r="AA4" s="4">
        <f t="shared" si="0"/>
        <v>9.6215656200720077E-5</v>
      </c>
      <c r="AB4" s="4">
        <f t="shared" si="0"/>
        <v>9.6215656200720077E-5</v>
      </c>
      <c r="AC4" s="4">
        <f t="shared" si="0"/>
        <v>9.6215656200720077E-5</v>
      </c>
      <c r="AD4" s="4">
        <f t="shared" si="0"/>
        <v>9.6215656200720077E-5</v>
      </c>
      <c r="AE4" s="4">
        <f t="shared" si="0"/>
        <v>9.6215656200720077E-5</v>
      </c>
      <c r="AG4" s="4"/>
      <c r="AH4" s="4"/>
    </row>
    <row r="5" spans="1:34">
      <c r="A5" t="s">
        <v>5</v>
      </c>
      <c r="B5" s="4">
        <v>6.8445241372973434E-5</v>
      </c>
      <c r="C5" s="4">
        <f t="shared" si="1"/>
        <v>6.8445241372973434E-5</v>
      </c>
      <c r="D5" s="4">
        <f t="shared" si="0"/>
        <v>6.8445241372973434E-5</v>
      </c>
      <c r="E5" s="4">
        <f t="shared" si="0"/>
        <v>6.8445241372973434E-5</v>
      </c>
      <c r="F5" s="4">
        <f t="shared" si="0"/>
        <v>6.8445241372973434E-5</v>
      </c>
      <c r="G5" s="4">
        <f t="shared" si="0"/>
        <v>6.8445241372973434E-5</v>
      </c>
      <c r="H5" s="4">
        <f t="shared" si="0"/>
        <v>6.8445241372973434E-5</v>
      </c>
      <c r="I5" s="4">
        <f t="shared" si="0"/>
        <v>6.8445241372973434E-5</v>
      </c>
      <c r="J5" s="4">
        <f t="shared" si="0"/>
        <v>6.8445241372973434E-5</v>
      </c>
      <c r="K5" s="4">
        <f t="shared" si="0"/>
        <v>6.8445241372973434E-5</v>
      </c>
      <c r="L5" s="4">
        <f t="shared" si="0"/>
        <v>6.8445241372973434E-5</v>
      </c>
      <c r="M5" s="4">
        <f t="shared" si="0"/>
        <v>6.8445241372973434E-5</v>
      </c>
      <c r="N5" s="4">
        <f t="shared" si="0"/>
        <v>6.8445241372973434E-5</v>
      </c>
      <c r="O5" s="4">
        <f t="shared" si="0"/>
        <v>6.8445241372973434E-5</v>
      </c>
      <c r="P5" s="4">
        <f t="shared" si="0"/>
        <v>6.8445241372973434E-5</v>
      </c>
      <c r="Q5" s="4">
        <f t="shared" si="0"/>
        <v>6.8445241372973434E-5</v>
      </c>
      <c r="R5" s="4">
        <f t="shared" si="0"/>
        <v>6.8445241372973434E-5</v>
      </c>
      <c r="S5" s="4">
        <f t="shared" si="0"/>
        <v>6.8445241372973434E-5</v>
      </c>
      <c r="T5" s="4">
        <f t="shared" si="0"/>
        <v>6.8445241372973434E-5</v>
      </c>
      <c r="U5" s="4">
        <f t="shared" si="0"/>
        <v>6.8445241372973434E-5</v>
      </c>
      <c r="V5" s="4">
        <f t="shared" si="0"/>
        <v>6.8445241372973434E-5</v>
      </c>
      <c r="W5" s="4">
        <f t="shared" si="0"/>
        <v>6.8445241372973434E-5</v>
      </c>
      <c r="X5" s="4">
        <f t="shared" si="0"/>
        <v>6.8445241372973434E-5</v>
      </c>
      <c r="Y5" s="4">
        <f t="shared" si="0"/>
        <v>6.8445241372973434E-5</v>
      </c>
      <c r="Z5" s="4">
        <f t="shared" si="0"/>
        <v>6.8445241372973434E-5</v>
      </c>
      <c r="AA5" s="4">
        <f t="shared" si="0"/>
        <v>6.8445241372973434E-5</v>
      </c>
      <c r="AB5" s="4">
        <f t="shared" si="0"/>
        <v>6.8445241372973434E-5</v>
      </c>
      <c r="AC5" s="4">
        <f t="shared" si="0"/>
        <v>6.8445241372973434E-5</v>
      </c>
      <c r="AD5" s="4">
        <f t="shared" si="0"/>
        <v>6.8445241372973434E-5</v>
      </c>
      <c r="AE5" s="4">
        <f t="shared" si="0"/>
        <v>6.8445241372973434E-5</v>
      </c>
      <c r="AG5" s="4"/>
      <c r="AH5" s="4"/>
    </row>
    <row r="6" spans="1:34">
      <c r="A6" t="s">
        <v>6</v>
      </c>
      <c r="B6" s="4">
        <v>2.1334965945734235E-4</v>
      </c>
      <c r="C6" s="4">
        <f t="shared" si="1"/>
        <v>2.1334965945734235E-4</v>
      </c>
      <c r="D6" s="4">
        <f t="shared" si="0"/>
        <v>2.1334965945734235E-4</v>
      </c>
      <c r="E6" s="4">
        <f t="shared" si="0"/>
        <v>2.1334965945734235E-4</v>
      </c>
      <c r="F6" s="4">
        <f t="shared" si="0"/>
        <v>2.1334965945734235E-4</v>
      </c>
      <c r="G6" s="4">
        <f t="shared" si="0"/>
        <v>2.1334965945734235E-4</v>
      </c>
      <c r="H6" s="4">
        <f t="shared" si="0"/>
        <v>2.1334965945734235E-4</v>
      </c>
      <c r="I6" s="4">
        <f t="shared" si="0"/>
        <v>2.1334965945734235E-4</v>
      </c>
      <c r="J6" s="4">
        <f t="shared" si="0"/>
        <v>2.1334965945734235E-4</v>
      </c>
      <c r="K6" s="4">
        <f t="shared" si="0"/>
        <v>2.1334965945734235E-4</v>
      </c>
      <c r="L6" s="4">
        <f t="shared" si="0"/>
        <v>2.1334965945734235E-4</v>
      </c>
      <c r="M6" s="4">
        <f t="shared" si="0"/>
        <v>2.1334965945734235E-4</v>
      </c>
      <c r="N6" s="4">
        <f t="shared" si="0"/>
        <v>2.1334965945734235E-4</v>
      </c>
      <c r="O6" s="4">
        <f t="shared" si="0"/>
        <v>2.1334965945734235E-4</v>
      </c>
      <c r="P6" s="4">
        <f t="shared" si="0"/>
        <v>2.1334965945734235E-4</v>
      </c>
      <c r="Q6" s="4">
        <f t="shared" si="0"/>
        <v>2.1334965945734235E-4</v>
      </c>
      <c r="R6" s="4">
        <f t="shared" si="0"/>
        <v>2.1334965945734235E-4</v>
      </c>
      <c r="S6" s="4">
        <f t="shared" si="0"/>
        <v>2.1334965945734235E-4</v>
      </c>
      <c r="T6" s="4">
        <f t="shared" si="0"/>
        <v>2.1334965945734235E-4</v>
      </c>
      <c r="U6" s="4">
        <f t="shared" si="0"/>
        <v>2.1334965945734235E-4</v>
      </c>
      <c r="V6" s="4">
        <f t="shared" si="0"/>
        <v>2.1334965945734235E-4</v>
      </c>
      <c r="W6" s="4">
        <f t="shared" si="0"/>
        <v>2.1334965945734235E-4</v>
      </c>
      <c r="X6" s="4">
        <f t="shared" si="0"/>
        <v>2.1334965945734235E-4</v>
      </c>
      <c r="Y6" s="4">
        <f t="shared" si="0"/>
        <v>2.1334965945734235E-4</v>
      </c>
      <c r="Z6" s="4">
        <f t="shared" si="0"/>
        <v>2.1334965945734235E-4</v>
      </c>
      <c r="AA6" s="4">
        <f t="shared" si="0"/>
        <v>2.1334965945734235E-4</v>
      </c>
      <c r="AB6" s="4">
        <f t="shared" si="0"/>
        <v>2.1334965945734235E-4</v>
      </c>
      <c r="AC6" s="4">
        <f t="shared" si="0"/>
        <v>2.1334965945734235E-4</v>
      </c>
      <c r="AD6" s="4">
        <f t="shared" si="0"/>
        <v>2.1334965945734235E-4</v>
      </c>
      <c r="AE6" s="4">
        <f t="shared" si="0"/>
        <v>2.1334965945734235E-4</v>
      </c>
      <c r="AG6" s="4"/>
      <c r="AH6" s="4"/>
    </row>
    <row r="7" spans="1:34">
      <c r="A7" t="s">
        <v>84</v>
      </c>
      <c r="B7" s="4">
        <v>4.0500619498536022E-5</v>
      </c>
      <c r="C7" s="4">
        <f t="shared" si="1"/>
        <v>4.0500619498536022E-5</v>
      </c>
      <c r="D7" s="4">
        <f t="shared" si="0"/>
        <v>4.0500619498536022E-5</v>
      </c>
      <c r="E7" s="4">
        <f t="shared" si="0"/>
        <v>4.0500619498536022E-5</v>
      </c>
      <c r="F7" s="4">
        <f t="shared" si="0"/>
        <v>4.0500619498536022E-5</v>
      </c>
      <c r="G7" s="4">
        <f t="shared" si="0"/>
        <v>4.0500619498536022E-5</v>
      </c>
      <c r="H7" s="4">
        <f t="shared" si="0"/>
        <v>4.0500619498536022E-5</v>
      </c>
      <c r="I7" s="4">
        <f t="shared" si="0"/>
        <v>4.0500619498536022E-5</v>
      </c>
      <c r="J7" s="4">
        <f t="shared" si="0"/>
        <v>4.0500619498536022E-5</v>
      </c>
      <c r="K7" s="4">
        <f t="shared" si="0"/>
        <v>4.0500619498536022E-5</v>
      </c>
      <c r="L7" s="4">
        <f t="shared" si="0"/>
        <v>4.0500619498536022E-5</v>
      </c>
      <c r="M7" s="4">
        <f t="shared" si="0"/>
        <v>4.0500619498536022E-5</v>
      </c>
      <c r="N7" s="4">
        <f t="shared" si="0"/>
        <v>4.0500619498536022E-5</v>
      </c>
      <c r="O7" s="4">
        <f t="shared" si="0"/>
        <v>4.0500619498536022E-5</v>
      </c>
      <c r="P7" s="4">
        <f t="shared" si="0"/>
        <v>4.0500619498536022E-5</v>
      </c>
      <c r="Q7" s="4">
        <f t="shared" si="0"/>
        <v>4.0500619498536022E-5</v>
      </c>
      <c r="R7" s="4">
        <f t="shared" si="0"/>
        <v>4.0500619498536022E-5</v>
      </c>
      <c r="S7" s="4">
        <f t="shared" si="0"/>
        <v>4.0500619498536022E-5</v>
      </c>
      <c r="T7" s="4">
        <f t="shared" si="0"/>
        <v>4.0500619498536022E-5</v>
      </c>
      <c r="U7" s="4">
        <f t="shared" si="0"/>
        <v>4.0500619498536022E-5</v>
      </c>
      <c r="V7" s="4">
        <f t="shared" si="0"/>
        <v>4.0500619498536022E-5</v>
      </c>
      <c r="W7" s="4">
        <f t="shared" si="0"/>
        <v>4.0500619498536022E-5</v>
      </c>
      <c r="X7" s="4">
        <f t="shared" si="0"/>
        <v>4.0500619498536022E-5</v>
      </c>
      <c r="Y7" s="4">
        <f t="shared" si="0"/>
        <v>4.0500619498536022E-5</v>
      </c>
      <c r="Z7" s="4">
        <f t="shared" si="0"/>
        <v>4.0500619498536022E-5</v>
      </c>
      <c r="AA7" s="4">
        <f t="shared" si="0"/>
        <v>4.0500619498536022E-5</v>
      </c>
      <c r="AB7" s="4">
        <f t="shared" si="0"/>
        <v>4.0500619498536022E-5</v>
      </c>
      <c r="AC7" s="4">
        <f t="shared" si="0"/>
        <v>4.0500619498536022E-5</v>
      </c>
      <c r="AD7" s="4">
        <f t="shared" si="0"/>
        <v>4.0500619498536022E-5</v>
      </c>
      <c r="AE7" s="4">
        <f t="shared" si="0"/>
        <v>4.0500619498536022E-5</v>
      </c>
      <c r="AG7" s="4"/>
      <c r="AH7" s="4"/>
    </row>
    <row r="8" spans="1:34">
      <c r="A8" t="s">
        <v>85</v>
      </c>
      <c r="B8" s="4">
        <v>2.0802620001785488E-3</v>
      </c>
      <c r="C8" s="4">
        <f t="shared" si="1"/>
        <v>2.0802620001785488E-3</v>
      </c>
      <c r="D8" s="4">
        <f t="shared" si="0"/>
        <v>2.0802620001785488E-3</v>
      </c>
      <c r="E8" s="4">
        <f t="shared" si="0"/>
        <v>2.0802620001785488E-3</v>
      </c>
      <c r="F8" s="4">
        <f t="shared" si="0"/>
        <v>2.0802620001785488E-3</v>
      </c>
      <c r="G8" s="4">
        <f t="shared" si="0"/>
        <v>2.0802620001785488E-3</v>
      </c>
      <c r="H8" s="4">
        <f t="shared" si="0"/>
        <v>2.0802620001785488E-3</v>
      </c>
      <c r="I8" s="4">
        <f t="shared" si="0"/>
        <v>2.0802620001785488E-3</v>
      </c>
      <c r="J8" s="4">
        <f t="shared" si="0"/>
        <v>2.0802620001785488E-3</v>
      </c>
      <c r="K8" s="4">
        <f t="shared" si="0"/>
        <v>2.0802620001785488E-3</v>
      </c>
      <c r="L8" s="4">
        <f t="shared" si="0"/>
        <v>2.0802620001785488E-3</v>
      </c>
      <c r="M8" s="4">
        <f t="shared" si="0"/>
        <v>2.0802620001785488E-3</v>
      </c>
      <c r="N8" s="4">
        <f t="shared" si="0"/>
        <v>2.0802620001785488E-3</v>
      </c>
      <c r="O8" s="4">
        <f t="shared" si="0"/>
        <v>2.0802620001785488E-3</v>
      </c>
      <c r="P8" s="4">
        <f t="shared" si="0"/>
        <v>2.0802620001785488E-3</v>
      </c>
      <c r="Q8" s="4">
        <f t="shared" si="0"/>
        <v>2.0802620001785488E-3</v>
      </c>
      <c r="R8" s="4">
        <f t="shared" si="0"/>
        <v>2.0802620001785488E-3</v>
      </c>
      <c r="S8" s="4">
        <f t="shared" si="0"/>
        <v>2.0802620001785488E-3</v>
      </c>
      <c r="T8" s="4">
        <f t="shared" si="0"/>
        <v>2.0802620001785488E-3</v>
      </c>
      <c r="U8" s="4">
        <f t="shared" si="0"/>
        <v>2.0802620001785488E-3</v>
      </c>
      <c r="V8" s="4">
        <f t="shared" si="0"/>
        <v>2.0802620001785488E-3</v>
      </c>
      <c r="W8" s="4">
        <f t="shared" si="0"/>
        <v>2.0802620001785488E-3</v>
      </c>
      <c r="X8" s="4">
        <f t="shared" si="0"/>
        <v>2.0802620001785488E-3</v>
      </c>
      <c r="Y8" s="4">
        <f t="shared" si="0"/>
        <v>2.0802620001785488E-3</v>
      </c>
      <c r="Z8" s="4">
        <f t="shared" si="0"/>
        <v>2.0802620001785488E-3</v>
      </c>
      <c r="AA8" s="4">
        <f t="shared" si="0"/>
        <v>2.0802620001785488E-3</v>
      </c>
      <c r="AB8" s="4">
        <f t="shared" si="0"/>
        <v>2.0802620001785488E-3</v>
      </c>
      <c r="AC8" s="4">
        <f t="shared" si="0"/>
        <v>2.0802620001785488E-3</v>
      </c>
      <c r="AD8" s="4">
        <f t="shared" si="0"/>
        <v>2.0802620001785488E-3</v>
      </c>
      <c r="AE8" s="4">
        <f t="shared" si="0"/>
        <v>2.0802620001785488E-3</v>
      </c>
      <c r="AG8" s="4"/>
      <c r="AH8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TRANSPOSE(SYFAFE!B3:H3)</f>
        <v>3.4003581782857295E-3</v>
      </c>
      <c r="C2" s="4">
        <f>B2</f>
        <v>3.4003581782857295E-3</v>
      </c>
      <c r="D2" s="4">
        <f t="shared" ref="D2:AE8" si="0">C2</f>
        <v>3.4003581782857295E-3</v>
      </c>
      <c r="E2" s="4">
        <f t="shared" si="0"/>
        <v>3.4003581782857295E-3</v>
      </c>
      <c r="F2" s="4">
        <f t="shared" si="0"/>
        <v>3.4003581782857295E-3</v>
      </c>
      <c r="G2" s="4">
        <f t="shared" si="0"/>
        <v>3.4003581782857295E-3</v>
      </c>
      <c r="H2" s="4">
        <f t="shared" si="0"/>
        <v>3.4003581782857295E-3</v>
      </c>
      <c r="I2" s="4">
        <f t="shared" si="0"/>
        <v>3.4003581782857295E-3</v>
      </c>
      <c r="J2" s="4">
        <f t="shared" si="0"/>
        <v>3.4003581782857295E-3</v>
      </c>
      <c r="K2" s="4">
        <f t="shared" si="0"/>
        <v>3.4003581782857295E-3</v>
      </c>
      <c r="L2" s="4">
        <f t="shared" si="0"/>
        <v>3.4003581782857295E-3</v>
      </c>
      <c r="M2" s="4">
        <f t="shared" si="0"/>
        <v>3.4003581782857295E-3</v>
      </c>
      <c r="N2" s="4">
        <f t="shared" si="0"/>
        <v>3.4003581782857295E-3</v>
      </c>
      <c r="O2" s="4">
        <f t="shared" si="0"/>
        <v>3.4003581782857295E-3</v>
      </c>
      <c r="P2" s="4">
        <f t="shared" si="0"/>
        <v>3.4003581782857295E-3</v>
      </c>
      <c r="Q2" s="4">
        <f t="shared" si="0"/>
        <v>3.4003581782857295E-3</v>
      </c>
      <c r="R2" s="4">
        <f t="shared" si="0"/>
        <v>3.4003581782857295E-3</v>
      </c>
      <c r="S2" s="4">
        <f t="shared" si="0"/>
        <v>3.4003581782857295E-3</v>
      </c>
      <c r="T2" s="4">
        <f t="shared" si="0"/>
        <v>3.4003581782857295E-3</v>
      </c>
      <c r="U2" s="4">
        <f t="shared" si="0"/>
        <v>3.4003581782857295E-3</v>
      </c>
      <c r="V2" s="4">
        <f t="shared" si="0"/>
        <v>3.4003581782857295E-3</v>
      </c>
      <c r="W2" s="4">
        <f t="shared" si="0"/>
        <v>3.4003581782857295E-3</v>
      </c>
      <c r="X2" s="4">
        <f t="shared" si="0"/>
        <v>3.4003581782857295E-3</v>
      </c>
      <c r="Y2" s="4">
        <f t="shared" si="0"/>
        <v>3.4003581782857295E-3</v>
      </c>
      <c r="Z2" s="4">
        <f t="shared" si="0"/>
        <v>3.4003581782857295E-3</v>
      </c>
      <c r="AA2" s="4">
        <f t="shared" si="0"/>
        <v>3.4003581782857295E-3</v>
      </c>
      <c r="AB2" s="4">
        <f t="shared" si="0"/>
        <v>3.4003581782857295E-3</v>
      </c>
      <c r="AC2" s="4">
        <f t="shared" si="0"/>
        <v>3.4003581782857295E-3</v>
      </c>
      <c r="AD2" s="4">
        <f t="shared" si="0"/>
        <v>3.4003581782857295E-3</v>
      </c>
      <c r="AE2" s="4">
        <f t="shared" si="0"/>
        <v>3.4003581782857295E-3</v>
      </c>
      <c r="AG2" s="4"/>
      <c r="AH2" s="4"/>
    </row>
    <row r="3" spans="1:34">
      <c r="A3" t="s">
        <v>3</v>
      </c>
      <c r="B3" s="4">
        <v>2.8226770072497282E-3</v>
      </c>
      <c r="C3" s="4">
        <f t="shared" ref="C3:C8" si="1">B3</f>
        <v>2.8226770072497282E-3</v>
      </c>
      <c r="D3" s="4">
        <f t="shared" ref="D3:Q3" si="2">C3</f>
        <v>2.8226770072497282E-3</v>
      </c>
      <c r="E3" s="4">
        <f t="shared" si="2"/>
        <v>2.8226770072497282E-3</v>
      </c>
      <c r="F3" s="4">
        <f t="shared" si="2"/>
        <v>2.8226770072497282E-3</v>
      </c>
      <c r="G3" s="4">
        <f t="shared" si="2"/>
        <v>2.8226770072497282E-3</v>
      </c>
      <c r="H3" s="4">
        <f t="shared" si="2"/>
        <v>2.8226770072497282E-3</v>
      </c>
      <c r="I3" s="4">
        <f t="shared" si="2"/>
        <v>2.8226770072497282E-3</v>
      </c>
      <c r="J3" s="4">
        <f t="shared" si="2"/>
        <v>2.8226770072497282E-3</v>
      </c>
      <c r="K3" s="4">
        <f t="shared" si="2"/>
        <v>2.8226770072497282E-3</v>
      </c>
      <c r="L3" s="4">
        <f t="shared" si="2"/>
        <v>2.8226770072497282E-3</v>
      </c>
      <c r="M3" s="4">
        <f t="shared" si="2"/>
        <v>2.8226770072497282E-3</v>
      </c>
      <c r="N3" s="4">
        <f t="shared" si="2"/>
        <v>2.8226770072497282E-3</v>
      </c>
      <c r="O3" s="4">
        <f t="shared" si="2"/>
        <v>2.8226770072497282E-3</v>
      </c>
      <c r="P3" s="4">
        <f t="shared" si="2"/>
        <v>2.8226770072497282E-3</v>
      </c>
      <c r="Q3" s="4">
        <f t="shared" si="2"/>
        <v>2.8226770072497282E-3</v>
      </c>
      <c r="R3" s="4">
        <f t="shared" si="0"/>
        <v>2.8226770072497282E-3</v>
      </c>
      <c r="S3" s="4">
        <f t="shared" si="0"/>
        <v>2.8226770072497282E-3</v>
      </c>
      <c r="T3" s="4">
        <f t="shared" si="0"/>
        <v>2.8226770072497282E-3</v>
      </c>
      <c r="U3" s="4">
        <f t="shared" si="0"/>
        <v>2.8226770072497282E-3</v>
      </c>
      <c r="V3" s="4">
        <f t="shared" si="0"/>
        <v>2.8226770072497282E-3</v>
      </c>
      <c r="W3" s="4">
        <f t="shared" si="0"/>
        <v>2.8226770072497282E-3</v>
      </c>
      <c r="X3" s="4">
        <f t="shared" si="0"/>
        <v>2.8226770072497282E-3</v>
      </c>
      <c r="Y3" s="4">
        <f t="shared" si="0"/>
        <v>2.8226770072497282E-3</v>
      </c>
      <c r="Z3" s="4">
        <f t="shared" si="0"/>
        <v>2.8226770072497282E-3</v>
      </c>
      <c r="AA3" s="4">
        <f t="shared" si="0"/>
        <v>2.8226770072497282E-3</v>
      </c>
      <c r="AB3" s="4">
        <f t="shared" si="0"/>
        <v>2.8226770072497282E-3</v>
      </c>
      <c r="AC3" s="4">
        <f t="shared" si="0"/>
        <v>2.8226770072497282E-3</v>
      </c>
      <c r="AD3" s="4">
        <f t="shared" si="0"/>
        <v>2.8226770072497282E-3</v>
      </c>
      <c r="AE3" s="4">
        <f t="shared" si="0"/>
        <v>2.8226770072497282E-3</v>
      </c>
      <c r="AG3" s="4"/>
      <c r="AH3" s="4"/>
    </row>
    <row r="4" spans="1:34">
      <c r="A4" t="s">
        <v>4</v>
      </c>
      <c r="B4" s="4">
        <v>9.1563612345912568E-4</v>
      </c>
      <c r="C4" s="4">
        <f t="shared" si="1"/>
        <v>9.1563612345912568E-4</v>
      </c>
      <c r="D4" s="4">
        <f t="shared" si="0"/>
        <v>9.1563612345912568E-4</v>
      </c>
      <c r="E4" s="4">
        <f t="shared" si="0"/>
        <v>9.1563612345912568E-4</v>
      </c>
      <c r="F4" s="4">
        <f t="shared" si="0"/>
        <v>9.1563612345912568E-4</v>
      </c>
      <c r="G4" s="4">
        <f t="shared" si="0"/>
        <v>9.1563612345912568E-4</v>
      </c>
      <c r="H4" s="4">
        <f t="shared" si="0"/>
        <v>9.1563612345912568E-4</v>
      </c>
      <c r="I4" s="4">
        <f t="shared" si="0"/>
        <v>9.1563612345912568E-4</v>
      </c>
      <c r="J4" s="4">
        <f t="shared" si="0"/>
        <v>9.1563612345912568E-4</v>
      </c>
      <c r="K4" s="4">
        <f t="shared" si="0"/>
        <v>9.1563612345912568E-4</v>
      </c>
      <c r="L4" s="4">
        <f t="shared" si="0"/>
        <v>9.1563612345912568E-4</v>
      </c>
      <c r="M4" s="4">
        <f t="shared" si="0"/>
        <v>9.1563612345912568E-4</v>
      </c>
      <c r="N4" s="4">
        <f t="shared" si="0"/>
        <v>9.1563612345912568E-4</v>
      </c>
      <c r="O4" s="4">
        <f t="shared" si="0"/>
        <v>9.1563612345912568E-4</v>
      </c>
      <c r="P4" s="4">
        <f t="shared" si="0"/>
        <v>9.1563612345912568E-4</v>
      </c>
      <c r="Q4" s="4">
        <f t="shared" si="0"/>
        <v>9.1563612345912568E-4</v>
      </c>
      <c r="R4" s="4">
        <f t="shared" si="0"/>
        <v>9.1563612345912568E-4</v>
      </c>
      <c r="S4" s="4">
        <f t="shared" si="0"/>
        <v>9.1563612345912568E-4</v>
      </c>
      <c r="T4" s="4">
        <f t="shared" si="0"/>
        <v>9.1563612345912568E-4</v>
      </c>
      <c r="U4" s="4">
        <f t="shared" si="0"/>
        <v>9.1563612345912568E-4</v>
      </c>
      <c r="V4" s="4">
        <f t="shared" si="0"/>
        <v>9.1563612345912568E-4</v>
      </c>
      <c r="W4" s="4">
        <f t="shared" si="0"/>
        <v>9.1563612345912568E-4</v>
      </c>
      <c r="X4" s="4">
        <f t="shared" si="0"/>
        <v>9.1563612345912568E-4</v>
      </c>
      <c r="Y4" s="4">
        <f t="shared" si="0"/>
        <v>9.1563612345912568E-4</v>
      </c>
      <c r="Z4" s="4">
        <f t="shared" si="0"/>
        <v>9.1563612345912568E-4</v>
      </c>
      <c r="AA4" s="4">
        <f t="shared" si="0"/>
        <v>9.1563612345912568E-4</v>
      </c>
      <c r="AB4" s="4">
        <f t="shared" si="0"/>
        <v>9.1563612345912568E-4</v>
      </c>
      <c r="AC4" s="4">
        <f t="shared" si="0"/>
        <v>9.1563612345912568E-4</v>
      </c>
      <c r="AD4" s="4">
        <f t="shared" si="0"/>
        <v>9.1563612345912568E-4</v>
      </c>
      <c r="AE4" s="4">
        <f t="shared" si="0"/>
        <v>9.1563612345912568E-4</v>
      </c>
      <c r="AG4" s="4"/>
      <c r="AH4" s="4"/>
    </row>
    <row r="5" spans="1:34">
      <c r="A5" t="s">
        <v>5</v>
      </c>
      <c r="B5" s="4">
        <v>1.0581562199094108E-3</v>
      </c>
      <c r="C5" s="4">
        <f t="shared" si="1"/>
        <v>1.0581562199094108E-3</v>
      </c>
      <c r="D5" s="4">
        <f t="shared" si="0"/>
        <v>1.0581562199094108E-3</v>
      </c>
      <c r="E5" s="4">
        <f t="shared" si="0"/>
        <v>1.0581562199094108E-3</v>
      </c>
      <c r="F5" s="4">
        <f t="shared" si="0"/>
        <v>1.0581562199094108E-3</v>
      </c>
      <c r="G5" s="4">
        <f t="shared" si="0"/>
        <v>1.0581562199094108E-3</v>
      </c>
      <c r="H5" s="4">
        <f t="shared" si="0"/>
        <v>1.0581562199094108E-3</v>
      </c>
      <c r="I5" s="4">
        <f t="shared" si="0"/>
        <v>1.0581562199094108E-3</v>
      </c>
      <c r="J5" s="4">
        <f t="shared" si="0"/>
        <v>1.0581562199094108E-3</v>
      </c>
      <c r="K5" s="4">
        <f t="shared" si="0"/>
        <v>1.0581562199094108E-3</v>
      </c>
      <c r="L5" s="4">
        <f t="shared" si="0"/>
        <v>1.0581562199094108E-3</v>
      </c>
      <c r="M5" s="4">
        <f t="shared" si="0"/>
        <v>1.0581562199094108E-3</v>
      </c>
      <c r="N5" s="4">
        <f t="shared" si="0"/>
        <v>1.0581562199094108E-3</v>
      </c>
      <c r="O5" s="4">
        <f t="shared" si="0"/>
        <v>1.0581562199094108E-3</v>
      </c>
      <c r="P5" s="4">
        <f t="shared" si="0"/>
        <v>1.0581562199094108E-3</v>
      </c>
      <c r="Q5" s="4">
        <f t="shared" si="0"/>
        <v>1.0581562199094108E-3</v>
      </c>
      <c r="R5" s="4">
        <f t="shared" si="0"/>
        <v>1.0581562199094108E-3</v>
      </c>
      <c r="S5" s="4">
        <f t="shared" si="0"/>
        <v>1.0581562199094108E-3</v>
      </c>
      <c r="T5" s="4">
        <f t="shared" si="0"/>
        <v>1.0581562199094108E-3</v>
      </c>
      <c r="U5" s="4">
        <f t="shared" si="0"/>
        <v>1.0581562199094108E-3</v>
      </c>
      <c r="V5" s="4">
        <f t="shared" si="0"/>
        <v>1.0581562199094108E-3</v>
      </c>
      <c r="W5" s="4">
        <f t="shared" si="0"/>
        <v>1.0581562199094108E-3</v>
      </c>
      <c r="X5" s="4">
        <f t="shared" si="0"/>
        <v>1.0581562199094108E-3</v>
      </c>
      <c r="Y5" s="4">
        <f t="shared" si="0"/>
        <v>1.0581562199094108E-3</v>
      </c>
      <c r="Z5" s="4">
        <f t="shared" si="0"/>
        <v>1.0581562199094108E-3</v>
      </c>
      <c r="AA5" s="4">
        <f t="shared" si="0"/>
        <v>1.0581562199094108E-3</v>
      </c>
      <c r="AB5" s="4">
        <f t="shared" si="0"/>
        <v>1.0581562199094108E-3</v>
      </c>
      <c r="AC5" s="4">
        <f t="shared" si="0"/>
        <v>1.0581562199094108E-3</v>
      </c>
      <c r="AD5" s="4">
        <f t="shared" si="0"/>
        <v>1.0581562199094108E-3</v>
      </c>
      <c r="AE5" s="4">
        <f t="shared" si="0"/>
        <v>1.0581562199094108E-3</v>
      </c>
      <c r="AG5" s="4"/>
      <c r="AH5" s="4"/>
    </row>
    <row r="6" spans="1:34">
      <c r="A6" t="s">
        <v>6</v>
      </c>
      <c r="B6" s="4">
        <v>2.3463672970163861E-3</v>
      </c>
      <c r="C6" s="4">
        <f t="shared" si="1"/>
        <v>2.3463672970163861E-3</v>
      </c>
      <c r="D6" s="4">
        <f t="shared" si="0"/>
        <v>2.3463672970163861E-3</v>
      </c>
      <c r="E6" s="4">
        <f t="shared" si="0"/>
        <v>2.3463672970163861E-3</v>
      </c>
      <c r="F6" s="4">
        <f t="shared" si="0"/>
        <v>2.3463672970163861E-3</v>
      </c>
      <c r="G6" s="4">
        <f t="shared" si="0"/>
        <v>2.3463672970163861E-3</v>
      </c>
      <c r="H6" s="4">
        <f t="shared" si="0"/>
        <v>2.3463672970163861E-3</v>
      </c>
      <c r="I6" s="4">
        <f t="shared" si="0"/>
        <v>2.3463672970163861E-3</v>
      </c>
      <c r="J6" s="4">
        <f t="shared" si="0"/>
        <v>2.3463672970163861E-3</v>
      </c>
      <c r="K6" s="4">
        <f t="shared" si="0"/>
        <v>2.3463672970163861E-3</v>
      </c>
      <c r="L6" s="4">
        <f t="shared" si="0"/>
        <v>2.3463672970163861E-3</v>
      </c>
      <c r="M6" s="4">
        <f t="shared" si="0"/>
        <v>2.3463672970163861E-3</v>
      </c>
      <c r="N6" s="4">
        <f t="shared" si="0"/>
        <v>2.3463672970163861E-3</v>
      </c>
      <c r="O6" s="4">
        <f t="shared" si="0"/>
        <v>2.3463672970163861E-3</v>
      </c>
      <c r="P6" s="4">
        <f t="shared" si="0"/>
        <v>2.3463672970163861E-3</v>
      </c>
      <c r="Q6" s="4">
        <f t="shared" si="0"/>
        <v>2.3463672970163861E-3</v>
      </c>
      <c r="R6" s="4">
        <f t="shared" si="0"/>
        <v>2.3463672970163861E-3</v>
      </c>
      <c r="S6" s="4">
        <f t="shared" si="0"/>
        <v>2.3463672970163861E-3</v>
      </c>
      <c r="T6" s="4">
        <f t="shared" si="0"/>
        <v>2.3463672970163861E-3</v>
      </c>
      <c r="U6" s="4">
        <f t="shared" si="0"/>
        <v>2.3463672970163861E-3</v>
      </c>
      <c r="V6" s="4">
        <f t="shared" si="0"/>
        <v>2.3463672970163861E-3</v>
      </c>
      <c r="W6" s="4">
        <f t="shared" si="0"/>
        <v>2.3463672970163861E-3</v>
      </c>
      <c r="X6" s="4">
        <f t="shared" si="0"/>
        <v>2.3463672970163861E-3</v>
      </c>
      <c r="Y6" s="4">
        <f t="shared" si="0"/>
        <v>2.3463672970163861E-3</v>
      </c>
      <c r="Z6" s="4">
        <f t="shared" si="0"/>
        <v>2.3463672970163861E-3</v>
      </c>
      <c r="AA6" s="4">
        <f t="shared" si="0"/>
        <v>2.3463672970163861E-3</v>
      </c>
      <c r="AB6" s="4">
        <f t="shared" si="0"/>
        <v>2.3463672970163861E-3</v>
      </c>
      <c r="AC6" s="4">
        <f t="shared" si="0"/>
        <v>2.3463672970163861E-3</v>
      </c>
      <c r="AD6" s="4">
        <f t="shared" si="0"/>
        <v>2.3463672970163861E-3</v>
      </c>
      <c r="AE6" s="4">
        <f t="shared" si="0"/>
        <v>2.3463672970163861E-3</v>
      </c>
      <c r="AG6" s="4"/>
      <c r="AH6" s="4"/>
    </row>
    <row r="7" spans="1:34">
      <c r="A7" t="s">
        <v>84</v>
      </c>
      <c r="B7" s="4">
        <v>3.076266427557592E-3</v>
      </c>
      <c r="C7" s="4">
        <f t="shared" si="1"/>
        <v>3.076266427557592E-3</v>
      </c>
      <c r="D7" s="4">
        <f t="shared" si="0"/>
        <v>3.076266427557592E-3</v>
      </c>
      <c r="E7" s="4">
        <f t="shared" si="0"/>
        <v>3.076266427557592E-3</v>
      </c>
      <c r="F7" s="4">
        <f t="shared" si="0"/>
        <v>3.076266427557592E-3</v>
      </c>
      <c r="G7" s="4">
        <f t="shared" si="0"/>
        <v>3.076266427557592E-3</v>
      </c>
      <c r="H7" s="4">
        <f t="shared" si="0"/>
        <v>3.076266427557592E-3</v>
      </c>
      <c r="I7" s="4">
        <f t="shared" si="0"/>
        <v>3.076266427557592E-3</v>
      </c>
      <c r="J7" s="4">
        <f t="shared" si="0"/>
        <v>3.076266427557592E-3</v>
      </c>
      <c r="K7" s="4">
        <f t="shared" si="0"/>
        <v>3.076266427557592E-3</v>
      </c>
      <c r="L7" s="4">
        <f t="shared" si="0"/>
        <v>3.076266427557592E-3</v>
      </c>
      <c r="M7" s="4">
        <f t="shared" si="0"/>
        <v>3.076266427557592E-3</v>
      </c>
      <c r="N7" s="4">
        <f t="shared" si="0"/>
        <v>3.076266427557592E-3</v>
      </c>
      <c r="O7" s="4">
        <f t="shared" si="0"/>
        <v>3.076266427557592E-3</v>
      </c>
      <c r="P7" s="4">
        <f t="shared" si="0"/>
        <v>3.076266427557592E-3</v>
      </c>
      <c r="Q7" s="4">
        <f t="shared" si="0"/>
        <v>3.076266427557592E-3</v>
      </c>
      <c r="R7" s="4">
        <f t="shared" si="0"/>
        <v>3.076266427557592E-3</v>
      </c>
      <c r="S7" s="4">
        <f t="shared" si="0"/>
        <v>3.076266427557592E-3</v>
      </c>
      <c r="T7" s="4">
        <f t="shared" si="0"/>
        <v>3.076266427557592E-3</v>
      </c>
      <c r="U7" s="4">
        <f t="shared" si="0"/>
        <v>3.076266427557592E-3</v>
      </c>
      <c r="V7" s="4">
        <f t="shared" si="0"/>
        <v>3.076266427557592E-3</v>
      </c>
      <c r="W7" s="4">
        <f t="shared" si="0"/>
        <v>3.076266427557592E-3</v>
      </c>
      <c r="X7" s="4">
        <f t="shared" si="0"/>
        <v>3.076266427557592E-3</v>
      </c>
      <c r="Y7" s="4">
        <f t="shared" si="0"/>
        <v>3.076266427557592E-3</v>
      </c>
      <c r="Z7" s="4">
        <f t="shared" si="0"/>
        <v>3.076266427557592E-3</v>
      </c>
      <c r="AA7" s="4">
        <f t="shared" si="0"/>
        <v>3.076266427557592E-3</v>
      </c>
      <c r="AB7" s="4">
        <f t="shared" si="0"/>
        <v>3.076266427557592E-3</v>
      </c>
      <c r="AC7" s="4">
        <f t="shared" si="0"/>
        <v>3.076266427557592E-3</v>
      </c>
      <c r="AD7" s="4">
        <f t="shared" si="0"/>
        <v>3.076266427557592E-3</v>
      </c>
      <c r="AE7" s="4">
        <f t="shared" si="0"/>
        <v>3.076266427557592E-3</v>
      </c>
      <c r="AG7" s="4"/>
      <c r="AH7" s="4"/>
    </row>
    <row r="8" spans="1:34">
      <c r="A8" t="s">
        <v>85</v>
      </c>
      <c r="B8" s="4">
        <v>3.1744686597282318E-3</v>
      </c>
      <c r="C8" s="4">
        <f t="shared" si="1"/>
        <v>3.1744686597282318E-3</v>
      </c>
      <c r="D8" s="4">
        <f t="shared" si="0"/>
        <v>3.1744686597282318E-3</v>
      </c>
      <c r="E8" s="4">
        <f t="shared" si="0"/>
        <v>3.1744686597282318E-3</v>
      </c>
      <c r="F8" s="4">
        <f t="shared" si="0"/>
        <v>3.1744686597282318E-3</v>
      </c>
      <c r="G8" s="4">
        <f t="shared" si="0"/>
        <v>3.1744686597282318E-3</v>
      </c>
      <c r="H8" s="4">
        <f t="shared" si="0"/>
        <v>3.1744686597282318E-3</v>
      </c>
      <c r="I8" s="4">
        <f t="shared" si="0"/>
        <v>3.1744686597282318E-3</v>
      </c>
      <c r="J8" s="4">
        <f t="shared" si="0"/>
        <v>3.1744686597282318E-3</v>
      </c>
      <c r="K8" s="4">
        <f t="shared" si="0"/>
        <v>3.1744686597282318E-3</v>
      </c>
      <c r="L8" s="4">
        <f t="shared" si="0"/>
        <v>3.1744686597282318E-3</v>
      </c>
      <c r="M8" s="4">
        <f t="shared" si="0"/>
        <v>3.1744686597282318E-3</v>
      </c>
      <c r="N8" s="4">
        <f t="shared" si="0"/>
        <v>3.1744686597282318E-3</v>
      </c>
      <c r="O8" s="4">
        <f t="shared" si="0"/>
        <v>3.1744686597282318E-3</v>
      </c>
      <c r="P8" s="4">
        <f t="shared" si="0"/>
        <v>3.1744686597282318E-3</v>
      </c>
      <c r="Q8" s="4">
        <f t="shared" si="0"/>
        <v>3.1744686597282318E-3</v>
      </c>
      <c r="R8" s="4">
        <f t="shared" si="0"/>
        <v>3.1744686597282318E-3</v>
      </c>
      <c r="S8" s="4">
        <f t="shared" si="0"/>
        <v>3.1744686597282318E-3</v>
      </c>
      <c r="T8" s="4">
        <f t="shared" si="0"/>
        <v>3.1744686597282318E-3</v>
      </c>
      <c r="U8" s="4">
        <f t="shared" si="0"/>
        <v>3.1744686597282318E-3</v>
      </c>
      <c r="V8" s="4">
        <f t="shared" si="0"/>
        <v>3.1744686597282318E-3</v>
      </c>
      <c r="W8" s="4">
        <f t="shared" si="0"/>
        <v>3.1744686597282318E-3</v>
      </c>
      <c r="X8" s="4">
        <f t="shared" si="0"/>
        <v>3.1744686597282318E-3</v>
      </c>
      <c r="Y8" s="4">
        <f t="shared" si="0"/>
        <v>3.1744686597282318E-3</v>
      </c>
      <c r="Z8" s="4">
        <f t="shared" si="0"/>
        <v>3.1744686597282318E-3</v>
      </c>
      <c r="AA8" s="4">
        <f t="shared" si="0"/>
        <v>3.1744686597282318E-3</v>
      </c>
      <c r="AB8" s="4">
        <f t="shared" si="0"/>
        <v>3.1744686597282318E-3</v>
      </c>
      <c r="AC8" s="4">
        <f t="shared" si="0"/>
        <v>3.1744686597282318E-3</v>
      </c>
      <c r="AD8" s="4">
        <f t="shared" si="0"/>
        <v>3.1744686597282318E-3</v>
      </c>
      <c r="AE8" s="4">
        <f t="shared" si="0"/>
        <v>3.1744686597282318E-3</v>
      </c>
      <c r="AG8" s="4"/>
      <c r="AH8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TRANSPOSE(SYFAFE!B11:H11)</f>
        <v>2.228289727670437E-3</v>
      </c>
      <c r="C2" s="4">
        <f>B2</f>
        <v>2.228289727670437E-3</v>
      </c>
      <c r="D2" s="4">
        <f t="shared" ref="D2:AE8" si="0">C2</f>
        <v>2.228289727670437E-3</v>
      </c>
      <c r="E2" s="4">
        <f t="shared" si="0"/>
        <v>2.228289727670437E-3</v>
      </c>
      <c r="F2" s="4">
        <f t="shared" si="0"/>
        <v>2.228289727670437E-3</v>
      </c>
      <c r="G2" s="4">
        <f t="shared" si="0"/>
        <v>2.228289727670437E-3</v>
      </c>
      <c r="H2" s="4">
        <f t="shared" si="0"/>
        <v>2.228289727670437E-3</v>
      </c>
      <c r="I2" s="4">
        <f t="shared" si="0"/>
        <v>2.228289727670437E-3</v>
      </c>
      <c r="J2" s="4">
        <f t="shared" si="0"/>
        <v>2.228289727670437E-3</v>
      </c>
      <c r="K2" s="4">
        <f t="shared" si="0"/>
        <v>2.228289727670437E-3</v>
      </c>
      <c r="L2" s="4">
        <f t="shared" si="0"/>
        <v>2.228289727670437E-3</v>
      </c>
      <c r="M2" s="4">
        <f t="shared" si="0"/>
        <v>2.228289727670437E-3</v>
      </c>
      <c r="N2" s="4">
        <f t="shared" si="0"/>
        <v>2.228289727670437E-3</v>
      </c>
      <c r="O2" s="4">
        <f t="shared" si="0"/>
        <v>2.228289727670437E-3</v>
      </c>
      <c r="P2" s="4">
        <f t="shared" si="0"/>
        <v>2.228289727670437E-3</v>
      </c>
      <c r="Q2" s="4">
        <f t="shared" si="0"/>
        <v>2.228289727670437E-3</v>
      </c>
      <c r="R2" s="4">
        <f t="shared" si="0"/>
        <v>2.228289727670437E-3</v>
      </c>
      <c r="S2" s="4">
        <f t="shared" si="0"/>
        <v>2.228289727670437E-3</v>
      </c>
      <c r="T2" s="4">
        <f t="shared" si="0"/>
        <v>2.228289727670437E-3</v>
      </c>
      <c r="U2" s="4">
        <f t="shared" si="0"/>
        <v>2.228289727670437E-3</v>
      </c>
      <c r="V2" s="4">
        <f t="shared" si="0"/>
        <v>2.228289727670437E-3</v>
      </c>
      <c r="W2" s="4">
        <f t="shared" si="0"/>
        <v>2.228289727670437E-3</v>
      </c>
      <c r="X2" s="4">
        <f t="shared" si="0"/>
        <v>2.228289727670437E-3</v>
      </c>
      <c r="Y2" s="4">
        <f t="shared" si="0"/>
        <v>2.228289727670437E-3</v>
      </c>
      <c r="Z2" s="4">
        <f t="shared" si="0"/>
        <v>2.228289727670437E-3</v>
      </c>
      <c r="AA2" s="4">
        <f t="shared" si="0"/>
        <v>2.228289727670437E-3</v>
      </c>
      <c r="AB2" s="4">
        <f t="shared" si="0"/>
        <v>2.228289727670437E-3</v>
      </c>
      <c r="AC2" s="4">
        <f t="shared" si="0"/>
        <v>2.228289727670437E-3</v>
      </c>
      <c r="AD2" s="4">
        <f t="shared" si="0"/>
        <v>2.228289727670437E-3</v>
      </c>
      <c r="AE2" s="4">
        <f t="shared" si="0"/>
        <v>2.228289727670437E-3</v>
      </c>
      <c r="AG2" s="4"/>
      <c r="AH2" s="4"/>
    </row>
    <row r="3" spans="1:34">
      <c r="A3" t="s">
        <v>3</v>
      </c>
      <c r="B3" s="4">
        <v>4.9095868400551087E-4</v>
      </c>
      <c r="C3" s="4">
        <f t="shared" ref="C3:C8" si="1">B3</f>
        <v>4.9095868400551087E-4</v>
      </c>
      <c r="D3" s="4">
        <f t="shared" ref="D3:Q3" si="2">C3</f>
        <v>4.9095868400551087E-4</v>
      </c>
      <c r="E3" s="4">
        <f t="shared" si="2"/>
        <v>4.9095868400551087E-4</v>
      </c>
      <c r="F3" s="4">
        <f t="shared" si="2"/>
        <v>4.9095868400551087E-4</v>
      </c>
      <c r="G3" s="4">
        <f t="shared" si="2"/>
        <v>4.9095868400551087E-4</v>
      </c>
      <c r="H3" s="4">
        <f t="shared" si="2"/>
        <v>4.9095868400551087E-4</v>
      </c>
      <c r="I3" s="4">
        <f t="shared" si="2"/>
        <v>4.9095868400551087E-4</v>
      </c>
      <c r="J3" s="4">
        <f t="shared" si="2"/>
        <v>4.9095868400551087E-4</v>
      </c>
      <c r="K3" s="4">
        <f t="shared" si="2"/>
        <v>4.9095868400551087E-4</v>
      </c>
      <c r="L3" s="4">
        <f t="shared" si="2"/>
        <v>4.9095868400551087E-4</v>
      </c>
      <c r="M3" s="4">
        <f t="shared" si="2"/>
        <v>4.9095868400551087E-4</v>
      </c>
      <c r="N3" s="4">
        <f t="shared" si="2"/>
        <v>4.9095868400551087E-4</v>
      </c>
      <c r="O3" s="4">
        <f t="shared" si="2"/>
        <v>4.9095868400551087E-4</v>
      </c>
      <c r="P3" s="4">
        <f t="shared" si="2"/>
        <v>4.9095868400551087E-4</v>
      </c>
      <c r="Q3" s="4">
        <f t="shared" si="2"/>
        <v>4.9095868400551087E-4</v>
      </c>
      <c r="R3" s="4">
        <f t="shared" si="0"/>
        <v>4.9095868400551087E-4</v>
      </c>
      <c r="S3" s="4">
        <f t="shared" si="0"/>
        <v>4.9095868400551087E-4</v>
      </c>
      <c r="T3" s="4">
        <f t="shared" si="0"/>
        <v>4.9095868400551087E-4</v>
      </c>
      <c r="U3" s="4">
        <f t="shared" si="0"/>
        <v>4.9095868400551087E-4</v>
      </c>
      <c r="V3" s="4">
        <f t="shared" si="0"/>
        <v>4.9095868400551087E-4</v>
      </c>
      <c r="W3" s="4">
        <f t="shared" si="0"/>
        <v>4.9095868400551087E-4</v>
      </c>
      <c r="X3" s="4">
        <f t="shared" si="0"/>
        <v>4.9095868400551087E-4</v>
      </c>
      <c r="Y3" s="4">
        <f t="shared" si="0"/>
        <v>4.9095868400551087E-4</v>
      </c>
      <c r="Z3" s="4">
        <f t="shared" si="0"/>
        <v>4.9095868400551087E-4</v>
      </c>
      <c r="AA3" s="4">
        <f t="shared" si="0"/>
        <v>4.9095868400551087E-4</v>
      </c>
      <c r="AB3" s="4">
        <f t="shared" si="0"/>
        <v>4.9095868400551087E-4</v>
      </c>
      <c r="AC3" s="4">
        <f t="shared" si="0"/>
        <v>4.9095868400551087E-4</v>
      </c>
      <c r="AD3" s="4">
        <f t="shared" si="0"/>
        <v>4.9095868400551087E-4</v>
      </c>
      <c r="AE3" s="4">
        <f t="shared" si="0"/>
        <v>4.9095868400551087E-4</v>
      </c>
      <c r="AG3" s="4"/>
      <c r="AH3" s="4"/>
    </row>
    <row r="4" spans="1:34">
      <c r="A4" t="s">
        <v>4</v>
      </c>
      <c r="B4" s="4">
        <v>6.5279355603770168E-3</v>
      </c>
      <c r="C4" s="4">
        <f t="shared" si="1"/>
        <v>6.5279355603770168E-3</v>
      </c>
      <c r="D4" s="4">
        <f t="shared" si="0"/>
        <v>6.5279355603770168E-3</v>
      </c>
      <c r="E4" s="4">
        <f t="shared" si="0"/>
        <v>6.5279355603770168E-3</v>
      </c>
      <c r="F4" s="4">
        <f t="shared" si="0"/>
        <v>6.5279355603770168E-3</v>
      </c>
      <c r="G4" s="4">
        <f t="shared" si="0"/>
        <v>6.5279355603770168E-3</v>
      </c>
      <c r="H4" s="4">
        <f t="shared" si="0"/>
        <v>6.5279355603770168E-3</v>
      </c>
      <c r="I4" s="4">
        <f t="shared" si="0"/>
        <v>6.5279355603770168E-3</v>
      </c>
      <c r="J4" s="4">
        <f t="shared" si="0"/>
        <v>6.5279355603770168E-3</v>
      </c>
      <c r="K4" s="4">
        <f t="shared" si="0"/>
        <v>6.5279355603770168E-3</v>
      </c>
      <c r="L4" s="4">
        <f t="shared" si="0"/>
        <v>6.5279355603770168E-3</v>
      </c>
      <c r="M4" s="4">
        <f t="shared" si="0"/>
        <v>6.5279355603770168E-3</v>
      </c>
      <c r="N4" s="4">
        <f t="shared" si="0"/>
        <v>6.5279355603770168E-3</v>
      </c>
      <c r="O4" s="4">
        <f t="shared" si="0"/>
        <v>6.5279355603770168E-3</v>
      </c>
      <c r="P4" s="4">
        <f t="shared" si="0"/>
        <v>6.5279355603770168E-3</v>
      </c>
      <c r="Q4" s="4">
        <f t="shared" si="0"/>
        <v>6.5279355603770168E-3</v>
      </c>
      <c r="R4" s="4">
        <f t="shared" si="0"/>
        <v>6.5279355603770168E-3</v>
      </c>
      <c r="S4" s="4">
        <f t="shared" si="0"/>
        <v>6.5279355603770168E-3</v>
      </c>
      <c r="T4" s="4">
        <f t="shared" si="0"/>
        <v>6.5279355603770168E-3</v>
      </c>
      <c r="U4" s="4">
        <f t="shared" si="0"/>
        <v>6.5279355603770168E-3</v>
      </c>
      <c r="V4" s="4">
        <f t="shared" si="0"/>
        <v>6.5279355603770168E-3</v>
      </c>
      <c r="W4" s="4">
        <f t="shared" si="0"/>
        <v>6.5279355603770168E-3</v>
      </c>
      <c r="X4" s="4">
        <f t="shared" si="0"/>
        <v>6.5279355603770168E-3</v>
      </c>
      <c r="Y4" s="4">
        <f t="shared" si="0"/>
        <v>6.5279355603770168E-3</v>
      </c>
      <c r="Z4" s="4">
        <f t="shared" si="0"/>
        <v>6.5279355603770168E-3</v>
      </c>
      <c r="AA4" s="4">
        <f t="shared" si="0"/>
        <v>6.5279355603770168E-3</v>
      </c>
      <c r="AB4" s="4">
        <f t="shared" si="0"/>
        <v>6.5279355603770168E-3</v>
      </c>
      <c r="AC4" s="4">
        <f t="shared" si="0"/>
        <v>6.5279355603770168E-3</v>
      </c>
      <c r="AD4" s="4">
        <f t="shared" si="0"/>
        <v>6.5279355603770168E-3</v>
      </c>
      <c r="AE4" s="4">
        <f t="shared" si="0"/>
        <v>6.5279355603770168E-3</v>
      </c>
      <c r="AG4" s="4"/>
      <c r="AH4" s="4"/>
    </row>
    <row r="5" spans="1:34">
      <c r="A5" t="s">
        <v>5</v>
      </c>
      <c r="B5" s="4">
        <v>6.9342066672618309E-4</v>
      </c>
      <c r="C5" s="4">
        <f t="shared" si="1"/>
        <v>6.9342066672618309E-4</v>
      </c>
      <c r="D5" s="4">
        <f t="shared" si="0"/>
        <v>6.9342066672618309E-4</v>
      </c>
      <c r="E5" s="4">
        <f t="shared" si="0"/>
        <v>6.9342066672618309E-4</v>
      </c>
      <c r="F5" s="4">
        <f t="shared" si="0"/>
        <v>6.9342066672618309E-4</v>
      </c>
      <c r="G5" s="4">
        <f t="shared" si="0"/>
        <v>6.9342066672618309E-4</v>
      </c>
      <c r="H5" s="4">
        <f t="shared" si="0"/>
        <v>6.9342066672618309E-4</v>
      </c>
      <c r="I5" s="4">
        <f t="shared" si="0"/>
        <v>6.9342066672618309E-4</v>
      </c>
      <c r="J5" s="4">
        <f t="shared" si="0"/>
        <v>6.9342066672618309E-4</v>
      </c>
      <c r="K5" s="4">
        <f t="shared" si="0"/>
        <v>6.9342066672618309E-4</v>
      </c>
      <c r="L5" s="4">
        <f t="shared" si="0"/>
        <v>6.9342066672618309E-4</v>
      </c>
      <c r="M5" s="4">
        <f t="shared" si="0"/>
        <v>6.9342066672618309E-4</v>
      </c>
      <c r="N5" s="4">
        <f t="shared" si="0"/>
        <v>6.9342066672618309E-4</v>
      </c>
      <c r="O5" s="4">
        <f t="shared" si="0"/>
        <v>6.9342066672618309E-4</v>
      </c>
      <c r="P5" s="4">
        <f t="shared" si="0"/>
        <v>6.9342066672618309E-4</v>
      </c>
      <c r="Q5" s="4">
        <f t="shared" si="0"/>
        <v>6.9342066672618309E-4</v>
      </c>
      <c r="R5" s="4">
        <f t="shared" si="0"/>
        <v>6.9342066672618309E-4</v>
      </c>
      <c r="S5" s="4">
        <f t="shared" si="0"/>
        <v>6.9342066672618309E-4</v>
      </c>
      <c r="T5" s="4">
        <f t="shared" si="0"/>
        <v>6.9342066672618309E-4</v>
      </c>
      <c r="U5" s="4">
        <f t="shared" si="0"/>
        <v>6.9342066672618309E-4</v>
      </c>
      <c r="V5" s="4">
        <f t="shared" si="0"/>
        <v>6.9342066672618309E-4</v>
      </c>
      <c r="W5" s="4">
        <f t="shared" si="0"/>
        <v>6.9342066672618309E-4</v>
      </c>
      <c r="X5" s="4">
        <f t="shared" si="0"/>
        <v>6.9342066672618309E-4</v>
      </c>
      <c r="Y5" s="4">
        <f t="shared" si="0"/>
        <v>6.9342066672618309E-4</v>
      </c>
      <c r="Z5" s="4">
        <f t="shared" si="0"/>
        <v>6.9342066672618309E-4</v>
      </c>
      <c r="AA5" s="4">
        <f t="shared" si="0"/>
        <v>6.9342066672618309E-4</v>
      </c>
      <c r="AB5" s="4">
        <f t="shared" si="0"/>
        <v>6.9342066672618309E-4</v>
      </c>
      <c r="AC5" s="4">
        <f t="shared" si="0"/>
        <v>6.9342066672618309E-4</v>
      </c>
      <c r="AD5" s="4">
        <f t="shared" si="0"/>
        <v>6.9342066672618309E-4</v>
      </c>
      <c r="AE5" s="4">
        <f t="shared" si="0"/>
        <v>6.9342066672618309E-4</v>
      </c>
      <c r="AG5" s="4"/>
      <c r="AH5" s="4"/>
    </row>
    <row r="6" spans="1:34">
      <c r="A6" t="s">
        <v>6</v>
      </c>
      <c r="B6" s="4">
        <v>1.3400471387543073E-3</v>
      </c>
      <c r="C6" s="4">
        <f t="shared" si="1"/>
        <v>1.3400471387543073E-3</v>
      </c>
      <c r="D6" s="4">
        <f t="shared" si="0"/>
        <v>1.3400471387543073E-3</v>
      </c>
      <c r="E6" s="4">
        <f t="shared" si="0"/>
        <v>1.3400471387543073E-3</v>
      </c>
      <c r="F6" s="4">
        <f t="shared" si="0"/>
        <v>1.3400471387543073E-3</v>
      </c>
      <c r="G6" s="4">
        <f t="shared" si="0"/>
        <v>1.3400471387543073E-3</v>
      </c>
      <c r="H6" s="4">
        <f t="shared" si="0"/>
        <v>1.3400471387543073E-3</v>
      </c>
      <c r="I6" s="4">
        <f t="shared" si="0"/>
        <v>1.3400471387543073E-3</v>
      </c>
      <c r="J6" s="4">
        <f t="shared" si="0"/>
        <v>1.3400471387543073E-3</v>
      </c>
      <c r="K6" s="4">
        <f t="shared" si="0"/>
        <v>1.3400471387543073E-3</v>
      </c>
      <c r="L6" s="4">
        <f t="shared" si="0"/>
        <v>1.3400471387543073E-3</v>
      </c>
      <c r="M6" s="4">
        <f t="shared" si="0"/>
        <v>1.3400471387543073E-3</v>
      </c>
      <c r="N6" s="4">
        <f t="shared" si="0"/>
        <v>1.3400471387543073E-3</v>
      </c>
      <c r="O6" s="4">
        <f t="shared" si="0"/>
        <v>1.3400471387543073E-3</v>
      </c>
      <c r="P6" s="4">
        <f t="shared" si="0"/>
        <v>1.3400471387543073E-3</v>
      </c>
      <c r="Q6" s="4">
        <f t="shared" si="0"/>
        <v>1.3400471387543073E-3</v>
      </c>
      <c r="R6" s="4">
        <f t="shared" si="0"/>
        <v>1.3400471387543073E-3</v>
      </c>
      <c r="S6" s="4">
        <f t="shared" si="0"/>
        <v>1.3400471387543073E-3</v>
      </c>
      <c r="T6" s="4">
        <f t="shared" si="0"/>
        <v>1.3400471387543073E-3</v>
      </c>
      <c r="U6" s="4">
        <f t="shared" si="0"/>
        <v>1.3400471387543073E-3</v>
      </c>
      <c r="V6" s="4">
        <f t="shared" si="0"/>
        <v>1.3400471387543073E-3</v>
      </c>
      <c r="W6" s="4">
        <f t="shared" si="0"/>
        <v>1.3400471387543073E-3</v>
      </c>
      <c r="X6" s="4">
        <f t="shared" si="0"/>
        <v>1.3400471387543073E-3</v>
      </c>
      <c r="Y6" s="4">
        <f t="shared" si="0"/>
        <v>1.3400471387543073E-3</v>
      </c>
      <c r="Z6" s="4">
        <f t="shared" si="0"/>
        <v>1.3400471387543073E-3</v>
      </c>
      <c r="AA6" s="4">
        <f t="shared" si="0"/>
        <v>1.3400471387543073E-3</v>
      </c>
      <c r="AB6" s="4">
        <f t="shared" si="0"/>
        <v>1.3400471387543073E-3</v>
      </c>
      <c r="AC6" s="4">
        <f t="shared" si="0"/>
        <v>1.3400471387543073E-3</v>
      </c>
      <c r="AD6" s="4">
        <f t="shared" si="0"/>
        <v>1.3400471387543073E-3</v>
      </c>
      <c r="AE6" s="4">
        <f t="shared" si="0"/>
        <v>1.3400471387543073E-3</v>
      </c>
      <c r="AG6" s="4"/>
      <c r="AH6" s="4"/>
    </row>
    <row r="7" spans="1:34">
      <c r="A7" t="s">
        <v>84</v>
      </c>
      <c r="B7" s="4">
        <v>2.7723416471617654E-3</v>
      </c>
      <c r="C7" s="4">
        <f t="shared" si="1"/>
        <v>2.7723416471617654E-3</v>
      </c>
      <c r="D7" s="4">
        <f t="shared" si="0"/>
        <v>2.7723416471617654E-3</v>
      </c>
      <c r="E7" s="4">
        <f t="shared" si="0"/>
        <v>2.7723416471617654E-3</v>
      </c>
      <c r="F7" s="4">
        <f t="shared" si="0"/>
        <v>2.7723416471617654E-3</v>
      </c>
      <c r="G7" s="4">
        <f t="shared" si="0"/>
        <v>2.7723416471617654E-3</v>
      </c>
      <c r="H7" s="4">
        <f t="shared" si="0"/>
        <v>2.7723416471617654E-3</v>
      </c>
      <c r="I7" s="4">
        <f t="shared" si="0"/>
        <v>2.7723416471617654E-3</v>
      </c>
      <c r="J7" s="4">
        <f t="shared" si="0"/>
        <v>2.7723416471617654E-3</v>
      </c>
      <c r="K7" s="4">
        <f t="shared" si="0"/>
        <v>2.7723416471617654E-3</v>
      </c>
      <c r="L7" s="4">
        <f t="shared" si="0"/>
        <v>2.7723416471617654E-3</v>
      </c>
      <c r="M7" s="4">
        <f t="shared" si="0"/>
        <v>2.7723416471617654E-3</v>
      </c>
      <c r="N7" s="4">
        <f t="shared" si="0"/>
        <v>2.7723416471617654E-3</v>
      </c>
      <c r="O7" s="4">
        <f t="shared" si="0"/>
        <v>2.7723416471617654E-3</v>
      </c>
      <c r="P7" s="4">
        <f t="shared" si="0"/>
        <v>2.7723416471617654E-3</v>
      </c>
      <c r="Q7" s="4">
        <f t="shared" si="0"/>
        <v>2.7723416471617654E-3</v>
      </c>
      <c r="R7" s="4">
        <f t="shared" si="0"/>
        <v>2.7723416471617654E-3</v>
      </c>
      <c r="S7" s="4">
        <f t="shared" si="0"/>
        <v>2.7723416471617654E-3</v>
      </c>
      <c r="T7" s="4">
        <f t="shared" si="0"/>
        <v>2.7723416471617654E-3</v>
      </c>
      <c r="U7" s="4">
        <f t="shared" si="0"/>
        <v>2.7723416471617654E-3</v>
      </c>
      <c r="V7" s="4">
        <f t="shared" si="0"/>
        <v>2.7723416471617654E-3</v>
      </c>
      <c r="W7" s="4">
        <f t="shared" si="0"/>
        <v>2.7723416471617654E-3</v>
      </c>
      <c r="X7" s="4">
        <f t="shared" si="0"/>
        <v>2.7723416471617654E-3</v>
      </c>
      <c r="Y7" s="4">
        <f t="shared" si="0"/>
        <v>2.7723416471617654E-3</v>
      </c>
      <c r="Z7" s="4">
        <f t="shared" si="0"/>
        <v>2.7723416471617654E-3</v>
      </c>
      <c r="AA7" s="4">
        <f t="shared" si="0"/>
        <v>2.7723416471617654E-3</v>
      </c>
      <c r="AB7" s="4">
        <f t="shared" si="0"/>
        <v>2.7723416471617654E-3</v>
      </c>
      <c r="AC7" s="4">
        <f t="shared" si="0"/>
        <v>2.7723416471617654E-3</v>
      </c>
      <c r="AD7" s="4">
        <f t="shared" si="0"/>
        <v>2.7723416471617654E-3</v>
      </c>
      <c r="AE7" s="4">
        <f t="shared" si="0"/>
        <v>2.7723416471617654E-3</v>
      </c>
      <c r="AG7" s="4"/>
      <c r="AH7" s="4"/>
    </row>
    <row r="8" spans="1:34">
      <c r="A8" t="s">
        <v>85</v>
      </c>
      <c r="B8" s="4">
        <v>2.5188574658521696E-3</v>
      </c>
      <c r="C8" s="4">
        <f t="shared" si="1"/>
        <v>2.5188574658521696E-3</v>
      </c>
      <c r="D8" s="4">
        <f t="shared" si="0"/>
        <v>2.5188574658521696E-3</v>
      </c>
      <c r="E8" s="4">
        <f t="shared" si="0"/>
        <v>2.5188574658521696E-3</v>
      </c>
      <c r="F8" s="4">
        <f t="shared" si="0"/>
        <v>2.5188574658521696E-3</v>
      </c>
      <c r="G8" s="4">
        <f t="shared" si="0"/>
        <v>2.5188574658521696E-3</v>
      </c>
      <c r="H8" s="4">
        <f t="shared" si="0"/>
        <v>2.5188574658521696E-3</v>
      </c>
      <c r="I8" s="4">
        <f t="shared" si="0"/>
        <v>2.5188574658521696E-3</v>
      </c>
      <c r="J8" s="4">
        <f t="shared" si="0"/>
        <v>2.5188574658521696E-3</v>
      </c>
      <c r="K8" s="4">
        <f t="shared" si="0"/>
        <v>2.5188574658521696E-3</v>
      </c>
      <c r="L8" s="4">
        <f t="shared" si="0"/>
        <v>2.5188574658521696E-3</v>
      </c>
      <c r="M8" s="4">
        <f t="shared" si="0"/>
        <v>2.5188574658521696E-3</v>
      </c>
      <c r="N8" s="4">
        <f t="shared" si="0"/>
        <v>2.5188574658521696E-3</v>
      </c>
      <c r="O8" s="4">
        <f t="shared" si="0"/>
        <v>2.5188574658521696E-3</v>
      </c>
      <c r="P8" s="4">
        <f t="shared" si="0"/>
        <v>2.5188574658521696E-3</v>
      </c>
      <c r="Q8" s="4">
        <f t="shared" si="0"/>
        <v>2.5188574658521696E-3</v>
      </c>
      <c r="R8" s="4">
        <f t="shared" si="0"/>
        <v>2.5188574658521696E-3</v>
      </c>
      <c r="S8" s="4">
        <f t="shared" si="0"/>
        <v>2.5188574658521696E-3</v>
      </c>
      <c r="T8" s="4">
        <f t="shared" si="0"/>
        <v>2.5188574658521696E-3</v>
      </c>
      <c r="U8" s="4">
        <f t="shared" si="0"/>
        <v>2.5188574658521696E-3</v>
      </c>
      <c r="V8" s="4">
        <f t="shared" si="0"/>
        <v>2.5188574658521696E-3</v>
      </c>
      <c r="W8" s="4">
        <f t="shared" si="0"/>
        <v>2.5188574658521696E-3</v>
      </c>
      <c r="X8" s="4">
        <f t="shared" si="0"/>
        <v>2.5188574658521696E-3</v>
      </c>
      <c r="Y8" s="4">
        <f t="shared" si="0"/>
        <v>2.5188574658521696E-3</v>
      </c>
      <c r="Z8" s="4">
        <f t="shared" si="0"/>
        <v>2.5188574658521696E-3</v>
      </c>
      <c r="AA8" s="4">
        <f t="shared" si="0"/>
        <v>2.5188574658521696E-3</v>
      </c>
      <c r="AB8" s="4">
        <f t="shared" si="0"/>
        <v>2.5188574658521696E-3</v>
      </c>
      <c r="AC8" s="4">
        <f t="shared" si="0"/>
        <v>2.5188574658521696E-3</v>
      </c>
      <c r="AD8" s="4">
        <f t="shared" si="0"/>
        <v>2.5188574658521696E-3</v>
      </c>
      <c r="AE8" s="4">
        <f t="shared" si="0"/>
        <v>2.5188574658521696E-3</v>
      </c>
      <c r="AG8" s="4"/>
      <c r="AH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H8"/>
  <sheetViews>
    <sheetView workbookViewId="0">
      <selection activeCell="D14" sqref="D14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1.3780336177922486E-3</v>
      </c>
      <c r="C2" s="4">
        <f>C$5/(1-'Other Values'!$B$3)</f>
        <v>1.394702045298585E-3</v>
      </c>
      <c r="D2" s="4">
        <f>D$5/(1-'Other Values'!$B$3)</f>
        <v>1.4113704728049271E-3</v>
      </c>
      <c r="E2" s="4">
        <f>E$5/(1-'Other Values'!$B$3)</f>
        <v>1.4280389003112637E-3</v>
      </c>
      <c r="F2" s="4">
        <f>F$5/(1-'Other Values'!$B$3)</f>
        <v>1.4447073278176057E-3</v>
      </c>
      <c r="G2" s="4">
        <f>G$5/(1-'Other Values'!$B$3)</f>
        <v>1.4613757553239421E-3</v>
      </c>
      <c r="H2" s="4">
        <f>H$5/(1-'Other Values'!$B$3)</f>
        <v>1.4780441828302841E-3</v>
      </c>
      <c r="I2" s="4">
        <f>I$5/(1-'Other Values'!$B$3)</f>
        <v>1.4947126103366205E-3</v>
      </c>
      <c r="J2" s="4">
        <f>J$5/(1-'Other Values'!$B$3)</f>
        <v>1.5113810378429625E-3</v>
      </c>
      <c r="K2" s="4">
        <f>K$5/(1-'Other Values'!$B$3)</f>
        <v>1.5280494653492991E-3</v>
      </c>
      <c r="L2" s="4">
        <f>L$5/(1-'Other Values'!$B$3)</f>
        <v>1.5447178928556411E-3</v>
      </c>
      <c r="M2" s="4">
        <f>M$5/(1-'Other Values'!$B$3)</f>
        <v>1.5613863203619775E-3</v>
      </c>
      <c r="N2" s="4">
        <f>N$5/(1-'Other Values'!$B$3)</f>
        <v>1.5780547478683195E-3</v>
      </c>
      <c r="O2" s="4">
        <f>O$5/(1-'Other Values'!$B$3)</f>
        <v>1.5947231753746559E-3</v>
      </c>
      <c r="P2" s="4">
        <f>P$5/(1-'Other Values'!$B$3)</f>
        <v>1.6113916028809925E-3</v>
      </c>
      <c r="Q2" s="4">
        <f>Q$5/(1-'Other Values'!$B$3)</f>
        <v>1.6280600303873345E-3</v>
      </c>
      <c r="R2" s="4">
        <f>R$5/(1-'Other Values'!$B$3)</f>
        <v>1.6447284578936709E-3</v>
      </c>
      <c r="S2" s="4">
        <f>S$5/(1-'Other Values'!$B$3)</f>
        <v>1.661396885400013E-3</v>
      </c>
      <c r="T2" s="4">
        <f>T$5/(1-'Other Values'!$B$3)</f>
        <v>1.6780653129063493E-3</v>
      </c>
      <c r="U2" s="4">
        <f>U$5/(1-'Other Values'!$B$3)</f>
        <v>1.6947337404126914E-3</v>
      </c>
      <c r="V2" s="4">
        <f>V$5/(1-'Other Values'!$B$3)</f>
        <v>1.711402167919028E-3</v>
      </c>
      <c r="W2" s="4">
        <f>W$5/(1-'Other Values'!$B$3)</f>
        <v>1.72807059542537E-3</v>
      </c>
      <c r="X2" s="4">
        <f>X$5/(1-'Other Values'!$B$3)</f>
        <v>1.7447390229317064E-3</v>
      </c>
      <c r="Y2" s="4">
        <f>Y$5/(1-'Other Values'!$B$3)</f>
        <v>1.7614074504380484E-3</v>
      </c>
      <c r="Z2" s="4">
        <f>Z$5/(1-'Other Values'!$B$3)</f>
        <v>1.8395846877216544E-3</v>
      </c>
      <c r="AA2" s="4">
        <f>AA$5/(1-'Other Values'!$B$3)</f>
        <v>1.8164338208636196E-3</v>
      </c>
      <c r="AB2" s="4">
        <f>AB$5/(1-'Other Values'!$B$3)</f>
        <v>1.8257982470394711E-3</v>
      </c>
      <c r="AC2" s="4">
        <f>AC$5/(1-'Other Values'!$B$3)</f>
        <v>1.8358039959613347E-3</v>
      </c>
      <c r="AD2" s="4">
        <f>AD$5/(1-'Other Values'!$B$3)</f>
        <v>1.8489413203048922E-3</v>
      </c>
      <c r="AE2" s="4">
        <f>AE$5/(1-'Other Values'!$B$3)</f>
        <v>1.865544295415052E-3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Extrapolations!Q6</f>
        <v>4.2882977835183994E-4</v>
      </c>
      <c r="C5" s="4">
        <f>Extrapolations!R6</f>
        <v>4.3401682022130295E-4</v>
      </c>
      <c r="D5" s="4">
        <f>Extrapolations!S6</f>
        <v>4.3920386209076769E-4</v>
      </c>
      <c r="E5" s="4">
        <f>Extrapolations!T6</f>
        <v>4.4439090396023069E-4</v>
      </c>
      <c r="F5" s="4">
        <f>Extrapolations!U6</f>
        <v>4.4957794582969543E-4</v>
      </c>
      <c r="G5" s="4">
        <f>Extrapolations!V6</f>
        <v>4.5476498769915844E-4</v>
      </c>
      <c r="H5" s="4">
        <f>Extrapolations!W6</f>
        <v>4.5995202956862317E-4</v>
      </c>
      <c r="I5" s="4">
        <f>Extrapolations!X6</f>
        <v>4.6513907143808618E-4</v>
      </c>
      <c r="J5" s="4">
        <f>Extrapolations!Y6</f>
        <v>4.7032611330755092E-4</v>
      </c>
      <c r="K5" s="4">
        <f>Extrapolations!Z6</f>
        <v>4.7551315517701392E-4</v>
      </c>
      <c r="L5" s="4">
        <f>Extrapolations!AA6</f>
        <v>4.8070019704647866E-4</v>
      </c>
      <c r="M5" s="4">
        <f>Extrapolations!AB6</f>
        <v>4.8588723891594167E-4</v>
      </c>
      <c r="N5" s="4">
        <f>Extrapolations!AC6</f>
        <v>4.9107428078540641E-4</v>
      </c>
      <c r="O5" s="4">
        <f>Extrapolations!AD6</f>
        <v>4.9626132265486941E-4</v>
      </c>
      <c r="P5" s="4">
        <f>Extrapolations!AE6</f>
        <v>5.0144836452433242E-4</v>
      </c>
      <c r="Q5" s="4">
        <f>Extrapolations!AF6</f>
        <v>5.0663540639379716E-4</v>
      </c>
      <c r="R5" s="4">
        <f>Extrapolations!AG6</f>
        <v>5.1182244826326016E-4</v>
      </c>
      <c r="S5" s="4">
        <f>Extrapolations!AH6</f>
        <v>5.170094901327249E-4</v>
      </c>
      <c r="T5" s="4">
        <f>Extrapolations!AI6</f>
        <v>5.2219653200218791E-4</v>
      </c>
      <c r="U5" s="4">
        <f>Extrapolations!AJ6</f>
        <v>5.2738357387165265E-4</v>
      </c>
      <c r="V5" s="4">
        <f>Extrapolations!AK6</f>
        <v>5.3257061574111565E-4</v>
      </c>
      <c r="W5" s="4">
        <f>Extrapolations!AL6</f>
        <v>5.3775765761058039E-4</v>
      </c>
      <c r="X5" s="4">
        <f>Extrapolations!AM6</f>
        <v>5.429446994800434E-4</v>
      </c>
      <c r="Y5" s="4">
        <f>Extrapolations!AN6</f>
        <v>5.4813174134950814E-4</v>
      </c>
      <c r="Z5" s="4">
        <f>Extrapolations!AO6</f>
        <v>5.7245968727451246E-4</v>
      </c>
      <c r="AA5" s="4">
        <f>Extrapolations!AP6</f>
        <v>5.6525537747016295E-4</v>
      </c>
      <c r="AB5" s="4">
        <f>Extrapolations!AQ6</f>
        <v>5.6816948983254214E-4</v>
      </c>
      <c r="AC5" s="4">
        <f>Extrapolations!AR6</f>
        <v>5.7128317518608321E-4</v>
      </c>
      <c r="AD5" s="4">
        <f>Extrapolations!AS6</f>
        <v>5.7537137435165198E-4</v>
      </c>
      <c r="AE5" s="4">
        <f>Extrapolations!AT6</f>
        <v>5.8053804811384778E-4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1.2864893350555196E-3</v>
      </c>
      <c r="C8" s="4">
        <f>C$5*Calculations!$B$27</f>
        <v>1.3020504606639086E-3</v>
      </c>
      <c r="D8" s="4">
        <f>D$5*Calculations!$B$27</f>
        <v>1.3176115862723028E-3</v>
      </c>
      <c r="E8" s="4">
        <f>E$5*Calculations!$B$27</f>
        <v>1.3331727118806919E-3</v>
      </c>
      <c r="F8" s="4">
        <f>F$5*Calculations!$B$27</f>
        <v>1.3487338374890861E-3</v>
      </c>
      <c r="G8" s="4">
        <f>G$5*Calculations!$B$27</f>
        <v>1.3642949630974751E-3</v>
      </c>
      <c r="H8" s="4">
        <f>H$5*Calculations!$B$27</f>
        <v>1.3798560887058693E-3</v>
      </c>
      <c r="I8" s="4">
        <f>I$5*Calculations!$B$27</f>
        <v>1.3954172143142583E-3</v>
      </c>
      <c r="J8" s="4">
        <f>J$5*Calculations!$B$27</f>
        <v>1.4109783399226525E-3</v>
      </c>
      <c r="K8" s="4">
        <f>K$5*Calculations!$B$27</f>
        <v>1.4265394655310416E-3</v>
      </c>
      <c r="L8" s="4">
        <f>L$5*Calculations!$B$27</f>
        <v>1.4421005911394358E-3</v>
      </c>
      <c r="M8" s="4">
        <f>M$5*Calculations!$B$27</f>
        <v>1.4576617167478248E-3</v>
      </c>
      <c r="N8" s="4">
        <f>N$5*Calculations!$B$27</f>
        <v>1.473222842356219E-3</v>
      </c>
      <c r="O8" s="4">
        <f>O$5*Calculations!$B$27</f>
        <v>1.488783967964608E-3</v>
      </c>
      <c r="P8" s="4">
        <f>P$5*Calculations!$B$27</f>
        <v>1.504345093572997E-3</v>
      </c>
      <c r="Q8" s="4">
        <f>Q$5*Calculations!$B$27</f>
        <v>1.5199062191813913E-3</v>
      </c>
      <c r="R8" s="4">
        <f>R$5*Calculations!$B$27</f>
        <v>1.5354673447897803E-3</v>
      </c>
      <c r="S8" s="4">
        <f>S$5*Calculations!$B$27</f>
        <v>1.5510284703981745E-3</v>
      </c>
      <c r="T8" s="4">
        <f>T$5*Calculations!$B$27</f>
        <v>1.5665895960065635E-3</v>
      </c>
      <c r="U8" s="4">
        <f>U$5*Calculations!$B$27</f>
        <v>1.5821507216149577E-3</v>
      </c>
      <c r="V8" s="4">
        <f>V$5*Calculations!$B$27</f>
        <v>1.5977118472233467E-3</v>
      </c>
      <c r="W8" s="4">
        <f>W$5*Calculations!$B$27</f>
        <v>1.613272972831741E-3</v>
      </c>
      <c r="X8" s="4">
        <f>X$5*Calculations!$B$27</f>
        <v>1.62883409844013E-3</v>
      </c>
      <c r="Y8" s="4">
        <f>Y$5*Calculations!$B$27</f>
        <v>1.6443952240485242E-3</v>
      </c>
      <c r="Z8" s="4">
        <f>Z$5*Calculations!$B$27</f>
        <v>1.7173790618235372E-3</v>
      </c>
      <c r="AA8" s="4">
        <f>AA$5*Calculations!$B$27</f>
        <v>1.6957661324104886E-3</v>
      </c>
      <c r="AB8" s="4">
        <f>AB$5*Calculations!$B$27</f>
        <v>1.7045084694976261E-3</v>
      </c>
      <c r="AC8" s="4">
        <f>AC$5*Calculations!$B$27</f>
        <v>1.7138495255582494E-3</v>
      </c>
      <c r="AD8" s="4">
        <f>AD$5*Calculations!$B$27</f>
        <v>1.7261141230549557E-3</v>
      </c>
      <c r="AE8" s="4">
        <f>AE$5*Calculations!$B$27</f>
        <v>1.7416141443415431E-3</v>
      </c>
      <c r="AG8" s="4"/>
      <c r="AH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1.1722254425066041E-4</v>
      </c>
      <c r="C2" s="4">
        <f>C$5/(1-'Other Values'!$B$3)</f>
        <v>1.1863656599543676E-4</v>
      </c>
      <c r="D2" s="4">
        <f>D$5/(1-'Other Values'!$B$3)</f>
        <v>1.2005058774021348E-4</v>
      </c>
      <c r="E2" s="4">
        <f>E$5/(1-'Other Values'!$B$3)</f>
        <v>1.2146460948498984E-4</v>
      </c>
      <c r="F2" s="4">
        <f>F$5/(1-'Other Values'!$B$3)</f>
        <v>1.2287863122976655E-4</v>
      </c>
      <c r="G2" s="4">
        <f>G$5/(1-'Other Values'!$B$3)</f>
        <v>1.2429265297454325E-4</v>
      </c>
      <c r="H2" s="4">
        <f>H$5/(1-'Other Values'!$B$3)</f>
        <v>1.2570667471931959E-4</v>
      </c>
      <c r="I2" s="4">
        <f>I$5/(1-'Other Values'!$B$3)</f>
        <v>1.2712069646409632E-4</v>
      </c>
      <c r="J2" s="4">
        <f>J$5/(1-'Other Values'!$B$3)</f>
        <v>1.2853471820887266E-4</v>
      </c>
      <c r="K2" s="4">
        <f>K$5/(1-'Other Values'!$B$3)</f>
        <v>1.2994873995364939E-4</v>
      </c>
      <c r="L2" s="4">
        <f>L$5/(1-'Other Values'!$B$3)</f>
        <v>1.3136276169842609E-4</v>
      </c>
      <c r="M2" s="4">
        <f>M$5/(1-'Other Values'!$B$3)</f>
        <v>1.3277678344320243E-4</v>
      </c>
      <c r="N2" s="4">
        <f>N$5/(1-'Other Values'!$B$3)</f>
        <v>1.3419080518797916E-4</v>
      </c>
      <c r="O2" s="4">
        <f>O$5/(1-'Other Values'!$B$3)</f>
        <v>1.3560482693275586E-4</v>
      </c>
      <c r="P2" s="4">
        <f>P$5/(1-'Other Values'!$B$3)</f>
        <v>1.3701884867753223E-4</v>
      </c>
      <c r="Q2" s="4">
        <f>Q$5/(1-'Other Values'!$B$3)</f>
        <v>1.3843287042230893E-4</v>
      </c>
      <c r="R2" s="4">
        <f>R$5/(1-'Other Values'!$B$3)</f>
        <v>1.3984689216708527E-4</v>
      </c>
      <c r="S2" s="4">
        <f>S$5/(1-'Other Values'!$B$3)</f>
        <v>1.41260913911862E-4</v>
      </c>
      <c r="T2" s="4">
        <f>T$5/(1-'Other Values'!$B$3)</f>
        <v>1.426749356566387E-4</v>
      </c>
      <c r="U2" s="4">
        <f>U$5/(1-'Other Values'!$B$3)</f>
        <v>1.4408895740141507E-4</v>
      </c>
      <c r="V2" s="4">
        <f>V$5/(1-'Other Values'!$B$3)</f>
        <v>1.4550297914619177E-4</v>
      </c>
      <c r="W2" s="4">
        <f>W$5/(1-'Other Values'!$B$3)</f>
        <v>1.4691700089096812E-4</v>
      </c>
      <c r="X2" s="4">
        <f>X$5/(1-'Other Values'!$B$3)</f>
        <v>1.4833102263574484E-4</v>
      </c>
      <c r="Y2" s="4">
        <f>Y$5/(1-'Other Values'!$B$3)</f>
        <v>1.4974504438052154E-4</v>
      </c>
      <c r="Z2" s="4">
        <f>Z$5/(1-'Other Values'!$B$3)</f>
        <v>1.5605627758270464E-4</v>
      </c>
      <c r="AA2" s="4">
        <f>AA$5/(1-'Other Values'!$B$3)</f>
        <v>1.5409233532508984E-4</v>
      </c>
      <c r="AB2" s="4">
        <f>AB$5/(1-'Other Values'!$B$3)</f>
        <v>1.5488674153017263E-4</v>
      </c>
      <c r="AC2" s="4">
        <f>AC$5/(1-'Other Values'!$B$3)</f>
        <v>1.5573555264585283E-4</v>
      </c>
      <c r="AD2" s="4">
        <f>AD$5/(1-'Other Values'!$B$3)</f>
        <v>1.5685002263907255E-4</v>
      </c>
      <c r="AE2" s="4">
        <f>AE$5/(1-'Other Values'!$B$3)</f>
        <v>1.5825849190378402E-4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Extrapolations!Q7</f>
        <v>3.647844074325616E-5</v>
      </c>
      <c r="C5" s="4">
        <f>Extrapolations!R7</f>
        <v>3.6918469653703644E-5</v>
      </c>
      <c r="D5" s="4">
        <f>Extrapolations!S7</f>
        <v>3.7358498564151237E-5</v>
      </c>
      <c r="E5" s="4">
        <f>Extrapolations!T7</f>
        <v>3.7798527474598721E-5</v>
      </c>
      <c r="F5" s="4">
        <f>Extrapolations!U7</f>
        <v>3.8238556385046314E-5</v>
      </c>
      <c r="G5" s="4">
        <f>Extrapolations!V7</f>
        <v>3.8678585295493906E-5</v>
      </c>
      <c r="H5" s="4">
        <f>Extrapolations!W7</f>
        <v>3.9118614205941391E-5</v>
      </c>
      <c r="I5" s="4">
        <f>Extrapolations!X7</f>
        <v>3.9558643116388983E-5</v>
      </c>
      <c r="J5" s="4">
        <f>Extrapolations!Y7</f>
        <v>3.9998672026836467E-5</v>
      </c>
      <c r="K5" s="4">
        <f>Extrapolations!Z7</f>
        <v>4.043870093728406E-5</v>
      </c>
      <c r="L5" s="4">
        <f>Extrapolations!AA7</f>
        <v>4.0878729847731653E-5</v>
      </c>
      <c r="M5" s="4">
        <f>Extrapolations!AB7</f>
        <v>4.1318758758179137E-5</v>
      </c>
      <c r="N5" s="4">
        <f>Extrapolations!AC7</f>
        <v>4.1758787668626729E-5</v>
      </c>
      <c r="O5" s="4">
        <f>Extrapolations!AD7</f>
        <v>4.2198816579074322E-5</v>
      </c>
      <c r="P5" s="4">
        <f>Extrapolations!AE7</f>
        <v>4.2638845489521806E-5</v>
      </c>
      <c r="Q5" s="4">
        <f>Extrapolations!AF7</f>
        <v>4.3078874399969399E-5</v>
      </c>
      <c r="R5" s="4">
        <f>Extrapolations!AG7</f>
        <v>4.3518903310416883E-5</v>
      </c>
      <c r="S5" s="4">
        <f>Extrapolations!AH7</f>
        <v>4.3958932220864476E-5</v>
      </c>
      <c r="T5" s="4">
        <f>Extrapolations!AI7</f>
        <v>4.4398961131312068E-5</v>
      </c>
      <c r="U5" s="4">
        <f>Extrapolations!AJ7</f>
        <v>4.4838990041759552E-5</v>
      </c>
      <c r="V5" s="4">
        <f>Extrapolations!AK7</f>
        <v>4.5279018952207145E-5</v>
      </c>
      <c r="W5" s="4">
        <f>Extrapolations!AL7</f>
        <v>4.5719047862654629E-5</v>
      </c>
      <c r="X5" s="4">
        <f>Extrapolations!AM7</f>
        <v>4.6159076773102222E-5</v>
      </c>
      <c r="Y5" s="4">
        <f>Extrapolations!AN7</f>
        <v>4.6599105683549815E-5</v>
      </c>
      <c r="Z5" s="4">
        <f>Extrapolations!AO7</f>
        <v>4.8563096039282174E-5</v>
      </c>
      <c r="AA5" s="4">
        <f>Extrapolations!AP7</f>
        <v>4.7951937565239972E-5</v>
      </c>
      <c r="AB5" s="4">
        <f>Extrapolations!AQ7</f>
        <v>4.8199148542133818E-5</v>
      </c>
      <c r="AC5" s="4">
        <f>Extrapolations!AR7</f>
        <v>4.8463289763291303E-5</v>
      </c>
      <c r="AD5" s="4">
        <f>Extrapolations!AS7</f>
        <v>4.8810101273548841E-5</v>
      </c>
      <c r="AE5" s="4">
        <f>Extrapolations!AT7</f>
        <v>4.9248402309752346E-5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1.0943532222976846E-4</v>
      </c>
      <c r="C8" s="4">
        <f>C$5*Calculations!$B$27</f>
        <v>1.1075540896111091E-4</v>
      </c>
      <c r="D8" s="4">
        <f>D$5*Calculations!$B$27</f>
        <v>1.1207549569245369E-4</v>
      </c>
      <c r="E8" s="4">
        <f>E$5*Calculations!$B$27</f>
        <v>1.1339558242379614E-4</v>
      </c>
      <c r="F8" s="4">
        <f>F$5*Calculations!$B$27</f>
        <v>1.1471566915513892E-4</v>
      </c>
      <c r="G8" s="4">
        <f>G$5*Calculations!$B$27</f>
        <v>1.160357558864817E-4</v>
      </c>
      <c r="H8" s="4">
        <f>H$5*Calculations!$B$27</f>
        <v>1.1735584261782415E-4</v>
      </c>
      <c r="I8" s="4">
        <f>I$5*Calculations!$B$27</f>
        <v>1.1867592934916693E-4</v>
      </c>
      <c r="J8" s="4">
        <f>J$5*Calculations!$B$27</f>
        <v>1.1999601608050938E-4</v>
      </c>
      <c r="K8" s="4">
        <f>K$5*Calculations!$B$27</f>
        <v>1.2131610281185216E-4</v>
      </c>
      <c r="L8" s="4">
        <f>L$5*Calculations!$B$27</f>
        <v>1.2263618954319494E-4</v>
      </c>
      <c r="M8" s="4">
        <f>M$5*Calculations!$B$27</f>
        <v>1.2395627627453739E-4</v>
      </c>
      <c r="N8" s="4">
        <f>N$5*Calculations!$B$27</f>
        <v>1.2527636300588017E-4</v>
      </c>
      <c r="O8" s="4">
        <f>O$5*Calculations!$B$27</f>
        <v>1.2659644973722295E-4</v>
      </c>
      <c r="P8" s="4">
        <f>P$5*Calculations!$B$27</f>
        <v>1.279165364685654E-4</v>
      </c>
      <c r="Q8" s="4">
        <f>Q$5*Calculations!$B$27</f>
        <v>1.2923662319990818E-4</v>
      </c>
      <c r="R8" s="4">
        <f>R$5*Calculations!$B$27</f>
        <v>1.3055670993125063E-4</v>
      </c>
      <c r="S8" s="4">
        <f>S$5*Calculations!$B$27</f>
        <v>1.3187679666259341E-4</v>
      </c>
      <c r="T8" s="4">
        <f>T$5*Calculations!$B$27</f>
        <v>1.3319688339393618E-4</v>
      </c>
      <c r="U8" s="4">
        <f>U$5*Calculations!$B$27</f>
        <v>1.3451697012527864E-4</v>
      </c>
      <c r="V8" s="4">
        <f>V$5*Calculations!$B$27</f>
        <v>1.3583705685662141E-4</v>
      </c>
      <c r="W8" s="4">
        <f>W$5*Calculations!$B$27</f>
        <v>1.3715714358796387E-4</v>
      </c>
      <c r="X8" s="4">
        <f>X$5*Calculations!$B$27</f>
        <v>1.3847723031930665E-4</v>
      </c>
      <c r="Y8" s="4">
        <f>Y$5*Calculations!$B$27</f>
        <v>1.3979731705064942E-4</v>
      </c>
      <c r="Z8" s="4">
        <f>Z$5*Calculations!$B$27</f>
        <v>1.4568928811784651E-4</v>
      </c>
      <c r="AA8" s="4">
        <f>AA$5*Calculations!$B$27</f>
        <v>1.4385581269571988E-4</v>
      </c>
      <c r="AB8" s="4">
        <f>AB$5*Calculations!$B$27</f>
        <v>1.4459744562640142E-4</v>
      </c>
      <c r="AC8" s="4">
        <f>AC$5*Calculations!$B$27</f>
        <v>1.4538986928987389E-4</v>
      </c>
      <c r="AD8" s="4">
        <f>AD$5*Calculations!$B$27</f>
        <v>1.464303038206465E-4</v>
      </c>
      <c r="AE8" s="4">
        <f>AE$5*Calculations!$B$27</f>
        <v>1.47745206929257E-4</v>
      </c>
      <c r="AG8" s="4"/>
      <c r="AH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F13"/>
  <sheetViews>
    <sheetView tabSelected="1" workbookViewId="0">
      <selection activeCell="E10" sqref="E10"/>
    </sheetView>
  </sheetViews>
  <sheetFormatPr defaultRowHeight="15"/>
  <cols>
    <col min="1" max="1" width="31.140625" customWidth="1"/>
    <col min="2" max="2" width="10.42578125" customWidth="1"/>
    <col min="3" max="3" width="10.7109375" customWidth="1"/>
  </cols>
  <sheetData>
    <row r="1" spans="1:32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2" s="4" customFormat="1">
      <c r="A2" s="4" t="s">
        <v>2</v>
      </c>
      <c r="B2" s="4">
        <f>Extrapolations!G9</f>
        <v>7.5686214263268839E-4</v>
      </c>
      <c r="C2" s="4">
        <f>Extrapolations!H9</f>
        <v>7.5686214263268839E-4</v>
      </c>
      <c r="D2" s="4">
        <f>Extrapolations!I9</f>
        <v>7.5686214263268839E-4</v>
      </c>
      <c r="E2" s="4">
        <f>Extrapolations!J9</f>
        <v>7.5686214263268839E-4</v>
      </c>
      <c r="F2" s="4">
        <f>Extrapolations!K9</f>
        <v>7.5686214263268839E-4</v>
      </c>
      <c r="G2" s="4">
        <f>Extrapolations!L9</f>
        <v>7.5686214263268839E-4</v>
      </c>
      <c r="H2" s="4">
        <f>Extrapolations!M9</f>
        <v>7.5686214263268839E-4</v>
      </c>
      <c r="I2" s="4">
        <f>Extrapolations!N9</f>
        <v>7.5686214263268839E-4</v>
      </c>
      <c r="J2" s="4">
        <f>Extrapolations!O9</f>
        <v>7.5686214263268839E-4</v>
      </c>
      <c r="K2" s="4">
        <f>Extrapolations!P9</f>
        <v>7.5686214263268839E-4</v>
      </c>
      <c r="L2" s="4">
        <f>Extrapolations!Q9</f>
        <v>7.5686214263268839E-4</v>
      </c>
      <c r="M2" s="4">
        <f>Extrapolations!R9</f>
        <v>7.5686214263268839E-4</v>
      </c>
      <c r="N2" s="4">
        <f>Extrapolations!S9</f>
        <v>7.5686214263268839E-4</v>
      </c>
      <c r="O2" s="4">
        <f>Extrapolations!T9</f>
        <v>7.5686214263268839E-4</v>
      </c>
      <c r="P2" s="4">
        <f>Extrapolations!U9</f>
        <v>7.5686214263268839E-4</v>
      </c>
      <c r="Q2" s="4">
        <f>Extrapolations!V9</f>
        <v>7.5686214263268839E-4</v>
      </c>
      <c r="R2" s="4">
        <f>Extrapolations!W9</f>
        <v>7.5686214263268839E-4</v>
      </c>
      <c r="S2" s="4">
        <f>Extrapolations!X9</f>
        <v>7.5686214263268839E-4</v>
      </c>
      <c r="T2" s="4">
        <f>Extrapolations!Y9</f>
        <v>7.5686214263268839E-4</v>
      </c>
      <c r="U2" s="4">
        <f>Extrapolations!Z9</f>
        <v>7.5686214263268839E-4</v>
      </c>
      <c r="V2" s="4">
        <f>Extrapolations!AA9</f>
        <v>7.5686214263268839E-4</v>
      </c>
      <c r="W2" s="4">
        <f>Extrapolations!AB9</f>
        <v>7.5686214263268839E-4</v>
      </c>
      <c r="X2" s="4">
        <f>Extrapolations!AC9</f>
        <v>7.5686214263268839E-4</v>
      </c>
      <c r="Y2" s="4">
        <f>Extrapolations!AD9</f>
        <v>7.5686214263268839E-4</v>
      </c>
      <c r="Z2" s="4">
        <f>Extrapolations!AE9</f>
        <v>7.5686214263268839E-4</v>
      </c>
      <c r="AA2" s="4">
        <f>Extrapolations!AF9</f>
        <v>7.5686214263268839E-4</v>
      </c>
      <c r="AB2" s="4">
        <f>Extrapolations!AG9</f>
        <v>7.5686214263268839E-4</v>
      </c>
      <c r="AC2" s="4">
        <f>Extrapolations!AH9</f>
        <v>7.5686214263268839E-4</v>
      </c>
      <c r="AD2" s="4">
        <f>Extrapolations!AI9</f>
        <v>7.5686214263268839E-4</v>
      </c>
      <c r="AE2" s="4">
        <f>Extrapolations!AJ9</f>
        <v>7.5686214263268839E-4</v>
      </c>
    </row>
    <row r="3" spans="1:3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2">
      <c r="A5" t="s">
        <v>5</v>
      </c>
      <c r="B5" s="29">
        <f>Extrapolations!G8</f>
        <v>7.1745362435245036E-5</v>
      </c>
      <c r="C5" s="29">
        <f>Extrapolations!H8</f>
        <v>7.1745362435245036E-5</v>
      </c>
      <c r="D5" s="29">
        <f>Extrapolations!I8</f>
        <v>7.1745362435245036E-5</v>
      </c>
      <c r="E5" s="29">
        <f>Extrapolations!J8</f>
        <v>7.1745362435245036E-5</v>
      </c>
      <c r="F5" s="29">
        <f>Extrapolations!K8</f>
        <v>7.1745362435245036E-5</v>
      </c>
      <c r="G5" s="29">
        <f>Extrapolations!L8</f>
        <v>7.1745362435245036E-5</v>
      </c>
      <c r="H5" s="29">
        <f>Extrapolations!M8</f>
        <v>7.1745362435245036E-5</v>
      </c>
      <c r="I5" s="29">
        <f>Extrapolations!N8</f>
        <v>7.1745362435245036E-5</v>
      </c>
      <c r="J5" s="29">
        <f>Extrapolations!O8</f>
        <v>7.1745362435245036E-5</v>
      </c>
      <c r="K5" s="29">
        <f>Extrapolations!P8</f>
        <v>7.1745362435245036E-5</v>
      </c>
      <c r="L5" s="29">
        <f>Extrapolations!Q8</f>
        <v>7.1745362435245036E-5</v>
      </c>
      <c r="M5" s="29">
        <f>Extrapolations!R8</f>
        <v>7.1745362435245036E-5</v>
      </c>
      <c r="N5" s="29">
        <f>Extrapolations!S8</f>
        <v>7.1745362435245036E-5</v>
      </c>
      <c r="O5" s="29">
        <f>Extrapolations!T8</f>
        <v>7.1745362435245036E-5</v>
      </c>
      <c r="P5" s="29">
        <f>Extrapolations!U8</f>
        <v>7.1745362435245036E-5</v>
      </c>
      <c r="Q5" s="29">
        <f>Extrapolations!V8</f>
        <v>7.1745362435245036E-5</v>
      </c>
      <c r="R5" s="29">
        <f>Extrapolations!W8</f>
        <v>7.1745362435245036E-5</v>
      </c>
      <c r="S5" s="29">
        <f>Extrapolations!X8</f>
        <v>7.1745362435245036E-5</v>
      </c>
      <c r="T5" s="29">
        <f>Extrapolations!Y8</f>
        <v>7.1745362435245036E-5</v>
      </c>
      <c r="U5" s="29">
        <f>Extrapolations!Z8</f>
        <v>7.1745362435245036E-5</v>
      </c>
      <c r="V5" s="29">
        <f>Extrapolations!AA8</f>
        <v>7.1745362435245036E-5</v>
      </c>
      <c r="W5" s="29">
        <f>Extrapolations!AB8</f>
        <v>7.1745362435245036E-5</v>
      </c>
      <c r="X5" s="29">
        <f>Extrapolations!AC8</f>
        <v>7.1745362435245036E-5</v>
      </c>
      <c r="Y5" s="29">
        <f>Extrapolations!AD8</f>
        <v>7.1745362435245036E-5</v>
      </c>
      <c r="Z5" s="29">
        <f>Extrapolations!AE8</f>
        <v>7.1745362435245036E-5</v>
      </c>
      <c r="AA5" s="29">
        <f>Extrapolations!AF8</f>
        <v>7.1745362435245036E-5</v>
      </c>
      <c r="AB5" s="29">
        <f>Extrapolations!AG8</f>
        <v>7.1745362435245036E-5</v>
      </c>
      <c r="AC5" s="29">
        <f>Extrapolations!AH8</f>
        <v>7.1745362435245036E-5</v>
      </c>
      <c r="AD5" s="29">
        <f>Extrapolations!AI8</f>
        <v>7.1745362435245036E-5</v>
      </c>
      <c r="AE5" s="29">
        <f>Extrapolations!AJ8</f>
        <v>7.1745362435245036E-5</v>
      </c>
    </row>
    <row r="6" spans="1:3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2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2" s="4" customFormat="1">
      <c r="A8" s="4" t="s">
        <v>85</v>
      </c>
      <c r="B8" s="4">
        <f>B$5*Calculations!$B$27</f>
        <v>2.1523608730573507E-4</v>
      </c>
      <c r="C8" s="4">
        <f>C$5*Calculations!$B$27</f>
        <v>2.1523608730573507E-4</v>
      </c>
      <c r="D8" s="4">
        <f>D$5*Calculations!$B$27</f>
        <v>2.1523608730573507E-4</v>
      </c>
      <c r="E8" s="4">
        <f>E$5*Calculations!$B$27</f>
        <v>2.1523608730573507E-4</v>
      </c>
      <c r="F8" s="4">
        <f>F$5*Calculations!$B$27</f>
        <v>2.1523608730573507E-4</v>
      </c>
      <c r="G8" s="4">
        <f>G$5*Calculations!$B$27</f>
        <v>2.1523608730573507E-4</v>
      </c>
      <c r="H8" s="4">
        <f>H$5*Calculations!$B$27</f>
        <v>2.1523608730573507E-4</v>
      </c>
      <c r="I8" s="4">
        <f>I$5*Calculations!$B$27</f>
        <v>2.1523608730573507E-4</v>
      </c>
      <c r="J8" s="4">
        <f>J$5*Calculations!$B$27</f>
        <v>2.1523608730573507E-4</v>
      </c>
      <c r="K8" s="4">
        <f>K$5*Calculations!$B$27</f>
        <v>2.1523608730573507E-4</v>
      </c>
      <c r="L8" s="4">
        <f>L$5*Calculations!$B$27</f>
        <v>2.1523608730573507E-4</v>
      </c>
      <c r="M8" s="4">
        <f>M$5*Calculations!$B$27</f>
        <v>2.1523608730573507E-4</v>
      </c>
      <c r="N8" s="4">
        <f>N$5*Calculations!$B$27</f>
        <v>2.1523608730573507E-4</v>
      </c>
      <c r="O8" s="4">
        <f>O$5*Calculations!$B$27</f>
        <v>2.1523608730573507E-4</v>
      </c>
      <c r="P8" s="4">
        <f>P$5*Calculations!$B$27</f>
        <v>2.1523608730573507E-4</v>
      </c>
      <c r="Q8" s="4">
        <f>Q$5*Calculations!$B$27</f>
        <v>2.1523608730573507E-4</v>
      </c>
      <c r="R8" s="4">
        <f>R$5*Calculations!$B$27</f>
        <v>2.1523608730573507E-4</v>
      </c>
      <c r="S8" s="4">
        <f>S$5*Calculations!$B$27</f>
        <v>2.1523608730573507E-4</v>
      </c>
      <c r="T8" s="4">
        <f>T$5*Calculations!$B$27</f>
        <v>2.1523608730573507E-4</v>
      </c>
      <c r="U8" s="4">
        <f>U$5*Calculations!$B$27</f>
        <v>2.1523608730573507E-4</v>
      </c>
      <c r="V8" s="4">
        <f>V$5*Calculations!$B$27</f>
        <v>2.1523608730573507E-4</v>
      </c>
      <c r="W8" s="4">
        <f>W$5*Calculations!$B$27</f>
        <v>2.1523608730573507E-4</v>
      </c>
      <c r="X8" s="4">
        <f>X$5*Calculations!$B$27</f>
        <v>2.1523608730573507E-4</v>
      </c>
      <c r="Y8" s="4">
        <f>Y$5*Calculations!$B$27</f>
        <v>2.1523608730573507E-4</v>
      </c>
      <c r="Z8" s="4">
        <f>Z$5*Calculations!$B$27</f>
        <v>2.1523608730573507E-4</v>
      </c>
      <c r="AA8" s="4">
        <f>AA$5*Calculations!$B$27</f>
        <v>2.1523608730573507E-4</v>
      </c>
      <c r="AB8" s="4">
        <f>AB$5*Calculations!$B$27</f>
        <v>2.1523608730573507E-4</v>
      </c>
      <c r="AC8" s="4">
        <f>AC$5*Calculations!$B$27</f>
        <v>2.1523608730573507E-4</v>
      </c>
      <c r="AD8" s="4">
        <f>AD$5*Calculations!$B$27</f>
        <v>2.1523608730573507E-4</v>
      </c>
      <c r="AE8" s="4">
        <f>AE$5*Calculations!$B$27</f>
        <v>2.1523608730573507E-4</v>
      </c>
    </row>
    <row r="13" spans="1:32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H8"/>
  <sheetViews>
    <sheetView workbookViewId="0">
      <selection activeCell="B11" sqref="B11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1.057790065366262E-2</v>
      </c>
      <c r="C2" s="4">
        <f>C$5/(1-'Other Values'!$B$3)</f>
        <v>1.0586381798913589E-2</v>
      </c>
      <c r="D2" s="4">
        <f>D$5/(1-'Other Values'!$B$3)</f>
        <v>1.0594862944164557E-2</v>
      </c>
      <c r="E2" s="4">
        <f>E$5/(1-'Other Values'!$B$3)</f>
        <v>1.0603344089415524E-2</v>
      </c>
      <c r="F2" s="4">
        <f>F$5/(1-'Other Values'!$B$3)</f>
        <v>1.0611825234666493E-2</v>
      </c>
      <c r="G2" s="4">
        <f>G$5/(1-'Other Values'!$B$3)</f>
        <v>1.0620306379917462E-2</v>
      </c>
      <c r="H2" s="4">
        <f>H$5/(1-'Other Values'!$B$3)</f>
        <v>1.062878752516843E-2</v>
      </c>
      <c r="I2" s="4">
        <f>I$5/(1-'Other Values'!$B$3)</f>
        <v>1.0637268670419399E-2</v>
      </c>
      <c r="J2" s="4">
        <f>J$5/(1-'Other Values'!$B$3)</f>
        <v>1.0645749815670368E-2</v>
      </c>
      <c r="K2" s="4">
        <f>K$5/(1-'Other Values'!$B$3)</f>
        <v>1.0654230960921338E-2</v>
      </c>
      <c r="L2" s="4">
        <f>L$5/(1-'Other Values'!$B$3)</f>
        <v>1.0662712106172303E-2</v>
      </c>
      <c r="M2" s="4">
        <f>M$5/(1-'Other Values'!$B$3)</f>
        <v>1.0671193251423272E-2</v>
      </c>
      <c r="N2" s="4">
        <f>N$5/(1-'Other Values'!$B$3)</f>
        <v>1.067967439667424E-2</v>
      </c>
      <c r="O2" s="4">
        <f>O$5/(1-'Other Values'!$B$3)</f>
        <v>1.0688155541925211E-2</v>
      </c>
      <c r="P2" s="4">
        <f>P$5/(1-'Other Values'!$B$3)</f>
        <v>1.0696636687176179E-2</v>
      </c>
      <c r="Q2" s="4">
        <f>Q$5/(1-'Other Values'!$B$3)</f>
        <v>1.0705117832427148E-2</v>
      </c>
      <c r="R2" s="4">
        <f>R$5/(1-'Other Values'!$B$3)</f>
        <v>1.0713598977678117E-2</v>
      </c>
      <c r="S2" s="4">
        <f>S$5/(1-'Other Values'!$B$3)</f>
        <v>1.0722080122929085E-2</v>
      </c>
      <c r="T2" s="4">
        <f>T$5/(1-'Other Values'!$B$3)</f>
        <v>1.0730561268180052E-2</v>
      </c>
      <c r="U2" s="4">
        <f>U$5/(1-'Other Values'!$B$3)</f>
        <v>1.0739042413431021E-2</v>
      </c>
      <c r="V2" s="4">
        <f>V$5/(1-'Other Values'!$B$3)</f>
        <v>1.074752355868199E-2</v>
      </c>
      <c r="W2" s="4">
        <f>W$5/(1-'Other Values'!$B$3)</f>
        <v>1.0756004703932958E-2</v>
      </c>
      <c r="X2" s="4">
        <f>X$5/(1-'Other Values'!$B$3)</f>
        <v>1.0764485849183927E-2</v>
      </c>
      <c r="Y2" s="4">
        <f>Y$5/(1-'Other Values'!$B$3)</f>
        <v>1.0772966994434896E-2</v>
      </c>
      <c r="Z2" s="4">
        <f>Z$5/(1-'Other Values'!$B$3)</f>
        <v>1.0781448139685864E-2</v>
      </c>
      <c r="AA2" s="4">
        <f>AA$5/(1-'Other Values'!$B$3)</f>
        <v>1.0789929284936835E-2</v>
      </c>
      <c r="AB2" s="4">
        <f>AB$5/(1-'Other Values'!$B$3)</f>
        <v>1.07984104301878E-2</v>
      </c>
      <c r="AC2" s="4">
        <f>AC$5/(1-'Other Values'!$B$3)</f>
        <v>1.0806891575438769E-2</v>
      </c>
      <c r="AD2" s="4">
        <f>AD$5/(1-'Other Values'!$B$3)</f>
        <v>1.0815372720689737E-2</v>
      </c>
      <c r="AE2" s="4">
        <f>AE$5/(1-'Other Values'!$B$3)</f>
        <v>1.0823853865940708E-2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Extrapolations!G10</f>
        <v>3.2917330420467188E-3</v>
      </c>
      <c r="C5" s="4">
        <f>Extrapolations!H10</f>
        <v>3.294372286540601E-3</v>
      </c>
      <c r="D5" s="4">
        <f>Extrapolations!I10</f>
        <v>3.2970115310344832E-3</v>
      </c>
      <c r="E5" s="4">
        <f>Extrapolations!J10</f>
        <v>3.2996507755283645E-3</v>
      </c>
      <c r="F5" s="4">
        <f>Extrapolations!K10</f>
        <v>3.3022900200222467E-3</v>
      </c>
      <c r="G5" s="4">
        <f>Extrapolations!L10</f>
        <v>3.3049292645161289E-3</v>
      </c>
      <c r="H5" s="4">
        <f>Extrapolations!M10</f>
        <v>3.3075685090100111E-3</v>
      </c>
      <c r="I5" s="4">
        <f>Extrapolations!N10</f>
        <v>3.3102077535038933E-3</v>
      </c>
      <c r="J5" s="4">
        <f>Extrapolations!O10</f>
        <v>3.3128469979977755E-3</v>
      </c>
      <c r="K5" s="4">
        <f>Extrapolations!P10</f>
        <v>3.3154862424916577E-3</v>
      </c>
      <c r="L5" s="4">
        <f>Extrapolations!Q10</f>
        <v>3.318125486985539E-3</v>
      </c>
      <c r="M5" s="4">
        <f>Extrapolations!R10</f>
        <v>3.3207647314794212E-3</v>
      </c>
      <c r="N5" s="4">
        <f>Extrapolations!S10</f>
        <v>3.3234039759733034E-3</v>
      </c>
      <c r="O5" s="4">
        <f>Extrapolations!T10</f>
        <v>3.3260432204671856E-3</v>
      </c>
      <c r="P5" s="4">
        <f>Extrapolations!U10</f>
        <v>3.3286824649610678E-3</v>
      </c>
      <c r="Q5" s="4">
        <f>Extrapolations!V10</f>
        <v>3.33132170945495E-3</v>
      </c>
      <c r="R5" s="4">
        <f>Extrapolations!W10</f>
        <v>3.3339609539488322E-3</v>
      </c>
      <c r="S5" s="4">
        <f>Extrapolations!X10</f>
        <v>3.3366001984427144E-3</v>
      </c>
      <c r="T5" s="4">
        <f>Extrapolations!Y10</f>
        <v>3.3392394429365957E-3</v>
      </c>
      <c r="U5" s="4">
        <f>Extrapolations!Z10</f>
        <v>3.3418786874304779E-3</v>
      </c>
      <c r="V5" s="4">
        <f>Extrapolations!AA10</f>
        <v>3.3445179319243601E-3</v>
      </c>
      <c r="W5" s="4">
        <f>Extrapolations!AB10</f>
        <v>3.3471571764182423E-3</v>
      </c>
      <c r="X5" s="4">
        <f>Extrapolations!AC10</f>
        <v>3.3497964209121245E-3</v>
      </c>
      <c r="Y5" s="4">
        <f>Extrapolations!AD10</f>
        <v>3.3524356654060067E-3</v>
      </c>
      <c r="Z5" s="4">
        <f>Extrapolations!AE10</f>
        <v>3.3550749098998889E-3</v>
      </c>
      <c r="AA5" s="4">
        <f>Extrapolations!AF10</f>
        <v>3.3577141543937711E-3</v>
      </c>
      <c r="AB5" s="4">
        <f>Extrapolations!AG10</f>
        <v>3.3603533988876525E-3</v>
      </c>
      <c r="AC5" s="4">
        <f>Extrapolations!AH10</f>
        <v>3.3629926433815347E-3</v>
      </c>
      <c r="AD5" s="4">
        <f>Extrapolations!AI10</f>
        <v>3.3656318878754169E-3</v>
      </c>
      <c r="AE5" s="4">
        <f>Extrapolations!AJ10</f>
        <v>3.3682711323692991E-3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9.875199126140155E-3</v>
      </c>
      <c r="C8" s="4">
        <f>C$5*Calculations!$B$27</f>
        <v>9.8831168596218016E-3</v>
      </c>
      <c r="D8" s="4">
        <f>D$5*Calculations!$B$27</f>
        <v>9.8910345931034482E-3</v>
      </c>
      <c r="E8" s="4">
        <f>E$5*Calculations!$B$27</f>
        <v>9.8989523265850914E-3</v>
      </c>
      <c r="F8" s="4">
        <f>F$5*Calculations!$B$27</f>
        <v>9.906870060066738E-3</v>
      </c>
      <c r="G8" s="4">
        <f>G$5*Calculations!$B$27</f>
        <v>9.9147877935483845E-3</v>
      </c>
      <c r="H8" s="4">
        <f>H$5*Calculations!$B$27</f>
        <v>9.9227055270300311E-3</v>
      </c>
      <c r="I8" s="4">
        <f>I$5*Calculations!$B$27</f>
        <v>9.9306232605116777E-3</v>
      </c>
      <c r="J8" s="4">
        <f>J$5*Calculations!$B$27</f>
        <v>9.9385409939933243E-3</v>
      </c>
      <c r="K8" s="4">
        <f>K$5*Calculations!$B$27</f>
        <v>9.9464587274749709E-3</v>
      </c>
      <c r="L8" s="4">
        <f>L$5*Calculations!$B$27</f>
        <v>9.9543764609566158E-3</v>
      </c>
      <c r="M8" s="4">
        <f>M$5*Calculations!$B$27</f>
        <v>9.9622941944382624E-3</v>
      </c>
      <c r="N8" s="4">
        <f>N$5*Calculations!$B$27</f>
        <v>9.970211927919909E-3</v>
      </c>
      <c r="O8" s="4">
        <f>O$5*Calculations!$B$27</f>
        <v>9.9781296614015556E-3</v>
      </c>
      <c r="P8" s="4">
        <f>P$5*Calculations!$B$27</f>
        <v>9.9860473948832022E-3</v>
      </c>
      <c r="Q8" s="4">
        <f>Q$5*Calculations!$B$27</f>
        <v>9.9939651283648488E-3</v>
      </c>
      <c r="R8" s="4">
        <f>R$5*Calculations!$B$27</f>
        <v>1.0001882861846495E-2</v>
      </c>
      <c r="S8" s="4">
        <f>S$5*Calculations!$B$27</f>
        <v>1.0009800595328142E-2</v>
      </c>
      <c r="T8" s="4">
        <f>T$5*Calculations!$B$27</f>
        <v>1.0017718328809785E-2</v>
      </c>
      <c r="U8" s="4">
        <f>U$5*Calculations!$B$27</f>
        <v>1.0025636062291432E-2</v>
      </c>
      <c r="V8" s="4">
        <f>V$5*Calculations!$B$27</f>
        <v>1.0033553795773078E-2</v>
      </c>
      <c r="W8" s="4">
        <f>W$5*Calculations!$B$27</f>
        <v>1.0041471529254725E-2</v>
      </c>
      <c r="X8" s="4">
        <f>X$5*Calculations!$B$27</f>
        <v>1.0049389262736371E-2</v>
      </c>
      <c r="Y8" s="4">
        <f>Y$5*Calculations!$B$27</f>
        <v>1.0057306996218018E-2</v>
      </c>
      <c r="Z8" s="4">
        <f>Z$5*Calculations!$B$27</f>
        <v>1.0065224729699665E-2</v>
      </c>
      <c r="AA8" s="4">
        <f>AA$5*Calculations!$B$27</f>
        <v>1.0073142463181311E-2</v>
      </c>
      <c r="AB8" s="4">
        <f>AB$5*Calculations!$B$27</f>
        <v>1.0081060196662956E-2</v>
      </c>
      <c r="AC8" s="4">
        <f>AC$5*Calculations!$B$27</f>
        <v>1.0088977930144603E-2</v>
      </c>
      <c r="AD8" s="4">
        <f>AD$5*Calculations!$B$27</f>
        <v>1.0096895663626249E-2</v>
      </c>
      <c r="AE8" s="4">
        <f>AE$5*Calculations!$B$27</f>
        <v>1.0104813397107896E-2</v>
      </c>
      <c r="AG8" s="4"/>
      <c r="AH8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H8"/>
  <sheetViews>
    <sheetView workbookViewId="0">
      <selection activeCell="G16" sqref="G1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TRANSPOSE(SYFAFE!B6:H6)</f>
        <v>4.0472255247854741E-5</v>
      </c>
      <c r="C2" s="4">
        <f>B2</f>
        <v>4.0472255247854741E-5</v>
      </c>
      <c r="D2" s="4">
        <f t="shared" ref="D2:AE8" si="0">C2</f>
        <v>4.0472255247854741E-5</v>
      </c>
      <c r="E2" s="4">
        <f t="shared" si="0"/>
        <v>4.0472255247854741E-5</v>
      </c>
      <c r="F2" s="4">
        <f t="shared" si="0"/>
        <v>4.0472255247854741E-5</v>
      </c>
      <c r="G2" s="4">
        <f t="shared" si="0"/>
        <v>4.0472255247854741E-5</v>
      </c>
      <c r="H2" s="4">
        <f t="shared" si="0"/>
        <v>4.0472255247854741E-5</v>
      </c>
      <c r="I2" s="4">
        <f t="shared" si="0"/>
        <v>4.0472255247854741E-5</v>
      </c>
      <c r="J2" s="4">
        <f t="shared" si="0"/>
        <v>4.0472255247854741E-5</v>
      </c>
      <c r="K2" s="4">
        <f t="shared" si="0"/>
        <v>4.0472255247854741E-5</v>
      </c>
      <c r="L2" s="4">
        <f t="shared" si="0"/>
        <v>4.0472255247854741E-5</v>
      </c>
      <c r="M2" s="4">
        <f t="shared" si="0"/>
        <v>4.0472255247854741E-5</v>
      </c>
      <c r="N2" s="4">
        <f t="shared" si="0"/>
        <v>4.0472255247854741E-5</v>
      </c>
      <c r="O2" s="4">
        <f t="shared" si="0"/>
        <v>4.0472255247854741E-5</v>
      </c>
      <c r="P2" s="4">
        <f t="shared" si="0"/>
        <v>4.0472255247854741E-5</v>
      </c>
      <c r="Q2" s="4">
        <f t="shared" si="0"/>
        <v>4.0472255247854741E-5</v>
      </c>
      <c r="R2" s="4">
        <f t="shared" si="0"/>
        <v>4.0472255247854741E-5</v>
      </c>
      <c r="S2" s="4">
        <f t="shared" si="0"/>
        <v>4.0472255247854741E-5</v>
      </c>
      <c r="T2" s="4">
        <f t="shared" si="0"/>
        <v>4.0472255247854741E-5</v>
      </c>
      <c r="U2" s="4">
        <f t="shared" si="0"/>
        <v>4.0472255247854741E-5</v>
      </c>
      <c r="V2" s="4">
        <f t="shared" si="0"/>
        <v>4.0472255247854741E-5</v>
      </c>
      <c r="W2" s="4">
        <f t="shared" si="0"/>
        <v>4.0472255247854741E-5</v>
      </c>
      <c r="X2" s="4">
        <f t="shared" si="0"/>
        <v>4.0472255247854741E-5</v>
      </c>
      <c r="Y2" s="4">
        <f t="shared" si="0"/>
        <v>4.0472255247854741E-5</v>
      </c>
      <c r="Z2" s="4">
        <f t="shared" si="0"/>
        <v>4.0472255247854741E-5</v>
      </c>
      <c r="AA2" s="4">
        <f t="shared" si="0"/>
        <v>4.0472255247854741E-5</v>
      </c>
      <c r="AB2" s="4">
        <f t="shared" si="0"/>
        <v>4.0472255247854741E-5</v>
      </c>
      <c r="AC2" s="4">
        <f t="shared" si="0"/>
        <v>4.0472255247854741E-5</v>
      </c>
      <c r="AD2" s="4">
        <f t="shared" si="0"/>
        <v>4.0472255247854741E-5</v>
      </c>
      <c r="AE2" s="4">
        <f t="shared" si="0"/>
        <v>4.0472255247854741E-5</v>
      </c>
      <c r="AG2" s="4"/>
      <c r="AH2" s="4"/>
    </row>
    <row r="3" spans="1:34">
      <c r="A3" t="s">
        <v>3</v>
      </c>
      <c r="B3">
        <v>0</v>
      </c>
      <c r="C3" s="4">
        <f t="shared" ref="C3:C8" si="1">B3</f>
        <v>0</v>
      </c>
      <c r="D3" s="4">
        <f t="shared" ref="D3:Q3" si="2">C3</f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  <c r="O3" s="4">
        <f t="shared" si="2"/>
        <v>0</v>
      </c>
      <c r="P3" s="4">
        <f t="shared" si="2"/>
        <v>0</v>
      </c>
      <c r="Q3" s="4">
        <f t="shared" si="2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</row>
    <row r="4" spans="1:34">
      <c r="A4" t="s">
        <v>4</v>
      </c>
      <c r="B4" s="4">
        <v>1.2594546332724645E-5</v>
      </c>
      <c r="C4" s="4">
        <f t="shared" si="1"/>
        <v>1.2594546332724645E-5</v>
      </c>
      <c r="D4" s="4">
        <f t="shared" si="0"/>
        <v>1.2594546332724645E-5</v>
      </c>
      <c r="E4" s="4">
        <f t="shared" si="0"/>
        <v>1.2594546332724645E-5</v>
      </c>
      <c r="F4" s="4">
        <f t="shared" si="0"/>
        <v>1.2594546332724645E-5</v>
      </c>
      <c r="G4" s="4">
        <f t="shared" si="0"/>
        <v>1.2594546332724645E-5</v>
      </c>
      <c r="H4" s="4">
        <f t="shared" si="0"/>
        <v>1.2594546332724645E-5</v>
      </c>
      <c r="I4" s="4">
        <f t="shared" si="0"/>
        <v>1.2594546332724645E-5</v>
      </c>
      <c r="J4" s="4">
        <f t="shared" si="0"/>
        <v>1.2594546332724645E-5</v>
      </c>
      <c r="K4" s="4">
        <f t="shared" si="0"/>
        <v>1.2594546332724645E-5</v>
      </c>
      <c r="L4" s="4">
        <f t="shared" si="0"/>
        <v>1.2594546332724645E-5</v>
      </c>
      <c r="M4" s="4">
        <f t="shared" si="0"/>
        <v>1.2594546332724645E-5</v>
      </c>
      <c r="N4" s="4">
        <f t="shared" si="0"/>
        <v>1.2594546332724645E-5</v>
      </c>
      <c r="O4" s="4">
        <f t="shared" si="0"/>
        <v>1.2594546332724645E-5</v>
      </c>
      <c r="P4" s="4">
        <f t="shared" si="0"/>
        <v>1.2594546332724645E-5</v>
      </c>
      <c r="Q4" s="4">
        <f t="shared" si="0"/>
        <v>1.2594546332724645E-5</v>
      </c>
      <c r="R4" s="4">
        <f t="shared" si="0"/>
        <v>1.2594546332724645E-5</v>
      </c>
      <c r="S4" s="4">
        <f t="shared" si="0"/>
        <v>1.2594546332724645E-5</v>
      </c>
      <c r="T4" s="4">
        <f t="shared" si="0"/>
        <v>1.2594546332724645E-5</v>
      </c>
      <c r="U4" s="4">
        <f t="shared" si="0"/>
        <v>1.2594546332724645E-5</v>
      </c>
      <c r="V4" s="4">
        <f t="shared" si="0"/>
        <v>1.2594546332724645E-5</v>
      </c>
      <c r="W4" s="4">
        <f t="shared" si="0"/>
        <v>1.2594546332724645E-5</v>
      </c>
      <c r="X4" s="4">
        <f t="shared" si="0"/>
        <v>1.2594546332724645E-5</v>
      </c>
      <c r="Y4" s="4">
        <f t="shared" si="0"/>
        <v>1.2594546332724645E-5</v>
      </c>
      <c r="Z4" s="4">
        <f t="shared" si="0"/>
        <v>1.2594546332724645E-5</v>
      </c>
      <c r="AA4" s="4">
        <f t="shared" si="0"/>
        <v>1.2594546332724645E-5</v>
      </c>
      <c r="AB4" s="4">
        <f t="shared" si="0"/>
        <v>1.2594546332724645E-5</v>
      </c>
      <c r="AC4" s="4">
        <f t="shared" si="0"/>
        <v>1.2594546332724645E-5</v>
      </c>
      <c r="AD4" s="4">
        <f t="shared" si="0"/>
        <v>1.2594546332724645E-5</v>
      </c>
      <c r="AE4" s="4">
        <f t="shared" si="0"/>
        <v>1.2594546332724645E-5</v>
      </c>
    </row>
    <row r="5" spans="1:34">
      <c r="A5" t="s">
        <v>5</v>
      </c>
      <c r="B5" s="4">
        <v>1.2594546332724645E-5</v>
      </c>
      <c r="C5" s="4">
        <f t="shared" si="1"/>
        <v>1.2594546332724645E-5</v>
      </c>
      <c r="D5" s="4">
        <f t="shared" si="0"/>
        <v>1.2594546332724645E-5</v>
      </c>
      <c r="E5" s="4">
        <f t="shared" si="0"/>
        <v>1.2594546332724645E-5</v>
      </c>
      <c r="F5" s="4">
        <f t="shared" si="0"/>
        <v>1.2594546332724645E-5</v>
      </c>
      <c r="G5" s="4">
        <f t="shared" si="0"/>
        <v>1.2594546332724645E-5</v>
      </c>
      <c r="H5" s="4">
        <f t="shared" si="0"/>
        <v>1.2594546332724645E-5</v>
      </c>
      <c r="I5" s="4">
        <f t="shared" si="0"/>
        <v>1.2594546332724645E-5</v>
      </c>
      <c r="J5" s="4">
        <f t="shared" si="0"/>
        <v>1.2594546332724645E-5</v>
      </c>
      <c r="K5" s="4">
        <f t="shared" si="0"/>
        <v>1.2594546332724645E-5</v>
      </c>
      <c r="L5" s="4">
        <f t="shared" si="0"/>
        <v>1.2594546332724645E-5</v>
      </c>
      <c r="M5" s="4">
        <f t="shared" si="0"/>
        <v>1.2594546332724645E-5</v>
      </c>
      <c r="N5" s="4">
        <f t="shared" si="0"/>
        <v>1.2594546332724645E-5</v>
      </c>
      <c r="O5" s="4">
        <f t="shared" si="0"/>
        <v>1.2594546332724645E-5</v>
      </c>
      <c r="P5" s="4">
        <f t="shared" si="0"/>
        <v>1.2594546332724645E-5</v>
      </c>
      <c r="Q5" s="4">
        <f t="shared" si="0"/>
        <v>1.2594546332724645E-5</v>
      </c>
      <c r="R5" s="4">
        <f t="shared" si="0"/>
        <v>1.2594546332724645E-5</v>
      </c>
      <c r="S5" s="4">
        <f t="shared" si="0"/>
        <v>1.2594546332724645E-5</v>
      </c>
      <c r="T5" s="4">
        <f t="shared" si="0"/>
        <v>1.2594546332724645E-5</v>
      </c>
      <c r="U5" s="4">
        <f t="shared" si="0"/>
        <v>1.2594546332724645E-5</v>
      </c>
      <c r="V5" s="4">
        <f t="shared" si="0"/>
        <v>1.2594546332724645E-5</v>
      </c>
      <c r="W5" s="4">
        <f t="shared" si="0"/>
        <v>1.2594546332724645E-5</v>
      </c>
      <c r="X5" s="4">
        <f t="shared" si="0"/>
        <v>1.2594546332724645E-5</v>
      </c>
      <c r="Y5" s="4">
        <f t="shared" si="0"/>
        <v>1.2594546332724645E-5</v>
      </c>
      <c r="Z5" s="4">
        <f t="shared" si="0"/>
        <v>1.2594546332724645E-5</v>
      </c>
      <c r="AA5" s="4">
        <f t="shared" si="0"/>
        <v>1.2594546332724645E-5</v>
      </c>
      <c r="AB5" s="4">
        <f t="shared" si="0"/>
        <v>1.2594546332724645E-5</v>
      </c>
      <c r="AC5" s="4">
        <f t="shared" si="0"/>
        <v>1.2594546332724645E-5</v>
      </c>
      <c r="AD5" s="4">
        <f t="shared" si="0"/>
        <v>1.2594546332724645E-5</v>
      </c>
      <c r="AE5" s="4">
        <f t="shared" si="0"/>
        <v>1.2594546332724645E-5</v>
      </c>
      <c r="AG5" s="4"/>
      <c r="AH5" s="4"/>
    </row>
    <row r="6" spans="1:34">
      <c r="A6" t="s">
        <v>6</v>
      </c>
      <c r="B6">
        <v>0</v>
      </c>
      <c r="C6" s="4">
        <f t="shared" si="1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</row>
    <row r="7" spans="1:34">
      <c r="A7" t="s">
        <v>84</v>
      </c>
      <c r="B7">
        <v>0</v>
      </c>
      <c r="C7" s="4">
        <f t="shared" si="1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</row>
    <row r="8" spans="1:34">
      <c r="A8" t="s">
        <v>85</v>
      </c>
      <c r="B8" s="4">
        <v>3.7783638998173928E-5</v>
      </c>
      <c r="C8" s="4">
        <f t="shared" si="1"/>
        <v>3.7783638998173928E-5</v>
      </c>
      <c r="D8" s="4">
        <f t="shared" si="0"/>
        <v>3.7783638998173928E-5</v>
      </c>
      <c r="E8" s="4">
        <f t="shared" si="0"/>
        <v>3.7783638998173928E-5</v>
      </c>
      <c r="F8" s="4">
        <f t="shared" si="0"/>
        <v>3.7783638998173928E-5</v>
      </c>
      <c r="G8" s="4">
        <f t="shared" si="0"/>
        <v>3.7783638998173928E-5</v>
      </c>
      <c r="H8" s="4">
        <f t="shared" si="0"/>
        <v>3.7783638998173928E-5</v>
      </c>
      <c r="I8" s="4">
        <f t="shared" si="0"/>
        <v>3.7783638998173928E-5</v>
      </c>
      <c r="J8" s="4">
        <f t="shared" si="0"/>
        <v>3.7783638998173928E-5</v>
      </c>
      <c r="K8" s="4">
        <f t="shared" si="0"/>
        <v>3.7783638998173928E-5</v>
      </c>
      <c r="L8" s="4">
        <f t="shared" si="0"/>
        <v>3.7783638998173928E-5</v>
      </c>
      <c r="M8" s="4">
        <f t="shared" si="0"/>
        <v>3.7783638998173928E-5</v>
      </c>
      <c r="N8" s="4">
        <f t="shared" si="0"/>
        <v>3.7783638998173928E-5</v>
      </c>
      <c r="O8" s="4">
        <f t="shared" si="0"/>
        <v>3.7783638998173928E-5</v>
      </c>
      <c r="P8" s="4">
        <f t="shared" si="0"/>
        <v>3.7783638998173928E-5</v>
      </c>
      <c r="Q8" s="4">
        <f t="shared" si="0"/>
        <v>3.7783638998173928E-5</v>
      </c>
      <c r="R8" s="4">
        <f t="shared" si="0"/>
        <v>3.7783638998173928E-5</v>
      </c>
      <c r="S8" s="4">
        <f t="shared" si="0"/>
        <v>3.7783638998173928E-5</v>
      </c>
      <c r="T8" s="4">
        <f t="shared" si="0"/>
        <v>3.7783638998173928E-5</v>
      </c>
      <c r="U8" s="4">
        <f t="shared" si="0"/>
        <v>3.7783638998173928E-5</v>
      </c>
      <c r="V8" s="4">
        <f t="shared" si="0"/>
        <v>3.7783638998173928E-5</v>
      </c>
      <c r="W8" s="4">
        <f t="shared" si="0"/>
        <v>3.7783638998173928E-5</v>
      </c>
      <c r="X8" s="4">
        <f t="shared" si="0"/>
        <v>3.7783638998173928E-5</v>
      </c>
      <c r="Y8" s="4">
        <f t="shared" si="0"/>
        <v>3.7783638998173928E-5</v>
      </c>
      <c r="Z8" s="4">
        <f t="shared" si="0"/>
        <v>3.7783638998173928E-5</v>
      </c>
      <c r="AA8" s="4">
        <f t="shared" si="0"/>
        <v>3.7783638998173928E-5</v>
      </c>
      <c r="AB8" s="4">
        <f t="shared" si="0"/>
        <v>3.7783638998173928E-5</v>
      </c>
      <c r="AC8" s="4">
        <f t="shared" si="0"/>
        <v>3.7783638998173928E-5</v>
      </c>
      <c r="AD8" s="4">
        <f t="shared" si="0"/>
        <v>3.7783638998173928E-5</v>
      </c>
      <c r="AE8" s="4">
        <f t="shared" si="0"/>
        <v>3.7783638998173928E-5</v>
      </c>
      <c r="AG8" s="4"/>
      <c r="AH8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1.6856047242351572E-2</v>
      </c>
      <c r="C2" s="4">
        <f>C$5/(1-'Other Values'!$B$3)</f>
        <v>1.6856047242351572E-2</v>
      </c>
      <c r="D2" s="4">
        <f>D$5/(1-'Other Values'!$B$3)</f>
        <v>1.6856047242351572E-2</v>
      </c>
      <c r="E2" s="4">
        <f>E$5/(1-'Other Values'!$B$3)</f>
        <v>1.6856047242351572E-2</v>
      </c>
      <c r="F2" s="4">
        <f>F$5/(1-'Other Values'!$B$3)</f>
        <v>1.6856047242351572E-2</v>
      </c>
      <c r="G2" s="4">
        <f>G$5/(1-'Other Values'!$B$3)</f>
        <v>1.6856047242351572E-2</v>
      </c>
      <c r="H2" s="4">
        <f>H$5/(1-'Other Values'!$B$3)</f>
        <v>1.6856047242351572E-2</v>
      </c>
      <c r="I2" s="4">
        <f>I$5/(1-'Other Values'!$B$3)</f>
        <v>1.6856047242351572E-2</v>
      </c>
      <c r="J2" s="4">
        <f>J$5/(1-'Other Values'!$B$3)</f>
        <v>1.6856047242351572E-2</v>
      </c>
      <c r="K2" s="4">
        <f>K$5/(1-'Other Values'!$B$3)</f>
        <v>1.6856047242351572E-2</v>
      </c>
      <c r="L2" s="4">
        <f>L$5/(1-'Other Values'!$B$3)</f>
        <v>1.6856047242351572E-2</v>
      </c>
      <c r="M2" s="4">
        <f>M$5/(1-'Other Values'!$B$3)</f>
        <v>1.6856047242351572E-2</v>
      </c>
      <c r="N2" s="4">
        <f>N$5/(1-'Other Values'!$B$3)</f>
        <v>1.6856047242351572E-2</v>
      </c>
      <c r="O2" s="4">
        <f>O$5/(1-'Other Values'!$B$3)</f>
        <v>1.6856047242351572E-2</v>
      </c>
      <c r="P2" s="4">
        <f>P$5/(1-'Other Values'!$B$3)</f>
        <v>1.6856047242351572E-2</v>
      </c>
      <c r="Q2" s="4">
        <f>Q$5/(1-'Other Values'!$B$3)</f>
        <v>1.6856047242351572E-2</v>
      </c>
      <c r="R2" s="4">
        <f>R$5/(1-'Other Values'!$B$3)</f>
        <v>1.6856047242351572E-2</v>
      </c>
      <c r="S2" s="4">
        <f>S$5/(1-'Other Values'!$B$3)</f>
        <v>1.6856047242351572E-2</v>
      </c>
      <c r="T2" s="4">
        <f>T$5/(1-'Other Values'!$B$3)</f>
        <v>1.6856047242351572E-2</v>
      </c>
      <c r="U2" s="4">
        <f>U$5/(1-'Other Values'!$B$3)</f>
        <v>1.6856047242351572E-2</v>
      </c>
      <c r="V2" s="4">
        <f>V$5/(1-'Other Values'!$B$3)</f>
        <v>1.6856047242351572E-2</v>
      </c>
      <c r="W2" s="4">
        <f>W$5/(1-'Other Values'!$B$3)</f>
        <v>1.6856047242351572E-2</v>
      </c>
      <c r="X2" s="4">
        <f>X$5/(1-'Other Values'!$B$3)</f>
        <v>1.6856047242351572E-2</v>
      </c>
      <c r="Y2" s="4">
        <f>Y$5/(1-'Other Values'!$B$3)</f>
        <v>1.6856047242351572E-2</v>
      </c>
      <c r="Z2" s="4">
        <f>Z$5/(1-'Other Values'!$B$3)</f>
        <v>1.6856047242351572E-2</v>
      </c>
      <c r="AA2" s="4">
        <f>AA$5/(1-'Other Values'!$B$3)</f>
        <v>1.6856047242351572E-2</v>
      </c>
      <c r="AB2" s="4">
        <f>AB$5/(1-'Other Values'!$B$3)</f>
        <v>1.6856047242351572E-2</v>
      </c>
      <c r="AC2" s="4">
        <f>AC$5/(1-'Other Values'!$B$3)</f>
        <v>1.6856047242351572E-2</v>
      </c>
      <c r="AD2" s="4">
        <f>AD$5/(1-'Other Values'!$B$3)</f>
        <v>1.6856047242351572E-2</v>
      </c>
      <c r="AE2" s="4">
        <f>AE$5/(1-'Other Values'!$B$3)</f>
        <v>1.6856047242351572E-2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Extrapolations!H12</f>
        <v>5.2454271866069317E-3</v>
      </c>
      <c r="C5" s="4">
        <f>Extrapolations!I12</f>
        <v>5.2454271866069317E-3</v>
      </c>
      <c r="D5" s="4">
        <f>Extrapolations!J12</f>
        <v>5.2454271866069317E-3</v>
      </c>
      <c r="E5" s="4">
        <f>Extrapolations!K12</f>
        <v>5.2454271866069317E-3</v>
      </c>
      <c r="F5" s="4">
        <f>Extrapolations!L12</f>
        <v>5.2454271866069317E-3</v>
      </c>
      <c r="G5" s="4">
        <f>Extrapolations!M12</f>
        <v>5.2454271866069317E-3</v>
      </c>
      <c r="H5" s="4">
        <f>Extrapolations!N12</f>
        <v>5.2454271866069317E-3</v>
      </c>
      <c r="I5" s="4">
        <f>Extrapolations!O12</f>
        <v>5.2454271866069317E-3</v>
      </c>
      <c r="J5" s="4">
        <f>Extrapolations!P12</f>
        <v>5.2454271866069317E-3</v>
      </c>
      <c r="K5" s="4">
        <f>Extrapolations!Q12</f>
        <v>5.2454271866069317E-3</v>
      </c>
      <c r="L5" s="4">
        <f>Extrapolations!R12</f>
        <v>5.2454271866069317E-3</v>
      </c>
      <c r="M5" s="4">
        <f>Extrapolations!S12</f>
        <v>5.2454271866069317E-3</v>
      </c>
      <c r="N5" s="4">
        <f>Extrapolations!T12</f>
        <v>5.2454271866069317E-3</v>
      </c>
      <c r="O5" s="4">
        <f>Extrapolations!U12</f>
        <v>5.2454271866069317E-3</v>
      </c>
      <c r="P5" s="4">
        <f>Extrapolations!V12</f>
        <v>5.2454271866069317E-3</v>
      </c>
      <c r="Q5" s="4">
        <f>Extrapolations!W12</f>
        <v>5.2454271866069317E-3</v>
      </c>
      <c r="R5" s="4">
        <f>Extrapolations!X12</f>
        <v>5.2454271866069317E-3</v>
      </c>
      <c r="S5" s="4">
        <f>Extrapolations!Y12</f>
        <v>5.2454271866069317E-3</v>
      </c>
      <c r="T5" s="4">
        <f>Extrapolations!Z12</f>
        <v>5.2454271866069317E-3</v>
      </c>
      <c r="U5" s="4">
        <f>Extrapolations!AA12</f>
        <v>5.2454271866069317E-3</v>
      </c>
      <c r="V5" s="4">
        <f>Extrapolations!AB12</f>
        <v>5.2454271866069317E-3</v>
      </c>
      <c r="W5" s="4">
        <f>Extrapolations!AC12</f>
        <v>5.2454271866069317E-3</v>
      </c>
      <c r="X5" s="4">
        <f>Extrapolations!AD12</f>
        <v>5.2454271866069317E-3</v>
      </c>
      <c r="Y5" s="4">
        <f>Extrapolations!AE12</f>
        <v>5.2454271866069317E-3</v>
      </c>
      <c r="Z5" s="4">
        <f>Extrapolations!AF12</f>
        <v>5.2454271866069317E-3</v>
      </c>
      <c r="AA5" s="4">
        <f>Extrapolations!AG12</f>
        <v>5.2454271866069317E-3</v>
      </c>
      <c r="AB5" s="4">
        <f>Extrapolations!AH12</f>
        <v>5.2454271866069317E-3</v>
      </c>
      <c r="AC5" s="4">
        <f>Extrapolations!AI12</f>
        <v>5.2454271866069317E-3</v>
      </c>
      <c r="AD5" s="4">
        <f>Extrapolations!AJ12</f>
        <v>5.2454271866069317E-3</v>
      </c>
      <c r="AE5" s="4">
        <f>Extrapolations!AK12</f>
        <v>5.2454271866069317E-3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1.5736281559820792E-2</v>
      </c>
      <c r="C8" s="4">
        <f>C$5*Calculations!$B$27</f>
        <v>1.5736281559820792E-2</v>
      </c>
      <c r="D8" s="4">
        <f>D$5*Calculations!$B$27</f>
        <v>1.5736281559820792E-2</v>
      </c>
      <c r="E8" s="4">
        <f>E$5*Calculations!$B$27</f>
        <v>1.5736281559820792E-2</v>
      </c>
      <c r="F8" s="4">
        <f>F$5*Calculations!$B$27</f>
        <v>1.5736281559820792E-2</v>
      </c>
      <c r="G8" s="4">
        <f>G$5*Calculations!$B$27</f>
        <v>1.5736281559820792E-2</v>
      </c>
      <c r="H8" s="4">
        <f>H$5*Calculations!$B$27</f>
        <v>1.5736281559820792E-2</v>
      </c>
      <c r="I8" s="4">
        <f>I$5*Calculations!$B$27</f>
        <v>1.5736281559820792E-2</v>
      </c>
      <c r="J8" s="4">
        <f>J$5*Calculations!$B$27</f>
        <v>1.5736281559820792E-2</v>
      </c>
      <c r="K8" s="4">
        <f>K$5*Calculations!$B$27</f>
        <v>1.5736281559820792E-2</v>
      </c>
      <c r="L8" s="4">
        <f>L$5*Calculations!$B$27</f>
        <v>1.5736281559820792E-2</v>
      </c>
      <c r="M8" s="4">
        <f>M$5*Calculations!$B$27</f>
        <v>1.5736281559820792E-2</v>
      </c>
      <c r="N8" s="4">
        <f>N$5*Calculations!$B$27</f>
        <v>1.5736281559820792E-2</v>
      </c>
      <c r="O8" s="4">
        <f>O$5*Calculations!$B$27</f>
        <v>1.5736281559820792E-2</v>
      </c>
      <c r="P8" s="4">
        <f>P$5*Calculations!$B$27</f>
        <v>1.5736281559820792E-2</v>
      </c>
      <c r="Q8" s="4">
        <f>Q$5*Calculations!$B$27</f>
        <v>1.5736281559820792E-2</v>
      </c>
      <c r="R8" s="4">
        <f>R$5*Calculations!$B$27</f>
        <v>1.5736281559820792E-2</v>
      </c>
      <c r="S8" s="4">
        <f>S$5*Calculations!$B$27</f>
        <v>1.5736281559820792E-2</v>
      </c>
      <c r="T8" s="4">
        <f>T$5*Calculations!$B$27</f>
        <v>1.5736281559820792E-2</v>
      </c>
      <c r="U8" s="4">
        <f>U$5*Calculations!$B$27</f>
        <v>1.5736281559820792E-2</v>
      </c>
      <c r="V8" s="4">
        <f>V$5*Calculations!$B$27</f>
        <v>1.5736281559820792E-2</v>
      </c>
      <c r="W8" s="4">
        <f>W$5*Calculations!$B$27</f>
        <v>1.5736281559820792E-2</v>
      </c>
      <c r="X8" s="4">
        <f>X$5*Calculations!$B$27</f>
        <v>1.5736281559820792E-2</v>
      </c>
      <c r="Y8" s="4">
        <f>Y$5*Calculations!$B$27</f>
        <v>1.5736281559820792E-2</v>
      </c>
      <c r="Z8" s="4">
        <f>Z$5*Calculations!$B$27</f>
        <v>1.5736281559820792E-2</v>
      </c>
      <c r="AA8" s="4">
        <f>AA$5*Calculations!$B$27</f>
        <v>1.5736281559820792E-2</v>
      </c>
      <c r="AB8" s="4">
        <f>AB$5*Calculations!$B$27</f>
        <v>1.5736281559820792E-2</v>
      </c>
      <c r="AC8" s="4">
        <f>AC$5*Calculations!$B$27</f>
        <v>1.5736281559820792E-2</v>
      </c>
      <c r="AD8" s="4">
        <f>AD$5*Calculations!$B$27</f>
        <v>1.5736281559820792E-2</v>
      </c>
      <c r="AE8" s="4">
        <f>AE$5*Calculations!$B$27</f>
        <v>1.5736281559820792E-2</v>
      </c>
      <c r="AG8" s="4"/>
      <c r="AH8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H8"/>
  <sheetViews>
    <sheetView workbookViewId="0">
      <selection activeCell="G16" sqref="G16"/>
    </sheetView>
  </sheetViews>
  <sheetFormatPr defaultRowHeight="15"/>
  <cols>
    <col min="1" max="1" width="31.140625" customWidth="1"/>
  </cols>
  <sheetData>
    <row r="1" spans="1:34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TRANSPOSE(SYFAFE!B7:H7)</f>
        <v>4.5678462664228052E-3</v>
      </c>
      <c r="C2" s="4">
        <f>B2</f>
        <v>4.5678462664228052E-3</v>
      </c>
      <c r="D2" s="4">
        <f t="shared" ref="D2:AE8" si="0">C2</f>
        <v>4.5678462664228052E-3</v>
      </c>
      <c r="E2" s="4">
        <f t="shared" si="0"/>
        <v>4.5678462664228052E-3</v>
      </c>
      <c r="F2" s="4">
        <f t="shared" si="0"/>
        <v>4.5678462664228052E-3</v>
      </c>
      <c r="G2" s="4">
        <f t="shared" si="0"/>
        <v>4.5678462664228052E-3</v>
      </c>
      <c r="H2" s="4">
        <f t="shared" si="0"/>
        <v>4.5678462664228052E-3</v>
      </c>
      <c r="I2" s="4">
        <f t="shared" si="0"/>
        <v>4.5678462664228052E-3</v>
      </c>
      <c r="J2" s="4">
        <f t="shared" si="0"/>
        <v>4.5678462664228052E-3</v>
      </c>
      <c r="K2" s="4">
        <f t="shared" si="0"/>
        <v>4.5678462664228052E-3</v>
      </c>
      <c r="L2" s="4">
        <f t="shared" si="0"/>
        <v>4.5678462664228052E-3</v>
      </c>
      <c r="M2" s="4">
        <f t="shared" si="0"/>
        <v>4.5678462664228052E-3</v>
      </c>
      <c r="N2" s="4">
        <f t="shared" si="0"/>
        <v>4.5678462664228052E-3</v>
      </c>
      <c r="O2" s="4">
        <f t="shared" si="0"/>
        <v>4.5678462664228052E-3</v>
      </c>
      <c r="P2" s="4">
        <f t="shared" si="0"/>
        <v>4.5678462664228052E-3</v>
      </c>
      <c r="Q2" s="4">
        <f t="shared" si="0"/>
        <v>4.5678462664228052E-3</v>
      </c>
      <c r="R2" s="4">
        <f t="shared" si="0"/>
        <v>4.5678462664228052E-3</v>
      </c>
      <c r="S2" s="4">
        <f t="shared" si="0"/>
        <v>4.5678462664228052E-3</v>
      </c>
      <c r="T2" s="4">
        <f t="shared" si="0"/>
        <v>4.5678462664228052E-3</v>
      </c>
      <c r="U2" s="4">
        <f t="shared" si="0"/>
        <v>4.5678462664228052E-3</v>
      </c>
      <c r="V2" s="4">
        <f t="shared" si="0"/>
        <v>4.5678462664228052E-3</v>
      </c>
      <c r="W2" s="4">
        <f t="shared" si="0"/>
        <v>4.5678462664228052E-3</v>
      </c>
      <c r="X2" s="4">
        <f t="shared" si="0"/>
        <v>4.5678462664228052E-3</v>
      </c>
      <c r="Y2" s="4">
        <f t="shared" si="0"/>
        <v>4.5678462664228052E-3</v>
      </c>
      <c r="Z2" s="4">
        <f t="shared" si="0"/>
        <v>4.5678462664228052E-3</v>
      </c>
      <c r="AA2" s="4">
        <f t="shared" si="0"/>
        <v>4.5678462664228052E-3</v>
      </c>
      <c r="AB2" s="4">
        <f t="shared" si="0"/>
        <v>4.5678462664228052E-3</v>
      </c>
      <c r="AC2" s="4">
        <f t="shared" si="0"/>
        <v>4.5678462664228052E-3</v>
      </c>
      <c r="AD2" s="4">
        <f t="shared" si="0"/>
        <v>4.5678462664228052E-3</v>
      </c>
      <c r="AE2" s="4">
        <f t="shared" si="0"/>
        <v>4.5678462664228052E-3</v>
      </c>
      <c r="AG2" s="4"/>
      <c r="AH2" s="4"/>
    </row>
    <row r="3" spans="1:34">
      <c r="A3" t="s">
        <v>3</v>
      </c>
      <c r="B3" s="4">
        <v>1.4345302324303027E-3</v>
      </c>
      <c r="C3" s="4">
        <f t="shared" ref="C3:C8" si="1">B3</f>
        <v>1.4345302324303027E-3</v>
      </c>
      <c r="D3" s="4">
        <f t="shared" ref="D3:Q3" si="2">C3</f>
        <v>1.4345302324303027E-3</v>
      </c>
      <c r="E3" s="4">
        <f t="shared" si="2"/>
        <v>1.4345302324303027E-3</v>
      </c>
      <c r="F3" s="4">
        <f t="shared" si="2"/>
        <v>1.4345302324303027E-3</v>
      </c>
      <c r="G3" s="4">
        <f t="shared" si="2"/>
        <v>1.4345302324303027E-3</v>
      </c>
      <c r="H3" s="4">
        <f t="shared" si="2"/>
        <v>1.4345302324303027E-3</v>
      </c>
      <c r="I3" s="4">
        <f t="shared" si="2"/>
        <v>1.4345302324303027E-3</v>
      </c>
      <c r="J3" s="4">
        <f t="shared" si="2"/>
        <v>1.4345302324303027E-3</v>
      </c>
      <c r="K3" s="4">
        <f t="shared" si="2"/>
        <v>1.4345302324303027E-3</v>
      </c>
      <c r="L3" s="4">
        <f t="shared" si="2"/>
        <v>1.4345302324303027E-3</v>
      </c>
      <c r="M3" s="4">
        <f t="shared" si="2"/>
        <v>1.4345302324303027E-3</v>
      </c>
      <c r="N3" s="4">
        <f t="shared" si="2"/>
        <v>1.4345302324303027E-3</v>
      </c>
      <c r="O3" s="4">
        <f t="shared" si="2"/>
        <v>1.4345302324303027E-3</v>
      </c>
      <c r="P3" s="4">
        <f t="shared" si="2"/>
        <v>1.4345302324303027E-3</v>
      </c>
      <c r="Q3" s="4">
        <f t="shared" si="2"/>
        <v>1.4345302324303027E-3</v>
      </c>
      <c r="R3" s="4">
        <f t="shared" si="0"/>
        <v>1.4345302324303027E-3</v>
      </c>
      <c r="S3" s="4">
        <f t="shared" si="0"/>
        <v>1.4345302324303027E-3</v>
      </c>
      <c r="T3" s="4">
        <f t="shared" si="0"/>
        <v>1.4345302324303027E-3</v>
      </c>
      <c r="U3" s="4">
        <f t="shared" si="0"/>
        <v>1.4345302324303027E-3</v>
      </c>
      <c r="V3" s="4">
        <f t="shared" si="0"/>
        <v>1.4345302324303027E-3</v>
      </c>
      <c r="W3" s="4">
        <f t="shared" si="0"/>
        <v>1.4345302324303027E-3</v>
      </c>
      <c r="X3" s="4">
        <f t="shared" si="0"/>
        <v>1.4345302324303027E-3</v>
      </c>
      <c r="Y3" s="4">
        <f t="shared" si="0"/>
        <v>1.4345302324303027E-3</v>
      </c>
      <c r="Z3" s="4">
        <f t="shared" si="0"/>
        <v>1.4345302324303027E-3</v>
      </c>
      <c r="AA3" s="4">
        <f t="shared" si="0"/>
        <v>1.4345302324303027E-3</v>
      </c>
      <c r="AB3" s="4">
        <f t="shared" si="0"/>
        <v>1.4345302324303027E-3</v>
      </c>
      <c r="AC3" s="4">
        <f t="shared" si="0"/>
        <v>1.4345302324303027E-3</v>
      </c>
      <c r="AD3" s="4">
        <f t="shared" si="0"/>
        <v>1.4345302324303027E-3</v>
      </c>
      <c r="AE3" s="4">
        <f t="shared" si="0"/>
        <v>1.4345302324303027E-3</v>
      </c>
      <c r="AG3" s="4"/>
      <c r="AH3" s="4"/>
    </row>
    <row r="4" spans="1:34">
      <c r="A4" t="s">
        <v>4</v>
      </c>
      <c r="B4" s="4">
        <v>1.4345302324303027E-3</v>
      </c>
      <c r="C4" s="4">
        <f t="shared" si="1"/>
        <v>1.4345302324303027E-3</v>
      </c>
      <c r="D4" s="4">
        <f t="shared" si="0"/>
        <v>1.4345302324303027E-3</v>
      </c>
      <c r="E4" s="4">
        <f t="shared" si="0"/>
        <v>1.4345302324303027E-3</v>
      </c>
      <c r="F4" s="4">
        <f t="shared" si="0"/>
        <v>1.4345302324303027E-3</v>
      </c>
      <c r="G4" s="4">
        <f t="shared" si="0"/>
        <v>1.4345302324303027E-3</v>
      </c>
      <c r="H4" s="4">
        <f t="shared" si="0"/>
        <v>1.4345302324303027E-3</v>
      </c>
      <c r="I4" s="4">
        <f t="shared" si="0"/>
        <v>1.4345302324303027E-3</v>
      </c>
      <c r="J4" s="4">
        <f t="shared" si="0"/>
        <v>1.4345302324303027E-3</v>
      </c>
      <c r="K4" s="4">
        <f t="shared" si="0"/>
        <v>1.4345302324303027E-3</v>
      </c>
      <c r="L4" s="4">
        <f t="shared" si="0"/>
        <v>1.4345302324303027E-3</v>
      </c>
      <c r="M4" s="4">
        <f t="shared" si="0"/>
        <v>1.4345302324303027E-3</v>
      </c>
      <c r="N4" s="4">
        <f t="shared" si="0"/>
        <v>1.4345302324303027E-3</v>
      </c>
      <c r="O4" s="4">
        <f t="shared" si="0"/>
        <v>1.4345302324303027E-3</v>
      </c>
      <c r="P4" s="4">
        <f t="shared" si="0"/>
        <v>1.4345302324303027E-3</v>
      </c>
      <c r="Q4" s="4">
        <f t="shared" si="0"/>
        <v>1.4345302324303027E-3</v>
      </c>
      <c r="R4" s="4">
        <f t="shared" si="0"/>
        <v>1.4345302324303027E-3</v>
      </c>
      <c r="S4" s="4">
        <f t="shared" si="0"/>
        <v>1.4345302324303027E-3</v>
      </c>
      <c r="T4" s="4">
        <f t="shared" si="0"/>
        <v>1.4345302324303027E-3</v>
      </c>
      <c r="U4" s="4">
        <f t="shared" si="0"/>
        <v>1.4345302324303027E-3</v>
      </c>
      <c r="V4" s="4">
        <f t="shared" si="0"/>
        <v>1.4345302324303027E-3</v>
      </c>
      <c r="W4" s="4">
        <f t="shared" si="0"/>
        <v>1.4345302324303027E-3</v>
      </c>
      <c r="X4" s="4">
        <f t="shared" si="0"/>
        <v>1.4345302324303027E-3</v>
      </c>
      <c r="Y4" s="4">
        <f t="shared" si="0"/>
        <v>1.4345302324303027E-3</v>
      </c>
      <c r="Z4" s="4">
        <f t="shared" si="0"/>
        <v>1.4345302324303027E-3</v>
      </c>
      <c r="AA4" s="4">
        <f t="shared" si="0"/>
        <v>1.4345302324303027E-3</v>
      </c>
      <c r="AB4" s="4">
        <f t="shared" si="0"/>
        <v>1.4345302324303027E-3</v>
      </c>
      <c r="AC4" s="4">
        <f t="shared" si="0"/>
        <v>1.4345302324303027E-3</v>
      </c>
      <c r="AD4" s="4">
        <f t="shared" si="0"/>
        <v>1.4345302324303027E-3</v>
      </c>
      <c r="AE4" s="4">
        <f t="shared" si="0"/>
        <v>1.4345302324303027E-3</v>
      </c>
      <c r="AG4" s="4"/>
      <c r="AH4" s="4"/>
    </row>
    <row r="5" spans="1:34">
      <c r="A5" t="s">
        <v>5</v>
      </c>
      <c r="B5" s="4">
        <v>1.4345302324303027E-3</v>
      </c>
      <c r="C5" s="4">
        <f t="shared" si="1"/>
        <v>1.4345302324303027E-3</v>
      </c>
      <c r="D5" s="4">
        <f t="shared" si="0"/>
        <v>1.4345302324303027E-3</v>
      </c>
      <c r="E5" s="4">
        <f t="shared" si="0"/>
        <v>1.4345302324303027E-3</v>
      </c>
      <c r="F5" s="4">
        <f t="shared" si="0"/>
        <v>1.4345302324303027E-3</v>
      </c>
      <c r="G5" s="4">
        <f t="shared" si="0"/>
        <v>1.4345302324303027E-3</v>
      </c>
      <c r="H5" s="4">
        <f t="shared" si="0"/>
        <v>1.4345302324303027E-3</v>
      </c>
      <c r="I5" s="4">
        <f t="shared" si="0"/>
        <v>1.4345302324303027E-3</v>
      </c>
      <c r="J5" s="4">
        <f t="shared" si="0"/>
        <v>1.4345302324303027E-3</v>
      </c>
      <c r="K5" s="4">
        <f t="shared" si="0"/>
        <v>1.4345302324303027E-3</v>
      </c>
      <c r="L5" s="4">
        <f t="shared" si="0"/>
        <v>1.4345302324303027E-3</v>
      </c>
      <c r="M5" s="4">
        <f t="shared" si="0"/>
        <v>1.4345302324303027E-3</v>
      </c>
      <c r="N5" s="4">
        <f t="shared" si="0"/>
        <v>1.4345302324303027E-3</v>
      </c>
      <c r="O5" s="4">
        <f t="shared" si="0"/>
        <v>1.4345302324303027E-3</v>
      </c>
      <c r="P5" s="4">
        <f t="shared" si="0"/>
        <v>1.4345302324303027E-3</v>
      </c>
      <c r="Q5" s="4">
        <f t="shared" si="0"/>
        <v>1.4345302324303027E-3</v>
      </c>
      <c r="R5" s="4">
        <f t="shared" si="0"/>
        <v>1.4345302324303027E-3</v>
      </c>
      <c r="S5" s="4">
        <f t="shared" si="0"/>
        <v>1.4345302324303027E-3</v>
      </c>
      <c r="T5" s="4">
        <f t="shared" si="0"/>
        <v>1.4345302324303027E-3</v>
      </c>
      <c r="U5" s="4">
        <f t="shared" si="0"/>
        <v>1.4345302324303027E-3</v>
      </c>
      <c r="V5" s="4">
        <f t="shared" si="0"/>
        <v>1.4345302324303027E-3</v>
      </c>
      <c r="W5" s="4">
        <f t="shared" si="0"/>
        <v>1.4345302324303027E-3</v>
      </c>
      <c r="X5" s="4">
        <f t="shared" si="0"/>
        <v>1.4345302324303027E-3</v>
      </c>
      <c r="Y5" s="4">
        <f t="shared" si="0"/>
        <v>1.4345302324303027E-3</v>
      </c>
      <c r="Z5" s="4">
        <f t="shared" si="0"/>
        <v>1.4345302324303027E-3</v>
      </c>
      <c r="AA5" s="4">
        <f t="shared" si="0"/>
        <v>1.4345302324303027E-3</v>
      </c>
      <c r="AB5" s="4">
        <f t="shared" si="0"/>
        <v>1.4345302324303027E-3</v>
      </c>
      <c r="AC5" s="4">
        <f t="shared" si="0"/>
        <v>1.4345302324303027E-3</v>
      </c>
      <c r="AD5" s="4">
        <f t="shared" si="0"/>
        <v>1.4345302324303027E-3</v>
      </c>
      <c r="AE5" s="4">
        <f t="shared" si="0"/>
        <v>1.4345302324303027E-3</v>
      </c>
      <c r="AG5" s="4"/>
      <c r="AH5" s="4"/>
    </row>
    <row r="6" spans="1:34">
      <c r="A6" t="s">
        <v>6</v>
      </c>
      <c r="B6" s="4">
        <v>3.1578540511261791E-3</v>
      </c>
      <c r="C6" s="4">
        <f t="shared" si="1"/>
        <v>3.1578540511261791E-3</v>
      </c>
      <c r="D6" s="4">
        <f t="shared" si="0"/>
        <v>3.1578540511261791E-3</v>
      </c>
      <c r="E6" s="4">
        <f t="shared" si="0"/>
        <v>3.1578540511261791E-3</v>
      </c>
      <c r="F6" s="4">
        <f t="shared" si="0"/>
        <v>3.1578540511261791E-3</v>
      </c>
      <c r="G6" s="4">
        <f t="shared" si="0"/>
        <v>3.1578540511261791E-3</v>
      </c>
      <c r="H6" s="4">
        <f t="shared" si="0"/>
        <v>3.1578540511261791E-3</v>
      </c>
      <c r="I6" s="4">
        <f t="shared" si="0"/>
        <v>3.1578540511261791E-3</v>
      </c>
      <c r="J6" s="4">
        <f t="shared" si="0"/>
        <v>3.1578540511261791E-3</v>
      </c>
      <c r="K6" s="4">
        <f t="shared" si="0"/>
        <v>3.1578540511261791E-3</v>
      </c>
      <c r="L6" s="4">
        <f t="shared" si="0"/>
        <v>3.1578540511261791E-3</v>
      </c>
      <c r="M6" s="4">
        <f t="shared" si="0"/>
        <v>3.1578540511261791E-3</v>
      </c>
      <c r="N6" s="4">
        <f t="shared" si="0"/>
        <v>3.1578540511261791E-3</v>
      </c>
      <c r="O6" s="4">
        <f t="shared" si="0"/>
        <v>3.1578540511261791E-3</v>
      </c>
      <c r="P6" s="4">
        <f t="shared" si="0"/>
        <v>3.1578540511261791E-3</v>
      </c>
      <c r="Q6" s="4">
        <f t="shared" si="0"/>
        <v>3.1578540511261791E-3</v>
      </c>
      <c r="R6" s="4">
        <f t="shared" si="0"/>
        <v>3.1578540511261791E-3</v>
      </c>
      <c r="S6" s="4">
        <f t="shared" si="0"/>
        <v>3.1578540511261791E-3</v>
      </c>
      <c r="T6" s="4">
        <f t="shared" si="0"/>
        <v>3.1578540511261791E-3</v>
      </c>
      <c r="U6" s="4">
        <f t="shared" si="0"/>
        <v>3.1578540511261791E-3</v>
      </c>
      <c r="V6" s="4">
        <f t="shared" si="0"/>
        <v>3.1578540511261791E-3</v>
      </c>
      <c r="W6" s="4">
        <f t="shared" si="0"/>
        <v>3.1578540511261791E-3</v>
      </c>
      <c r="X6" s="4">
        <f t="shared" si="0"/>
        <v>3.1578540511261791E-3</v>
      </c>
      <c r="Y6" s="4">
        <f t="shared" si="0"/>
        <v>3.1578540511261791E-3</v>
      </c>
      <c r="Z6" s="4">
        <f t="shared" si="0"/>
        <v>3.1578540511261791E-3</v>
      </c>
      <c r="AA6" s="4">
        <f t="shared" si="0"/>
        <v>3.1578540511261791E-3</v>
      </c>
      <c r="AB6" s="4">
        <f t="shared" si="0"/>
        <v>3.1578540511261791E-3</v>
      </c>
      <c r="AC6" s="4">
        <f t="shared" si="0"/>
        <v>3.1578540511261791E-3</v>
      </c>
      <c r="AD6" s="4">
        <f t="shared" si="0"/>
        <v>3.1578540511261791E-3</v>
      </c>
      <c r="AE6" s="4">
        <f t="shared" si="0"/>
        <v>3.1578540511261791E-3</v>
      </c>
      <c r="AG6" s="4"/>
      <c r="AH6" s="4"/>
    </row>
    <row r="7" spans="1:34">
      <c r="A7" t="s">
        <v>84</v>
      </c>
      <c r="B7" s="4">
        <v>1.1117609301334846E-3</v>
      </c>
      <c r="C7" s="4">
        <f t="shared" si="1"/>
        <v>1.1117609301334846E-3</v>
      </c>
      <c r="D7" s="4">
        <f t="shared" si="0"/>
        <v>1.1117609301334846E-3</v>
      </c>
      <c r="E7" s="4">
        <f t="shared" si="0"/>
        <v>1.1117609301334846E-3</v>
      </c>
      <c r="F7" s="4">
        <f t="shared" si="0"/>
        <v>1.1117609301334846E-3</v>
      </c>
      <c r="G7" s="4">
        <f t="shared" si="0"/>
        <v>1.1117609301334846E-3</v>
      </c>
      <c r="H7" s="4">
        <f t="shared" si="0"/>
        <v>1.1117609301334846E-3</v>
      </c>
      <c r="I7" s="4">
        <f t="shared" si="0"/>
        <v>1.1117609301334846E-3</v>
      </c>
      <c r="J7" s="4">
        <f t="shared" si="0"/>
        <v>1.1117609301334846E-3</v>
      </c>
      <c r="K7" s="4">
        <f t="shared" si="0"/>
        <v>1.1117609301334846E-3</v>
      </c>
      <c r="L7" s="4">
        <f t="shared" si="0"/>
        <v>1.1117609301334846E-3</v>
      </c>
      <c r="M7" s="4">
        <f t="shared" si="0"/>
        <v>1.1117609301334846E-3</v>
      </c>
      <c r="N7" s="4">
        <f t="shared" si="0"/>
        <v>1.1117609301334846E-3</v>
      </c>
      <c r="O7" s="4">
        <f t="shared" si="0"/>
        <v>1.1117609301334846E-3</v>
      </c>
      <c r="P7" s="4">
        <f t="shared" si="0"/>
        <v>1.1117609301334846E-3</v>
      </c>
      <c r="Q7" s="4">
        <f t="shared" si="0"/>
        <v>1.1117609301334846E-3</v>
      </c>
      <c r="R7" s="4">
        <f t="shared" si="0"/>
        <v>1.1117609301334846E-3</v>
      </c>
      <c r="S7" s="4">
        <f t="shared" si="0"/>
        <v>1.1117609301334846E-3</v>
      </c>
      <c r="T7" s="4">
        <f t="shared" si="0"/>
        <v>1.1117609301334846E-3</v>
      </c>
      <c r="U7" s="4">
        <f t="shared" si="0"/>
        <v>1.1117609301334846E-3</v>
      </c>
      <c r="V7" s="4">
        <f t="shared" si="0"/>
        <v>1.1117609301334846E-3</v>
      </c>
      <c r="W7" s="4">
        <f t="shared" si="0"/>
        <v>1.1117609301334846E-3</v>
      </c>
      <c r="X7" s="4">
        <f t="shared" si="0"/>
        <v>1.1117609301334846E-3</v>
      </c>
      <c r="Y7" s="4">
        <f t="shared" si="0"/>
        <v>1.1117609301334846E-3</v>
      </c>
      <c r="Z7" s="4">
        <f t="shared" si="0"/>
        <v>1.1117609301334846E-3</v>
      </c>
      <c r="AA7" s="4">
        <f t="shared" si="0"/>
        <v>1.1117609301334846E-3</v>
      </c>
      <c r="AB7" s="4">
        <f t="shared" si="0"/>
        <v>1.1117609301334846E-3</v>
      </c>
      <c r="AC7" s="4">
        <f t="shared" si="0"/>
        <v>1.1117609301334846E-3</v>
      </c>
      <c r="AD7" s="4">
        <f t="shared" si="0"/>
        <v>1.1117609301334846E-3</v>
      </c>
      <c r="AE7" s="4">
        <f t="shared" si="0"/>
        <v>1.1117609301334846E-3</v>
      </c>
      <c r="AG7" s="4"/>
      <c r="AH7" s="4"/>
    </row>
    <row r="8" spans="1:34">
      <c r="A8" t="s">
        <v>85</v>
      </c>
      <c r="B8" s="4">
        <v>4.3035906972909077E-3</v>
      </c>
      <c r="C8" s="4">
        <f t="shared" si="1"/>
        <v>4.3035906972909077E-3</v>
      </c>
      <c r="D8" s="4">
        <f t="shared" si="0"/>
        <v>4.3035906972909077E-3</v>
      </c>
      <c r="E8" s="4">
        <f t="shared" si="0"/>
        <v>4.3035906972909077E-3</v>
      </c>
      <c r="F8" s="4">
        <f t="shared" si="0"/>
        <v>4.3035906972909077E-3</v>
      </c>
      <c r="G8" s="4">
        <f t="shared" si="0"/>
        <v>4.3035906972909077E-3</v>
      </c>
      <c r="H8" s="4">
        <f t="shared" si="0"/>
        <v>4.3035906972909077E-3</v>
      </c>
      <c r="I8" s="4">
        <f t="shared" si="0"/>
        <v>4.3035906972909077E-3</v>
      </c>
      <c r="J8" s="4">
        <f t="shared" si="0"/>
        <v>4.3035906972909077E-3</v>
      </c>
      <c r="K8" s="4">
        <f t="shared" si="0"/>
        <v>4.3035906972909077E-3</v>
      </c>
      <c r="L8" s="4">
        <f t="shared" si="0"/>
        <v>4.3035906972909077E-3</v>
      </c>
      <c r="M8" s="4">
        <f t="shared" si="0"/>
        <v>4.3035906972909077E-3</v>
      </c>
      <c r="N8" s="4">
        <f t="shared" si="0"/>
        <v>4.3035906972909077E-3</v>
      </c>
      <c r="O8" s="4">
        <f t="shared" si="0"/>
        <v>4.3035906972909077E-3</v>
      </c>
      <c r="P8" s="4">
        <f t="shared" si="0"/>
        <v>4.3035906972909077E-3</v>
      </c>
      <c r="Q8" s="4">
        <f t="shared" si="0"/>
        <v>4.3035906972909077E-3</v>
      </c>
      <c r="R8" s="4">
        <f t="shared" si="0"/>
        <v>4.3035906972909077E-3</v>
      </c>
      <c r="S8" s="4">
        <f t="shared" si="0"/>
        <v>4.3035906972909077E-3</v>
      </c>
      <c r="T8" s="4">
        <f t="shared" si="0"/>
        <v>4.3035906972909077E-3</v>
      </c>
      <c r="U8" s="4">
        <f t="shared" si="0"/>
        <v>4.3035906972909077E-3</v>
      </c>
      <c r="V8" s="4">
        <f t="shared" si="0"/>
        <v>4.3035906972909077E-3</v>
      </c>
      <c r="W8" s="4">
        <f t="shared" si="0"/>
        <v>4.3035906972909077E-3</v>
      </c>
      <c r="X8" s="4">
        <f t="shared" si="0"/>
        <v>4.3035906972909077E-3</v>
      </c>
      <c r="Y8" s="4">
        <f t="shared" si="0"/>
        <v>4.3035906972909077E-3</v>
      </c>
      <c r="Z8" s="4">
        <f t="shared" si="0"/>
        <v>4.3035906972909077E-3</v>
      </c>
      <c r="AA8" s="4">
        <f t="shared" si="0"/>
        <v>4.3035906972909077E-3</v>
      </c>
      <c r="AB8" s="4">
        <f t="shared" si="0"/>
        <v>4.3035906972909077E-3</v>
      </c>
      <c r="AC8" s="4">
        <f t="shared" si="0"/>
        <v>4.3035906972909077E-3</v>
      </c>
      <c r="AD8" s="4">
        <f t="shared" si="0"/>
        <v>4.3035906972909077E-3</v>
      </c>
      <c r="AE8" s="4">
        <f t="shared" si="0"/>
        <v>4.3035906972909077E-3</v>
      </c>
      <c r="AG8" s="4"/>
      <c r="AH8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E8"/>
  <sheetViews>
    <sheetView workbookViewId="0">
      <selection activeCell="I33" sqref="I33"/>
    </sheetView>
  </sheetViews>
  <sheetFormatPr defaultRowHeight="15"/>
  <cols>
    <col min="1" max="1" width="31.140625" customWidth="1"/>
  </cols>
  <sheetData>
    <row r="1" spans="1:31" ht="30">
      <c r="A1" s="18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BNVFE</vt:lpstr>
      <vt:lpstr>SYFAFE</vt:lpstr>
      <vt:lpstr>Other Values</vt:lpstr>
      <vt:lpstr>Calculations</vt:lpstr>
      <vt:lpstr>Extrapolations</vt:lpstr>
      <vt:lpstr>BHNVFEAL-LDVs-psgr</vt:lpstr>
      <vt:lpstr>BHNVFEAL-LDVs-frgt</vt:lpstr>
      <vt:lpstr>BHNVFEAL-HDVs-psgr</vt:lpstr>
      <vt:lpstr>BHNVFEAL-HDVs-frgt</vt:lpstr>
      <vt:lpstr>BHNVFEAL-aircraft-psgr</vt:lpstr>
      <vt:lpstr>BHNVFEAL-aircraft-frgt</vt:lpstr>
      <vt:lpstr>BHNVFEAL-rail-psgr</vt:lpstr>
      <vt:lpstr>BHNVFEAL-rail-frgt</vt:lpstr>
      <vt:lpstr>BHNVFEAL-ships-psgr</vt:lpstr>
      <vt:lpstr>BHNVFEAL-ships-frgt</vt:lpstr>
      <vt:lpstr>BHNVFEAL-motorbikes-psgr</vt:lpstr>
      <vt:lpstr>BHNVFEAL-motorbikes-frgt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2017-06-26T22:04:22Z</dcterms:created>
  <dcterms:modified xsi:type="dcterms:W3CDTF">2024-01-19T19:30:11Z</dcterms:modified>
</cp:coreProperties>
</file>