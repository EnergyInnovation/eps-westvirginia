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WV\trans\BCDTRtSY\"/>
    </mc:Choice>
  </mc:AlternateContent>
  <xr:revisionPtr revIDLastSave="0" documentId="8_{7D9D031D-8DC3-4AB6-9C55-205E7E60DC9A}"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<sst xmlns="http://schemas.openxmlformats.org/spreadsheetml/2006/main" count="6428" uniqueCount="3038">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</sst>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2933</v>
      </c>
      <c r="C1" s="77">
        <v>46248</v>
      </c>
      <c r="H1" t="s">
        <v>2981</v>
      </c>
      <c r="I1" t="s">
        <v>2982</v>
      </c>
    </row>
    <row r="2" spans="1:9">
      <c r="B2" t="str">
        <f>VLOOKUP(B1,H2:I52,2)</f>
        <v>WV</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West Virginia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1.0007722620871899</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1.0029330785664923</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1.0020242104564905</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1.0007103155933104</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0.9986729899199791</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0.99195609578181831</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0.98539466167470124</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0.97750692813809725</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0.9702017745102548</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0.96211827184312382</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0.95470148576370029</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0.94769122070624867</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0.9407355499313963</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0.93324387649330642</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0.92594354654819278</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0.91817358044521524</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0.9103034133142085</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0.90215101123787478</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0.89420662661701134</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0.88608675882682675</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0.87775682547727862</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0.86879254193059663</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0.85996340395890725</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0.85097422400222478</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0.84233683709505169</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1.0125182058083546</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1.0191526755737619</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1.0222895599328108</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1.0241882521057859</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1.0246800164329277</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1.0193330322970362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1.0135560371445926</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1.0082155884627657</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1.0024082669445313</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0.99688087962083372</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0.99061095234240759</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0.98444734413027712</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0.97781891032357193</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0.97116500015522378</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0.96445851271763217</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0.95735198721310644</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0.95019511907817178</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0.94274355875567284</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0.9351868296008008</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0.92753403057560468</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0.91956029888879398</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0.91149929333891067</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0.90313641002635814</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0.89464505766871505</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0.88611302546524029</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1.0258645948257428</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1.038990445527664</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1.0413530376220843</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1.0484000457318527</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1.0593899065685994</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1.0649094974775457</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1.0743819442938443</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1.0853452566703747</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1.0981859224076047</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1.1130274572228822</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1.121066620394521</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1.1288854767827179</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1.1361921414332856</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1.1423310750424855</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1.1486048765160124</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1.1537296665124588</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1.1595413896608364</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1.1662229698490933</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1.1725393367565153</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1.17867455657984</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1.1836650964325319</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1.1867471877764684</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1.1897328685586472</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1.1916064663121997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1.1936459059520499</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1.0580531397734949</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1.0992871897023857</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1.1287392338456927</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1.1531631563463642</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1.172817338828007</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1.1831571215009029</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1.1910729743622732</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1.1995164383028778</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1.202923071644225</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1.206086726089302</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1.2056195582658111</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1.2057974815353072</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1.2046430806587782</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1.200935106512486</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1.1974513685780392</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1.1928856895234103</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1.1882537139607978</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1.1821933826990256</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1.1767628883565397</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1.171809686694774</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1.1654033766501686</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1.1595364936417647</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1.1516998843260349</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1.1434901600918506</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1.1350043728620829</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0.99661466518328401</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0.98624102869634322</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0.97009323770438927</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0.95648463774066439</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0.94522929712917614</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0.92974572491570451</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0.91665399571138295</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0.90481402202030037</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0.89423498781590371</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0.88493601281064882</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0.87296489428330126</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0.86113410022347547</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0.84926024286368773</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0.83743025078615596</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0.82578943566053753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0.81383614623259637</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0.80235033644253284</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0.79121045079731789</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0.7801584954718056</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0.76916656816571827</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0.75787175215183289</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0.74613617793728515</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0.73439022912127505</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0.72244751951492414</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0.71083472360714495</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1.0005378785922676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1.0032267112431978</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1.0029816442486543</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1.0025210862338632</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1.0010463175084465</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0.99551356686740189</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0.99000735049087263</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0.98302496785550908</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0.97638176863232984</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0.96889119006444324</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0.9621560302938299</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0.95583194000882321</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0.949473537400227</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0.94245850655117624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0.93565211093749023</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0.92861875009133554</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0.92134654873713551</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0.91387125865416952</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0.90668683376801884</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0.89938679948692613</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0.8916948513005214</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0.88339694409635516</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0.87507352162802121</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0.86664029703889134</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0.85855192995703578</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0.99078771023081791</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0.98705971388899316</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0.98299003655074702</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0.98009235595867894</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0.98187412939462537</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0.97818351167024342</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0.97617784535312957</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0.97286977838612132</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0.97134151119811973</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0.97040110902278731</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0.96969069929797691</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0.97005636357092162</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0.97144212207974745</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0.97303317054706839</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0.97495482765942265</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0.97613488085603595</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0.97663275191128851</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0.97474330328675962</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0.97252619592440892</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0.97139895158433553</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0.97056558048026076</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0.97020027754234506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0.96863242710788755</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0.96761033021732978</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0.96584121345284246</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1.005353967156035</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1.014831177875144</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1.0233441626266038</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1.0292102639993386</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1.037317149985006</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1.0366860537466422</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1.0368317339116495</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1.0347751190038386</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1.0338268649659843</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1.0326520590893791</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1.0306336965758993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1.027885888917649</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1.024137468359583</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1.0198130195734434</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1.015599412425777</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1.0113964927180756</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1.0066606315188849</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1.000974720509721</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0.99552493810632681</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0.99165417038770154</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0.98789278639731382</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0.98397594642726416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0.97819136339934254</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0.97230014365589956</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0.9658989196255312</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1.0213381743810874</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1.0347534761302299</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1.0416517987421561</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1.0520865420030587</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1.0653053674140036</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1.0735176791690482</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1.0844575762076623</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1.0964862959348349</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1.1098600891478703</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1.1246467603934374</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1.1348794525915711</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1.1449762214692041</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1.1547288266233227</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1.163674171911395</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1.1727148891396129</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1.181046718625826</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1.189824379365868</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1.1991779800152329</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1.208256826230137</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1.2171829167564152</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1.2252872895906148</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1.232026770168402</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1.2386686632729991</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1.2444999087649113</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1.2504296476021206</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0.97204391294508241</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0.99801405638796159</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0.97232398346878257</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0.95950423658661221</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0.96075143087308335</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0.92727850519662214</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0.92234722421798176</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0.91753165991225516</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0.90618624981775409</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0.90042253023433083</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0.89385757063484594</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0.88855560003488665</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0.88027241573472459</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0.87343064701608664</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0.86571807759859476</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0.85665530535897683</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0.84578484348426286</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0.83554115086147129</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0.82747846981575113</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0.81893560536941679</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0.81254118293119071</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0.80919924904400886</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0.80363560476101181</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0.79326880707798697</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0.78351106088000921</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0.98683571574991535</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1.000503835069037</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1.0160000379307614</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1.0280151318622228</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1.0407829602784782</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1.047625796131975</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1.0561723544254156</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1.0647050722971838</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1.0736190669505301</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1.0831671584613916</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1.0886850375148165</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1.0908890187786981</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1.0928932522843875</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1.0936441156038941</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1.0942991760510918</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1.0947600248971916</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1.0959810067702533</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1.0966475369854587</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1.0970044806848407</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1.0983352850621806</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1.0995984887106782</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1.1008205031017801</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1.1012013935577465</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1.1011391742802696</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1.102061170632908</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1.0007722620871899</v>
      </c>
      <c r="E2">
        <f>'BCDTRtSY-state-adjusted'!E5</f>
        <v>1.0029330785664923</v>
      </c>
      <c r="F2">
        <f>'BCDTRtSY-state-adjusted'!F5</f>
        <v>1.0020242104564905</v>
      </c>
      <c r="G2">
        <f>'BCDTRtSY-state-adjusted'!G5</f>
        <v>1.0007103155933104</v>
      </c>
      <c r="H2">
        <f>'BCDTRtSY-state-adjusted'!H5</f>
        <v>0.9986729899199791</v>
      </c>
      <c r="I2">
        <f>'BCDTRtSY-state-adjusted'!I5</f>
        <v>0.99195609578181831</v>
      </c>
      <c r="J2">
        <f>'BCDTRtSY-state-adjusted'!J5</f>
        <v>0.98539466167470124</v>
      </c>
      <c r="K2">
        <f>'BCDTRtSY-state-adjusted'!K5</f>
        <v>0.97750692813809725</v>
      </c>
      <c r="L2">
        <f>'BCDTRtSY-state-adjusted'!L5</f>
        <v>0.9702017745102548</v>
      </c>
      <c r="M2">
        <f>'BCDTRtSY-state-adjusted'!M5</f>
        <v>0.96211827184312382</v>
      </c>
      <c r="N2">
        <f>'BCDTRtSY-state-adjusted'!N5</f>
        <v>0.95470148576370029</v>
      </c>
      <c r="O2">
        <f>'BCDTRtSY-state-adjusted'!O5</f>
        <v>0.94769122070624867</v>
      </c>
      <c r="P2">
        <f>'BCDTRtSY-state-adjusted'!P5</f>
        <v>0.9407355499313963</v>
      </c>
      <c r="Q2">
        <f>'BCDTRtSY-state-adjusted'!Q5</f>
        <v>0.93324387649330642</v>
      </c>
      <c r="R2">
        <f>'BCDTRtSY-state-adjusted'!R5</f>
        <v>0.92594354654819278</v>
      </c>
      <c r="S2">
        <f>'BCDTRtSY-state-adjusted'!S5</f>
        <v>0.91817358044521524</v>
      </c>
      <c r="T2">
        <f>'BCDTRtSY-state-adjusted'!T5</f>
        <v>0.9103034133142085</v>
      </c>
      <c r="U2">
        <f>'BCDTRtSY-state-adjusted'!U5</f>
        <v>0.90215101123787478</v>
      </c>
      <c r="V2">
        <f>'BCDTRtSY-state-adjusted'!V5</f>
        <v>0.89420662661701134</v>
      </c>
      <c r="W2">
        <f>'BCDTRtSY-state-adjusted'!W5</f>
        <v>0.88608675882682675</v>
      </c>
      <c r="X2">
        <f>'BCDTRtSY-state-adjusted'!X5</f>
        <v>0.87775682547727862</v>
      </c>
      <c r="Y2">
        <f>'BCDTRtSY-state-adjusted'!Y5</f>
        <v>0.86879254193059663</v>
      </c>
      <c r="Z2">
        <f>'BCDTRtSY-state-adjusted'!Z5</f>
        <v>0.85996340395890725</v>
      </c>
      <c r="AA2">
        <f>'BCDTRtSY-state-adjusted'!AA5</f>
        <v>0.85097422400222478</v>
      </c>
      <c r="AB2">
        <f>'BCDTRtSY-state-adjusted'!AB5</f>
        <v>0.84233683709505169</v>
      </c>
    </row>
    <row r="3" spans="1:28">
      <c r="A3" t="s">
        <v>118</v>
      </c>
      <c r="B3">
        <f>'BCDTRtSY-state-adjusted'!B6</f>
        <v>1</v>
      </c>
      <c r="C3">
        <f>'BCDTRtSY-state-adjusted'!C6</f>
        <v>1</v>
      </c>
      <c r="D3">
        <f>'BCDTRtSY-state-adjusted'!D6</f>
        <v>1.0125182058083546</v>
      </c>
      <c r="E3">
        <f>'BCDTRtSY-state-adjusted'!E6</f>
        <v>1.0191526755737619</v>
      </c>
      <c r="F3">
        <f>'BCDTRtSY-state-adjusted'!F6</f>
        <v>1.0222895599328108</v>
      </c>
      <c r="G3">
        <f>'BCDTRtSY-state-adjusted'!G6</f>
        <v>1.0241882521057859</v>
      </c>
      <c r="H3">
        <f>'BCDTRtSY-state-adjusted'!H6</f>
        <v>1.0246800164329277</v>
      </c>
      <c r="I3">
        <f>'BCDTRtSY-state-adjusted'!I6</f>
        <v>1.0193330322970362</v>
      </c>
      <c r="J3">
        <f>'BCDTRtSY-state-adjusted'!J6</f>
        <v>1.0135560371445926</v>
      </c>
      <c r="K3">
        <f>'BCDTRtSY-state-adjusted'!K6</f>
        <v>1.0082155884627657</v>
      </c>
      <c r="L3">
        <f>'BCDTRtSY-state-adjusted'!L6</f>
        <v>1.0024082669445313</v>
      </c>
      <c r="M3">
        <f>'BCDTRtSY-state-adjusted'!M6</f>
        <v>0.99688087962083372</v>
      </c>
      <c r="N3">
        <f>'BCDTRtSY-state-adjusted'!N6</f>
        <v>0.99061095234240759</v>
      </c>
      <c r="O3">
        <f>'BCDTRtSY-state-adjusted'!O6</f>
        <v>0.98444734413027712</v>
      </c>
      <c r="P3">
        <f>'BCDTRtSY-state-adjusted'!P6</f>
        <v>0.97781891032357193</v>
      </c>
      <c r="Q3">
        <f>'BCDTRtSY-state-adjusted'!Q6</f>
        <v>0.97116500015522378</v>
      </c>
      <c r="R3">
        <f>'BCDTRtSY-state-adjusted'!R6</f>
        <v>0.96445851271763217</v>
      </c>
      <c r="S3">
        <f>'BCDTRtSY-state-adjusted'!S6</f>
        <v>0.95735198721310644</v>
      </c>
      <c r="T3">
        <f>'BCDTRtSY-state-adjusted'!T6</f>
        <v>0.95019511907817178</v>
      </c>
      <c r="U3">
        <f>'BCDTRtSY-state-adjusted'!U6</f>
        <v>0.94274355875567284</v>
      </c>
      <c r="V3">
        <f>'BCDTRtSY-state-adjusted'!V6</f>
        <v>0.9351868296008008</v>
      </c>
      <c r="W3">
        <f>'BCDTRtSY-state-adjusted'!W6</f>
        <v>0.92753403057560468</v>
      </c>
      <c r="X3">
        <f>'BCDTRtSY-state-adjusted'!X6</f>
        <v>0.91956029888879398</v>
      </c>
      <c r="Y3">
        <f>'BCDTRtSY-state-adjusted'!Y6</f>
        <v>0.91149929333891067</v>
      </c>
      <c r="Z3">
        <f>'BCDTRtSY-state-adjusted'!Z6</f>
        <v>0.90313641002635814</v>
      </c>
      <c r="AA3">
        <f>'BCDTRtSY-state-adjusted'!AA6</f>
        <v>0.89464505766871505</v>
      </c>
      <c r="AB3">
        <f>'BCDTRtSY-state-adjusted'!AB6</f>
        <v>0.88611302546524029</v>
      </c>
    </row>
    <row r="4" spans="1:28">
      <c r="A4" t="s">
        <v>116</v>
      </c>
      <c r="B4">
        <f>'BCDTRtSY-state-adjusted'!B7</f>
        <v>1</v>
      </c>
      <c r="C4">
        <f>'BCDTRtSY-state-adjusted'!C7</f>
        <v>1</v>
      </c>
      <c r="D4">
        <f>'BCDTRtSY-state-adjusted'!D7</f>
        <v>1.0258645948257428</v>
      </c>
      <c r="E4">
        <f>'BCDTRtSY-state-adjusted'!E7</f>
        <v>1.038990445527664</v>
      </c>
      <c r="F4">
        <f>'BCDTRtSY-state-adjusted'!F7</f>
        <v>1.0413530376220843</v>
      </c>
      <c r="G4">
        <f>'BCDTRtSY-state-adjusted'!G7</f>
        <v>1.0484000457318527</v>
      </c>
      <c r="H4">
        <f>'BCDTRtSY-state-adjusted'!H7</f>
        <v>1.0593899065685994</v>
      </c>
      <c r="I4">
        <f>'BCDTRtSY-state-adjusted'!I7</f>
        <v>1.0649094974775457</v>
      </c>
      <c r="J4">
        <f>'BCDTRtSY-state-adjusted'!J7</f>
        <v>1.0743819442938443</v>
      </c>
      <c r="K4">
        <f>'BCDTRtSY-state-adjusted'!K7</f>
        <v>1.0853452566703747</v>
      </c>
      <c r="L4">
        <f>'BCDTRtSY-state-adjusted'!L7</f>
        <v>1.0981859224076047</v>
      </c>
      <c r="M4">
        <f>'BCDTRtSY-state-adjusted'!M7</f>
        <v>1.1130274572228822</v>
      </c>
      <c r="N4">
        <f>'BCDTRtSY-state-adjusted'!N7</f>
        <v>1.121066620394521</v>
      </c>
      <c r="O4">
        <f>'BCDTRtSY-state-adjusted'!O7</f>
        <v>1.1288854767827179</v>
      </c>
      <c r="P4">
        <f>'BCDTRtSY-state-adjusted'!P7</f>
        <v>1.1361921414332856</v>
      </c>
      <c r="Q4">
        <f>'BCDTRtSY-state-adjusted'!Q7</f>
        <v>1.1423310750424855</v>
      </c>
      <c r="R4">
        <f>'BCDTRtSY-state-adjusted'!R7</f>
        <v>1.1486048765160124</v>
      </c>
      <c r="S4">
        <f>'BCDTRtSY-state-adjusted'!S7</f>
        <v>1.1537296665124588</v>
      </c>
      <c r="T4">
        <f>'BCDTRtSY-state-adjusted'!T7</f>
        <v>1.1595413896608364</v>
      </c>
      <c r="U4">
        <f>'BCDTRtSY-state-adjusted'!U7</f>
        <v>1.1662229698490933</v>
      </c>
      <c r="V4">
        <f>'BCDTRtSY-state-adjusted'!V7</f>
        <v>1.1725393367565153</v>
      </c>
      <c r="W4">
        <f>'BCDTRtSY-state-adjusted'!W7</f>
        <v>1.17867455657984</v>
      </c>
      <c r="X4">
        <f>'BCDTRtSY-state-adjusted'!X7</f>
        <v>1.1836650964325319</v>
      </c>
      <c r="Y4">
        <f>'BCDTRtSY-state-adjusted'!Y7</f>
        <v>1.1867471877764684</v>
      </c>
      <c r="Z4">
        <f>'BCDTRtSY-state-adjusted'!Z7</f>
        <v>1.1897328685586472</v>
      </c>
      <c r="AA4">
        <f>'BCDTRtSY-state-adjusted'!AA7</f>
        <v>1.1916064663121997</v>
      </c>
      <c r="AB4">
        <f>'BCDTRtSY-state-adjusted'!AB7</f>
        <v>1.1936459059520499</v>
      </c>
    </row>
    <row r="5" spans="1:28">
      <c r="A5" t="s">
        <v>121</v>
      </c>
      <c r="B5">
        <f>'BCDTRtSY-state-adjusted'!B8</f>
        <v>1</v>
      </c>
      <c r="C5">
        <f>'BCDTRtSY-state-adjusted'!C8</f>
        <v>1</v>
      </c>
      <c r="D5">
        <f>'BCDTRtSY-state-adjusted'!D8</f>
        <v>1.0580531397734949</v>
      </c>
      <c r="E5">
        <f>'BCDTRtSY-state-adjusted'!E8</f>
        <v>1.0992871897023857</v>
      </c>
      <c r="F5">
        <f>'BCDTRtSY-state-adjusted'!F8</f>
        <v>1.1287392338456927</v>
      </c>
      <c r="G5">
        <f>'BCDTRtSY-state-adjusted'!G8</f>
        <v>1.1531631563463642</v>
      </c>
      <c r="H5">
        <f>'BCDTRtSY-state-adjusted'!H8</f>
        <v>1.172817338828007</v>
      </c>
      <c r="I5">
        <f>'BCDTRtSY-state-adjusted'!I8</f>
        <v>1.1831571215009029</v>
      </c>
      <c r="J5">
        <f>'BCDTRtSY-state-adjusted'!J8</f>
        <v>1.1910729743622732</v>
      </c>
      <c r="K5">
        <f>'BCDTRtSY-state-adjusted'!K8</f>
        <v>1.1995164383028778</v>
      </c>
      <c r="L5">
        <f>'BCDTRtSY-state-adjusted'!L8</f>
        <v>1.202923071644225</v>
      </c>
      <c r="M5">
        <f>'BCDTRtSY-state-adjusted'!M8</f>
        <v>1.206086726089302</v>
      </c>
      <c r="N5">
        <f>'BCDTRtSY-state-adjusted'!N8</f>
        <v>1.2056195582658111</v>
      </c>
      <c r="O5">
        <f>'BCDTRtSY-state-adjusted'!O8</f>
        <v>1.2057974815353072</v>
      </c>
      <c r="P5">
        <f>'BCDTRtSY-state-adjusted'!P8</f>
        <v>1.2046430806587782</v>
      </c>
      <c r="Q5">
        <f>'BCDTRtSY-state-adjusted'!Q8</f>
        <v>1.200935106512486</v>
      </c>
      <c r="R5">
        <f>'BCDTRtSY-state-adjusted'!R8</f>
        <v>1.1974513685780392</v>
      </c>
      <c r="S5">
        <f>'BCDTRtSY-state-adjusted'!S8</f>
        <v>1.1928856895234103</v>
      </c>
      <c r="T5">
        <f>'BCDTRtSY-state-adjusted'!T8</f>
        <v>1.1882537139607978</v>
      </c>
      <c r="U5">
        <f>'BCDTRtSY-state-adjusted'!U8</f>
        <v>1.1821933826990256</v>
      </c>
      <c r="V5">
        <f>'BCDTRtSY-state-adjusted'!V8</f>
        <v>1.1767628883565397</v>
      </c>
      <c r="W5">
        <f>'BCDTRtSY-state-adjusted'!W8</f>
        <v>1.171809686694774</v>
      </c>
      <c r="X5">
        <f>'BCDTRtSY-state-adjusted'!X8</f>
        <v>1.1654033766501686</v>
      </c>
      <c r="Y5">
        <f>'BCDTRtSY-state-adjusted'!Y8</f>
        <v>1.1595364936417647</v>
      </c>
      <c r="Z5">
        <f>'BCDTRtSY-state-adjusted'!Z8</f>
        <v>1.1516998843260349</v>
      </c>
      <c r="AA5">
        <f>'BCDTRtSY-state-adjusted'!AA8</f>
        <v>1.1434901600918506</v>
      </c>
      <c r="AB5">
        <f>'BCDTRtSY-state-adjusted'!AB8</f>
        <v>1.1350043728620829</v>
      </c>
    </row>
    <row r="6" spans="1:28">
      <c r="A6" t="s">
        <v>122</v>
      </c>
      <c r="B6">
        <f>'BCDTRtSY-state-adjusted'!B9</f>
        <v>1</v>
      </c>
      <c r="C6">
        <f>'BCDTRtSY-state-adjusted'!C9</f>
        <v>1</v>
      </c>
      <c r="D6">
        <f>'BCDTRtSY-state-adjusted'!D9</f>
        <v>0.99661466518328401</v>
      </c>
      <c r="E6">
        <f>'BCDTRtSY-state-adjusted'!E9</f>
        <v>0.98624102869634322</v>
      </c>
      <c r="F6">
        <f>'BCDTRtSY-state-adjusted'!F9</f>
        <v>0.97009323770438927</v>
      </c>
      <c r="G6">
        <f>'BCDTRtSY-state-adjusted'!G9</f>
        <v>0.95648463774066439</v>
      </c>
      <c r="H6">
        <f>'BCDTRtSY-state-adjusted'!H9</f>
        <v>0.94522929712917614</v>
      </c>
      <c r="I6">
        <f>'BCDTRtSY-state-adjusted'!I9</f>
        <v>0.92974572491570451</v>
      </c>
      <c r="J6">
        <f>'BCDTRtSY-state-adjusted'!J9</f>
        <v>0.91665399571138295</v>
      </c>
      <c r="K6">
        <f>'BCDTRtSY-state-adjusted'!K9</f>
        <v>0.90481402202030037</v>
      </c>
      <c r="L6">
        <f>'BCDTRtSY-state-adjusted'!L9</f>
        <v>0.89423498781590371</v>
      </c>
      <c r="M6">
        <f>'BCDTRtSY-state-adjusted'!M9</f>
        <v>0.88493601281064882</v>
      </c>
      <c r="N6">
        <f>'BCDTRtSY-state-adjusted'!N9</f>
        <v>0.87296489428330126</v>
      </c>
      <c r="O6">
        <f>'BCDTRtSY-state-adjusted'!O9</f>
        <v>0.86113410022347547</v>
      </c>
      <c r="P6">
        <f>'BCDTRtSY-state-adjusted'!P9</f>
        <v>0.84926024286368773</v>
      </c>
      <c r="Q6">
        <f>'BCDTRtSY-state-adjusted'!Q9</f>
        <v>0.83743025078615596</v>
      </c>
      <c r="R6">
        <f>'BCDTRtSY-state-adjusted'!R9</f>
        <v>0.82578943566053753</v>
      </c>
      <c r="S6">
        <f>'BCDTRtSY-state-adjusted'!S9</f>
        <v>0.81383614623259637</v>
      </c>
      <c r="T6">
        <f>'BCDTRtSY-state-adjusted'!T9</f>
        <v>0.80235033644253284</v>
      </c>
      <c r="U6">
        <f>'BCDTRtSY-state-adjusted'!U9</f>
        <v>0.79121045079731789</v>
      </c>
      <c r="V6">
        <f>'BCDTRtSY-state-adjusted'!V9</f>
        <v>0.7801584954718056</v>
      </c>
      <c r="W6">
        <f>'BCDTRtSY-state-adjusted'!W9</f>
        <v>0.76916656816571827</v>
      </c>
      <c r="X6">
        <f>'BCDTRtSY-state-adjusted'!X9</f>
        <v>0.75787175215183289</v>
      </c>
      <c r="Y6">
        <f>'BCDTRtSY-state-adjusted'!Y9</f>
        <v>0.74613617793728515</v>
      </c>
      <c r="Z6">
        <f>'BCDTRtSY-state-adjusted'!Z9</f>
        <v>0.73439022912127505</v>
      </c>
      <c r="AA6">
        <f>'BCDTRtSY-state-adjusted'!AA9</f>
        <v>0.72244751951492414</v>
      </c>
      <c r="AB6">
        <f>'BCDTRtSY-state-adjusted'!AB9</f>
        <v>0.71083472360714495</v>
      </c>
    </row>
    <row r="7" spans="1:28">
      <c r="A7" t="s">
        <v>123</v>
      </c>
      <c r="B7">
        <f>'BCDTRtSY-state-adjusted'!B10</f>
        <v>1</v>
      </c>
      <c r="C7">
        <f>'BCDTRtSY-state-adjusted'!C10</f>
        <v>1</v>
      </c>
      <c r="D7">
        <f>'BCDTRtSY-state-adjusted'!D10</f>
        <v>1.0005378785922676</v>
      </c>
      <c r="E7">
        <f>'BCDTRtSY-state-adjusted'!E10</f>
        <v>1.0032267112431978</v>
      </c>
      <c r="F7">
        <f>'BCDTRtSY-state-adjusted'!F10</f>
        <v>1.0029816442486543</v>
      </c>
      <c r="G7">
        <f>'BCDTRtSY-state-adjusted'!G10</f>
        <v>1.0025210862338632</v>
      </c>
      <c r="H7">
        <f>'BCDTRtSY-state-adjusted'!H10</f>
        <v>1.0010463175084465</v>
      </c>
      <c r="I7">
        <f>'BCDTRtSY-state-adjusted'!I10</f>
        <v>0.99551356686740189</v>
      </c>
      <c r="J7">
        <f>'BCDTRtSY-state-adjusted'!J10</f>
        <v>0.99000735049087263</v>
      </c>
      <c r="K7">
        <f>'BCDTRtSY-state-adjusted'!K10</f>
        <v>0.98302496785550908</v>
      </c>
      <c r="L7">
        <f>'BCDTRtSY-state-adjusted'!L10</f>
        <v>0.97638176863232984</v>
      </c>
      <c r="M7">
        <f>'BCDTRtSY-state-adjusted'!M10</f>
        <v>0.96889119006444324</v>
      </c>
      <c r="N7">
        <f>'BCDTRtSY-state-adjusted'!N10</f>
        <v>0.9621560302938299</v>
      </c>
      <c r="O7">
        <f>'BCDTRtSY-state-adjusted'!O10</f>
        <v>0.95583194000882321</v>
      </c>
      <c r="P7">
        <f>'BCDTRtSY-state-adjusted'!P10</f>
        <v>0.949473537400227</v>
      </c>
      <c r="Q7">
        <f>'BCDTRtSY-state-adjusted'!Q10</f>
        <v>0.94245850655117624</v>
      </c>
      <c r="R7">
        <f>'BCDTRtSY-state-adjusted'!R10</f>
        <v>0.93565211093749023</v>
      </c>
      <c r="S7">
        <f>'BCDTRtSY-state-adjusted'!S10</f>
        <v>0.92861875009133554</v>
      </c>
      <c r="T7">
        <f>'BCDTRtSY-state-adjusted'!T10</f>
        <v>0.92134654873713551</v>
      </c>
      <c r="U7">
        <f>'BCDTRtSY-state-adjusted'!U10</f>
        <v>0.91387125865416952</v>
      </c>
      <c r="V7">
        <f>'BCDTRtSY-state-adjusted'!V10</f>
        <v>0.90668683376801884</v>
      </c>
      <c r="W7">
        <f>'BCDTRtSY-state-adjusted'!W10</f>
        <v>0.89938679948692613</v>
      </c>
      <c r="X7">
        <f>'BCDTRtSY-state-adjusted'!X10</f>
        <v>0.8916948513005214</v>
      </c>
      <c r="Y7">
        <f>'BCDTRtSY-state-adjusted'!Y10</f>
        <v>0.88339694409635516</v>
      </c>
      <c r="Z7">
        <f>'BCDTRtSY-state-adjusted'!Z10</f>
        <v>0.87507352162802121</v>
      </c>
      <c r="AA7">
        <f>'BCDTRtSY-state-adjusted'!AA10</f>
        <v>0.86664029703889134</v>
      </c>
      <c r="AB7">
        <f>'BCDTRtSY-state-adjusted'!AB10</f>
        <v>0.85855192995703578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0.99078771023081791</v>
      </c>
      <c r="E2">
        <f>'BCDTRtSY-state-adjusted'!E13</f>
        <v>0.98705971388899316</v>
      </c>
      <c r="F2">
        <f>'BCDTRtSY-state-adjusted'!F13</f>
        <v>0.98299003655074702</v>
      </c>
      <c r="G2">
        <f>'BCDTRtSY-state-adjusted'!G13</f>
        <v>0.98009235595867894</v>
      </c>
      <c r="H2">
        <f>'BCDTRtSY-state-adjusted'!H13</f>
        <v>0.98187412939462537</v>
      </c>
      <c r="I2">
        <f>'BCDTRtSY-state-adjusted'!I13</f>
        <v>0.97818351167024342</v>
      </c>
      <c r="J2">
        <f>'BCDTRtSY-state-adjusted'!J13</f>
        <v>0.97617784535312957</v>
      </c>
      <c r="K2">
        <f>'BCDTRtSY-state-adjusted'!K13</f>
        <v>0.97286977838612132</v>
      </c>
      <c r="L2">
        <f>'BCDTRtSY-state-adjusted'!L13</f>
        <v>0.97134151119811973</v>
      </c>
      <c r="M2">
        <f>'BCDTRtSY-state-adjusted'!M13</f>
        <v>0.97040110902278731</v>
      </c>
      <c r="N2">
        <f>'BCDTRtSY-state-adjusted'!N13</f>
        <v>0.96969069929797691</v>
      </c>
      <c r="O2">
        <f>'BCDTRtSY-state-adjusted'!O13</f>
        <v>0.97005636357092162</v>
      </c>
      <c r="P2">
        <f>'BCDTRtSY-state-adjusted'!P13</f>
        <v>0.97144212207974745</v>
      </c>
      <c r="Q2">
        <f>'BCDTRtSY-state-adjusted'!Q13</f>
        <v>0.97303317054706839</v>
      </c>
      <c r="R2">
        <f>'BCDTRtSY-state-adjusted'!R13</f>
        <v>0.97495482765942265</v>
      </c>
      <c r="S2">
        <f>'BCDTRtSY-state-adjusted'!S13</f>
        <v>0.97613488085603595</v>
      </c>
      <c r="T2">
        <f>'BCDTRtSY-state-adjusted'!T13</f>
        <v>0.97663275191128851</v>
      </c>
      <c r="U2">
        <f>'BCDTRtSY-state-adjusted'!U13</f>
        <v>0.97474330328675962</v>
      </c>
      <c r="V2">
        <f>'BCDTRtSY-state-adjusted'!V13</f>
        <v>0.97252619592440892</v>
      </c>
      <c r="W2">
        <f>'BCDTRtSY-state-adjusted'!W13</f>
        <v>0.97139895158433553</v>
      </c>
      <c r="X2">
        <f>'BCDTRtSY-state-adjusted'!X13</f>
        <v>0.97056558048026076</v>
      </c>
      <c r="Y2">
        <f>'BCDTRtSY-state-adjusted'!Y13</f>
        <v>0.97020027754234506</v>
      </c>
      <c r="Z2">
        <f>'BCDTRtSY-state-adjusted'!Z13</f>
        <v>0.96863242710788755</v>
      </c>
      <c r="AA2">
        <f>'BCDTRtSY-state-adjusted'!AA13</f>
        <v>0.96761033021732978</v>
      </c>
      <c r="AB2">
        <f>'BCDTRtSY-state-adjusted'!AB13</f>
        <v>0.96584121345284246</v>
      </c>
    </row>
    <row r="3" spans="1:28">
      <c r="A3" t="s">
        <v>118</v>
      </c>
      <c r="B3">
        <f>'BCDTRtSY-state-adjusted'!B14</f>
        <v>1</v>
      </c>
      <c r="C3">
        <f>'BCDTRtSY-state-adjusted'!C14</f>
        <v>1</v>
      </c>
      <c r="D3">
        <f>'BCDTRtSY-state-adjusted'!D14</f>
        <v>1.005353967156035</v>
      </c>
      <c r="E3">
        <f>'BCDTRtSY-state-adjusted'!E14</f>
        <v>1.014831177875144</v>
      </c>
      <c r="F3">
        <f>'BCDTRtSY-state-adjusted'!F14</f>
        <v>1.0233441626266038</v>
      </c>
      <c r="G3">
        <f>'BCDTRtSY-state-adjusted'!G14</f>
        <v>1.0292102639993386</v>
      </c>
      <c r="H3">
        <f>'BCDTRtSY-state-adjusted'!H14</f>
        <v>1.037317149985006</v>
      </c>
      <c r="I3">
        <f>'BCDTRtSY-state-adjusted'!I14</f>
        <v>1.0366860537466422</v>
      </c>
      <c r="J3">
        <f>'BCDTRtSY-state-adjusted'!J14</f>
        <v>1.0368317339116495</v>
      </c>
      <c r="K3">
        <f>'BCDTRtSY-state-adjusted'!K14</f>
        <v>1.0347751190038386</v>
      </c>
      <c r="L3">
        <f>'BCDTRtSY-state-adjusted'!L14</f>
        <v>1.0338268649659843</v>
      </c>
      <c r="M3">
        <f>'BCDTRtSY-state-adjusted'!M14</f>
        <v>1.0326520590893791</v>
      </c>
      <c r="N3">
        <f>'BCDTRtSY-state-adjusted'!N14</f>
        <v>1.0306336965758993</v>
      </c>
      <c r="O3">
        <f>'BCDTRtSY-state-adjusted'!O14</f>
        <v>1.027885888917649</v>
      </c>
      <c r="P3">
        <f>'BCDTRtSY-state-adjusted'!P14</f>
        <v>1.024137468359583</v>
      </c>
      <c r="Q3">
        <f>'BCDTRtSY-state-adjusted'!Q14</f>
        <v>1.0198130195734434</v>
      </c>
      <c r="R3">
        <f>'BCDTRtSY-state-adjusted'!R14</f>
        <v>1.015599412425777</v>
      </c>
      <c r="S3">
        <f>'BCDTRtSY-state-adjusted'!S14</f>
        <v>1.0113964927180756</v>
      </c>
      <c r="T3">
        <f>'BCDTRtSY-state-adjusted'!T14</f>
        <v>1.0066606315188849</v>
      </c>
      <c r="U3">
        <f>'BCDTRtSY-state-adjusted'!U14</f>
        <v>1.000974720509721</v>
      </c>
      <c r="V3">
        <f>'BCDTRtSY-state-adjusted'!V14</f>
        <v>0.99552493810632681</v>
      </c>
      <c r="W3">
        <f>'BCDTRtSY-state-adjusted'!W14</f>
        <v>0.99165417038770154</v>
      </c>
      <c r="X3">
        <f>'BCDTRtSY-state-adjusted'!X14</f>
        <v>0.98789278639731382</v>
      </c>
      <c r="Y3">
        <f>'BCDTRtSY-state-adjusted'!Y14</f>
        <v>0.98397594642726416</v>
      </c>
      <c r="Z3">
        <f>'BCDTRtSY-state-adjusted'!Z14</f>
        <v>0.97819136339934254</v>
      </c>
      <c r="AA3">
        <f>'BCDTRtSY-state-adjusted'!AA14</f>
        <v>0.97230014365589956</v>
      </c>
      <c r="AB3">
        <f>'BCDTRtSY-state-adjusted'!AB14</f>
        <v>0.9658989196255312</v>
      </c>
    </row>
    <row r="4" spans="1:28">
      <c r="A4" t="s">
        <v>116</v>
      </c>
      <c r="B4">
        <f>'BCDTRtSY-state-adjusted'!B15</f>
        <v>1</v>
      </c>
      <c r="C4">
        <f>'BCDTRtSY-state-adjusted'!C15</f>
        <v>1</v>
      </c>
      <c r="D4">
        <f>'BCDTRtSY-state-adjusted'!D15</f>
        <v>1.0213381743810874</v>
      </c>
      <c r="E4">
        <f>'BCDTRtSY-state-adjusted'!E15</f>
        <v>1.0347534761302299</v>
      </c>
      <c r="F4">
        <f>'BCDTRtSY-state-adjusted'!F15</f>
        <v>1.0416517987421561</v>
      </c>
      <c r="G4">
        <f>'BCDTRtSY-state-adjusted'!G15</f>
        <v>1.0520865420030587</v>
      </c>
      <c r="H4">
        <f>'BCDTRtSY-state-adjusted'!H15</f>
        <v>1.0653053674140036</v>
      </c>
      <c r="I4">
        <f>'BCDTRtSY-state-adjusted'!I15</f>
        <v>1.0735176791690482</v>
      </c>
      <c r="J4">
        <f>'BCDTRtSY-state-adjusted'!J15</f>
        <v>1.0844575762076623</v>
      </c>
      <c r="K4">
        <f>'BCDTRtSY-state-adjusted'!K15</f>
        <v>1.0964862959348349</v>
      </c>
      <c r="L4">
        <f>'BCDTRtSY-state-adjusted'!L15</f>
        <v>1.1098600891478703</v>
      </c>
      <c r="M4">
        <f>'BCDTRtSY-state-adjusted'!M15</f>
        <v>1.1246467603934374</v>
      </c>
      <c r="N4">
        <f>'BCDTRtSY-state-adjusted'!N15</f>
        <v>1.1348794525915711</v>
      </c>
      <c r="O4">
        <f>'BCDTRtSY-state-adjusted'!O15</f>
        <v>1.1449762214692041</v>
      </c>
      <c r="P4">
        <f>'BCDTRtSY-state-adjusted'!P15</f>
        <v>1.1547288266233227</v>
      </c>
      <c r="Q4">
        <f>'BCDTRtSY-state-adjusted'!Q15</f>
        <v>1.163674171911395</v>
      </c>
      <c r="R4">
        <f>'BCDTRtSY-state-adjusted'!R15</f>
        <v>1.1727148891396129</v>
      </c>
      <c r="S4">
        <f>'BCDTRtSY-state-adjusted'!S15</f>
        <v>1.181046718625826</v>
      </c>
      <c r="T4">
        <f>'BCDTRtSY-state-adjusted'!T15</f>
        <v>1.189824379365868</v>
      </c>
      <c r="U4">
        <f>'BCDTRtSY-state-adjusted'!U15</f>
        <v>1.1991779800152329</v>
      </c>
      <c r="V4">
        <f>'BCDTRtSY-state-adjusted'!V15</f>
        <v>1.208256826230137</v>
      </c>
      <c r="W4">
        <f>'BCDTRtSY-state-adjusted'!W15</f>
        <v>1.2171829167564152</v>
      </c>
      <c r="X4">
        <f>'BCDTRtSY-state-adjusted'!X15</f>
        <v>1.2252872895906148</v>
      </c>
      <c r="Y4">
        <f>'BCDTRtSY-state-adjusted'!Y15</f>
        <v>1.232026770168402</v>
      </c>
      <c r="Z4">
        <f>'BCDTRtSY-state-adjusted'!Z15</f>
        <v>1.2386686632729991</v>
      </c>
      <c r="AA4">
        <f>'BCDTRtSY-state-adjusted'!AA15</f>
        <v>1.2444999087649113</v>
      </c>
      <c r="AB4">
        <f>'BCDTRtSY-state-adjusted'!AB15</f>
        <v>1.2504296476021206</v>
      </c>
    </row>
    <row r="5" spans="1:28">
      <c r="A5" t="s">
        <v>121</v>
      </c>
      <c r="B5">
        <f>'BCDTRtSY-state-adjusted'!B16</f>
        <v>1</v>
      </c>
      <c r="C5">
        <f>'BCDTRtSY-state-adjusted'!C16</f>
        <v>1</v>
      </c>
      <c r="D5">
        <f>'BCDTRtSY-state-adjusted'!D16</f>
        <v>0.97204391294508241</v>
      </c>
      <c r="E5">
        <f>'BCDTRtSY-state-adjusted'!E16</f>
        <v>0.99801405638796159</v>
      </c>
      <c r="F5">
        <f>'BCDTRtSY-state-adjusted'!F16</f>
        <v>0.97232398346878257</v>
      </c>
      <c r="G5">
        <f>'BCDTRtSY-state-adjusted'!G16</f>
        <v>0.95950423658661221</v>
      </c>
      <c r="H5">
        <f>'BCDTRtSY-state-adjusted'!H16</f>
        <v>0.96075143087308335</v>
      </c>
      <c r="I5">
        <f>'BCDTRtSY-state-adjusted'!I16</f>
        <v>0.92727850519662214</v>
      </c>
      <c r="J5">
        <f>'BCDTRtSY-state-adjusted'!J16</f>
        <v>0.92234722421798176</v>
      </c>
      <c r="K5">
        <f>'BCDTRtSY-state-adjusted'!K16</f>
        <v>0.91753165991225516</v>
      </c>
      <c r="L5">
        <f>'BCDTRtSY-state-adjusted'!L16</f>
        <v>0.90618624981775409</v>
      </c>
      <c r="M5">
        <f>'BCDTRtSY-state-adjusted'!M16</f>
        <v>0.90042253023433083</v>
      </c>
      <c r="N5">
        <f>'BCDTRtSY-state-adjusted'!N16</f>
        <v>0.89385757063484594</v>
      </c>
      <c r="O5">
        <f>'BCDTRtSY-state-adjusted'!O16</f>
        <v>0.88855560003488665</v>
      </c>
      <c r="P5">
        <f>'BCDTRtSY-state-adjusted'!P16</f>
        <v>0.88027241573472459</v>
      </c>
      <c r="Q5">
        <f>'BCDTRtSY-state-adjusted'!Q16</f>
        <v>0.87343064701608664</v>
      </c>
      <c r="R5">
        <f>'BCDTRtSY-state-adjusted'!R16</f>
        <v>0.86571807759859476</v>
      </c>
      <c r="S5">
        <f>'BCDTRtSY-state-adjusted'!S16</f>
        <v>0.85665530535897683</v>
      </c>
      <c r="T5">
        <f>'BCDTRtSY-state-adjusted'!T16</f>
        <v>0.84578484348426286</v>
      </c>
      <c r="U5">
        <f>'BCDTRtSY-state-adjusted'!U16</f>
        <v>0.83554115086147129</v>
      </c>
      <c r="V5">
        <f>'BCDTRtSY-state-adjusted'!V16</f>
        <v>0.82747846981575113</v>
      </c>
      <c r="W5">
        <f>'BCDTRtSY-state-adjusted'!W16</f>
        <v>0.81893560536941679</v>
      </c>
      <c r="X5">
        <f>'BCDTRtSY-state-adjusted'!X16</f>
        <v>0.81254118293119071</v>
      </c>
      <c r="Y5">
        <f>'BCDTRtSY-state-adjusted'!Y16</f>
        <v>0.80919924904400886</v>
      </c>
      <c r="Z5">
        <f>'BCDTRtSY-state-adjusted'!Z16</f>
        <v>0.80363560476101181</v>
      </c>
      <c r="AA5">
        <f>'BCDTRtSY-state-adjusted'!AA16</f>
        <v>0.79326880707798697</v>
      </c>
      <c r="AB5">
        <f>'BCDTRtSY-state-adjusted'!AB16</f>
        <v>0.78351106088000921</v>
      </c>
    </row>
    <row r="6" spans="1:28">
      <c r="A6" t="s">
        <v>122</v>
      </c>
      <c r="B6">
        <f>'BCDTRtSY-state-adjusted'!B17</f>
        <v>1</v>
      </c>
      <c r="C6">
        <f>'BCDTRtSY-state-adjusted'!C17</f>
        <v>1</v>
      </c>
      <c r="D6">
        <f>'BCDTRtSY-state-adjusted'!D17</f>
        <v>0.98683571574991535</v>
      </c>
      <c r="E6">
        <f>'BCDTRtSY-state-adjusted'!E17</f>
        <v>1.000503835069037</v>
      </c>
      <c r="F6">
        <f>'BCDTRtSY-state-adjusted'!F17</f>
        <v>1.0160000379307614</v>
      </c>
      <c r="G6">
        <f>'BCDTRtSY-state-adjusted'!G17</f>
        <v>1.0280151318622228</v>
      </c>
      <c r="H6">
        <f>'BCDTRtSY-state-adjusted'!H17</f>
        <v>1.0407829602784782</v>
      </c>
      <c r="I6">
        <f>'BCDTRtSY-state-adjusted'!I17</f>
        <v>1.047625796131975</v>
      </c>
      <c r="J6">
        <f>'BCDTRtSY-state-adjusted'!J17</f>
        <v>1.0561723544254156</v>
      </c>
      <c r="K6">
        <f>'BCDTRtSY-state-adjusted'!K17</f>
        <v>1.0647050722971838</v>
      </c>
      <c r="L6">
        <f>'BCDTRtSY-state-adjusted'!L17</f>
        <v>1.0736190669505301</v>
      </c>
      <c r="M6">
        <f>'BCDTRtSY-state-adjusted'!M17</f>
        <v>1.0831671584613916</v>
      </c>
      <c r="N6">
        <f>'BCDTRtSY-state-adjusted'!N17</f>
        <v>1.0886850375148165</v>
      </c>
      <c r="O6">
        <f>'BCDTRtSY-state-adjusted'!O17</f>
        <v>1.0908890187786981</v>
      </c>
      <c r="P6">
        <f>'BCDTRtSY-state-adjusted'!P17</f>
        <v>1.0928932522843875</v>
      </c>
      <c r="Q6">
        <f>'BCDTRtSY-state-adjusted'!Q17</f>
        <v>1.0936441156038941</v>
      </c>
      <c r="R6">
        <f>'BCDTRtSY-state-adjusted'!R17</f>
        <v>1.0942991760510918</v>
      </c>
      <c r="S6">
        <f>'BCDTRtSY-state-adjusted'!S17</f>
        <v>1.0947600248971916</v>
      </c>
      <c r="T6">
        <f>'BCDTRtSY-state-adjusted'!T17</f>
        <v>1.0959810067702533</v>
      </c>
      <c r="U6">
        <f>'BCDTRtSY-state-adjusted'!U17</f>
        <v>1.0966475369854587</v>
      </c>
      <c r="V6">
        <f>'BCDTRtSY-state-adjusted'!V17</f>
        <v>1.0970044806848407</v>
      </c>
      <c r="W6">
        <f>'BCDTRtSY-state-adjusted'!W17</f>
        <v>1.0983352850621806</v>
      </c>
      <c r="X6">
        <f>'BCDTRtSY-state-adjusted'!X17</f>
        <v>1.0995984887106782</v>
      </c>
      <c r="Y6">
        <f>'BCDTRtSY-state-adjusted'!Y17</f>
        <v>1.1008205031017801</v>
      </c>
      <c r="Z6">
        <f>'BCDTRtSY-state-adjusted'!Z17</f>
        <v>1.1012013935577465</v>
      </c>
      <c r="AA6">
        <f>'BCDTRtSY-state-adjusted'!AA17</f>
        <v>1.1011391742802696</v>
      </c>
      <c r="AB6">
        <f>'BCDTRtSY-state-adjusted'!AB17</f>
        <v>1.102061170632908</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2026-08-14T21:49:48Z</dcterms:modified>
</cp:coreProperties>
</file>