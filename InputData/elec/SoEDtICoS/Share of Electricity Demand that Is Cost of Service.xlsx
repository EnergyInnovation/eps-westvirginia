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WV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733</v>
      </c>
      <c r="C4" t="inlineStr">
        <is>
          <t>Appalachian Power Co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WV</t>
        </is>
      </c>
      <c r="H4" t="inlineStr">
        <is>
          <t>Investor Owned</t>
        </is>
      </c>
      <c r="I4" t="inlineStr">
        <is>
          <t>PJM</t>
        </is>
      </c>
      <c r="J4" t="n">
        <v>776640</v>
      </c>
      <c r="K4" t="n">
        <v>4632296</v>
      </c>
      <c r="L4" t="n">
        <v>348946</v>
      </c>
      <c r="M4" t="n">
        <v>383165</v>
      </c>
      <c r="N4" t="n">
        <v>3102967</v>
      </c>
      <c r="O4" t="n">
        <v>67012</v>
      </c>
      <c r="P4" t="n">
        <v>340280</v>
      </c>
      <c r="Q4" t="n">
        <v>3883180</v>
      </c>
      <c r="R4" t="n">
        <v>2180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1500085</v>
      </c>
      <c r="W4" t="n">
        <v>11618443</v>
      </c>
      <c r="X4" t="n">
        <v>418138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1764</v>
      </c>
      <c r="C5" t="inlineStr">
        <is>
          <t>Black Diamond Power Co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WV</t>
        </is>
      </c>
      <c r="H5" t="inlineStr">
        <is>
          <t>Investor Owned</t>
        </is>
      </c>
      <c r="I5" t="inlineStr">
        <is>
          <t>PJM</t>
        </is>
      </c>
      <c r="J5" t="n">
        <v>4975.5</v>
      </c>
      <c r="K5" t="n">
        <v>32418</v>
      </c>
      <c r="L5" t="n">
        <v>3479</v>
      </c>
      <c r="M5" t="n">
        <v>1949.4</v>
      </c>
      <c r="N5" t="n">
        <v>13864</v>
      </c>
      <c r="O5" t="n">
        <v>454</v>
      </c>
      <c r="P5" t="inlineStr">
        <is>
          <t>.</t>
        </is>
      </c>
      <c r="Q5" t="inlineStr">
        <is>
          <t>.</t>
        </is>
      </c>
      <c r="R5" t="inlineStr">
        <is>
          <t>.</t>
        </is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6924.9</v>
      </c>
      <c r="W5" t="n">
        <v>46282</v>
      </c>
      <c r="X5" t="n">
        <v>3933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12796</v>
      </c>
      <c r="C6" t="inlineStr">
        <is>
          <t>Monongahela Power Co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WV</t>
        </is>
      </c>
      <c r="H6" t="inlineStr">
        <is>
          <t>Investor Owned</t>
        </is>
      </c>
      <c r="I6" t="inlineStr">
        <is>
          <t>PJM</t>
        </is>
      </c>
      <c r="J6" t="n">
        <v>500111.5</v>
      </c>
      <c r="K6" t="n">
        <v>3579591</v>
      </c>
      <c r="L6" t="n">
        <v>334588</v>
      </c>
      <c r="M6" t="n">
        <v>357066</v>
      </c>
      <c r="N6" t="n">
        <v>3269443</v>
      </c>
      <c r="O6" t="n">
        <v>56139</v>
      </c>
      <c r="P6" t="n">
        <v>428976.7</v>
      </c>
      <c r="Q6" t="n">
        <v>5567182</v>
      </c>
      <c r="R6" t="n">
        <v>6468</v>
      </c>
      <c r="S6" t="n">
        <v>0</v>
      </c>
      <c r="T6" t="n">
        <v>0</v>
      </c>
      <c r="U6" t="n">
        <v>0</v>
      </c>
      <c r="V6" t="n">
        <v>1286154.2</v>
      </c>
      <c r="W6" t="n">
        <v>12416216</v>
      </c>
      <c r="X6" t="n">
        <v>397195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15263</v>
      </c>
      <c r="C7" t="inlineStr">
        <is>
          <t>The Potomac Edison Company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WV</t>
        </is>
      </c>
      <c r="H7" t="inlineStr">
        <is>
          <t>Investor Owned</t>
        </is>
      </c>
      <c r="I7" t="inlineStr">
        <is>
          <t>PJM</t>
        </is>
      </c>
      <c r="J7" t="n">
        <v>247917.1</v>
      </c>
      <c r="K7" t="n">
        <v>1968719</v>
      </c>
      <c r="L7" t="n">
        <v>135266</v>
      </c>
      <c r="M7" t="n">
        <v>93349.39999999999</v>
      </c>
      <c r="N7" t="n">
        <v>835967</v>
      </c>
      <c r="O7" t="n">
        <v>20170</v>
      </c>
      <c r="P7" t="n">
        <v>73423.3</v>
      </c>
      <c r="Q7" t="n">
        <v>986928</v>
      </c>
      <c r="R7" t="n">
        <v>1806</v>
      </c>
      <c r="S7" t="n">
        <v>0</v>
      </c>
      <c r="T7" t="n">
        <v>0</v>
      </c>
      <c r="U7" t="n">
        <v>0</v>
      </c>
      <c r="V7" t="n">
        <v>414689.8</v>
      </c>
      <c r="W7" t="n">
        <v>3791614</v>
      </c>
      <c r="X7" t="n">
        <v>157242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20521</v>
      </c>
      <c r="C8" t="inlineStr">
        <is>
          <t>Wheeling Power Co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WV</t>
        </is>
      </c>
      <c r="H8" t="inlineStr">
        <is>
          <t>Investor Owned</t>
        </is>
      </c>
      <c r="I8" t="inlineStr">
        <is>
          <t>PJM</t>
        </is>
      </c>
      <c r="J8" t="n">
        <v>64787</v>
      </c>
      <c r="K8" t="n">
        <v>372163</v>
      </c>
      <c r="L8" t="n">
        <v>34392</v>
      </c>
      <c r="M8" t="n">
        <v>46831</v>
      </c>
      <c r="N8" t="n">
        <v>377859</v>
      </c>
      <c r="O8" t="n">
        <v>6411</v>
      </c>
      <c r="P8" t="n">
        <v>301447</v>
      </c>
      <c r="Q8" t="n">
        <v>4213488</v>
      </c>
      <c r="R8" t="n">
        <v>437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413065</v>
      </c>
      <c r="W8" t="n">
        <v>4963510</v>
      </c>
      <c r="X8" t="n">
        <v>41240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59579</v>
      </c>
      <c r="C9" t="inlineStr">
        <is>
          <t>Sunnova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WV</t>
        </is>
      </c>
      <c r="H9" t="inlineStr">
        <is>
          <t>Behind the Meter</t>
        </is>
      </c>
      <c r="I9" t="inlineStr">
        <is>
          <t>PJM</t>
        </is>
      </c>
      <c r="J9" t="n">
        <v>0</v>
      </c>
      <c r="K9" t="n">
        <v>0</v>
      </c>
      <c r="L9" t="n">
        <v>0</v>
      </c>
      <c r="M9" t="inlineStr">
        <is>
          <t>.</t>
        </is>
      </c>
      <c r="N9" t="inlineStr">
        <is>
          <t>.</t>
        </is>
      </c>
      <c r="O9" t="inlineStr">
        <is>
          <t>.</t>
        </is>
      </c>
      <c r="P9" t="inlineStr">
        <is>
          <t>.</t>
        </is>
      </c>
      <c r="Q9" t="inlineStr">
        <is>
          <t>.</t>
        </is>
      </c>
      <c r="R9" t="inlineStr">
        <is>
          <t>.</t>
        </is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0</v>
      </c>
      <c r="W9" t="n">
        <v>0</v>
      </c>
      <c r="X9" t="n">
        <v>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99999</v>
      </c>
      <c r="C10" t="inlineStr">
        <is>
          <t>Adjustment 2024</t>
        </is>
      </c>
      <c r="D10" t="inlineStr">
        <is>
          <t>A</t>
        </is>
      </c>
      <c r="E10" t="inlineStr">
        <is>
          <t>Bundled</t>
        </is>
      </c>
      <c r="F10" t="inlineStr">
        <is>
          <t>I</t>
        </is>
      </c>
      <c r="G10" t="inlineStr">
        <is>
          <t>WV</t>
        </is>
      </c>
      <c r="H10" t="inlineStr"/>
      <c r="I10" t="inlineStr">
        <is>
          <t>PJM</t>
        </is>
      </c>
      <c r="J10" t="n">
        <v>14633.1</v>
      </c>
      <c r="K10" t="n">
        <v>89316</v>
      </c>
      <c r="L10" t="n">
        <v>9785</v>
      </c>
      <c r="M10" t="n">
        <v>8335.9</v>
      </c>
      <c r="N10" t="n">
        <v>64985</v>
      </c>
      <c r="O10" t="n">
        <v>1826</v>
      </c>
      <c r="P10" t="n">
        <v>18.7</v>
      </c>
      <c r="Q10" t="n">
        <v>204</v>
      </c>
      <c r="R10" t="n">
        <v>114</v>
      </c>
      <c r="S10" t="n">
        <v>0</v>
      </c>
      <c r="T10" t="n">
        <v>0</v>
      </c>
      <c r="U10" t="n">
        <v>0</v>
      </c>
      <c r="V10" t="n">
        <v>22987.7</v>
      </c>
      <c r="W10" t="n">
        <v>154505</v>
      </c>
      <c r="X10" t="n">
        <v>11725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WV</t>
        </is>
      </c>
      <c r="B2">
        <f>SUMIFS('EIA-861 Sales 2024'!$Y$4:$Y$10,'EIA-861 Sales 2024'!$Z$4:$Z$10,"cost_service")</f>
        <v/>
      </c>
      <c r="C2">
        <f>SUMIFS('EIA-861 Sales 2024'!$Y$4:$Y$10,'EIA-861 Sales 2024'!$Z$4:$Z$10,"procurement")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2026-06-02T20:15:33Z</dcterms:created>
  <dcterms:modified xmlns:dcterms="http://purl.org/dc/terms/" xmlns:xsi="http://www.w3.org/2001/XMLSchema-instance" xsi:type="dcterms:W3CDTF">2026-06-02T20:15:33Z</dcterms:modified>
</cp:coreProperties>
</file>