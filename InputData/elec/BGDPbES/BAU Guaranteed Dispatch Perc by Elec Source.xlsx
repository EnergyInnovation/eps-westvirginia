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V\elec\BGDPbES\"/>
    </mc:Choice>
  </mc:AlternateContent>
  <xr:revisionPtr revIDLastSave="0" documentId="8_{87BCC48F-3164-4A2D-BD5A-5340CD378B83}" xr6:coauthVersionLast="47" xr6:coauthVersionMax="47" xr10:uidLastSave="{00000000-0000-0000-0000-000000000000}"/>
  <bookViews>
    <workbookView xWindow="-120" yWindow="-120" windowWidth="29040" windowHeight="17520" firstSheet="3" activeTab="9" xr2:uid="{FA10E943-52D5-4BD5-9FD1-00D6D0D692D0}"/>
  </bookViews>
  <sheets>
    <sheet name="About" sheetId="1" r:id="rId1"/>
    <sheet name="petroleum adj" sheetId="36" r:id="rId2"/>
    <sheet name="coal and gas factors" sheetId="35" r:id="rId3"/>
    <sheet name="start year state specific CF" sheetId="27" r:id="rId4"/>
    <sheet name="EIA data" sheetId="38" r:id="rId5"/>
    <sheet name="shelf" sheetId="39" r:id="rId6"/>
    <sheet name="all_csv_SYSHECF-hard-coal" sheetId="40" r:id="rId7"/>
    <sheet name="CF coal 2023-2024" sheetId="41" r:id="rId8"/>
    <sheet name="CF nat gas 2023-2024" sheetId="42" r:id="rId9"/>
    <sheet name="BGDPbES" sheetId="2" r:id="rId10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G4" i="2"/>
  <c r="H4" i="2"/>
  <c r="I4" i="2"/>
  <c r="J4" i="2"/>
  <c r="E4" i="2"/>
  <c r="F3" i="41"/>
  <c r="F4" i="41"/>
  <c r="F5" i="41"/>
  <c r="F6" i="41"/>
  <c r="F7" i="41"/>
  <c r="F8" i="41"/>
  <c r="F9" i="41"/>
  <c r="F10" i="41"/>
  <c r="F11" i="41"/>
  <c r="F12" i="41"/>
  <c r="F13" i="41"/>
  <c r="F14" i="41"/>
  <c r="F15" i="41"/>
  <c r="F16" i="41"/>
  <c r="F17" i="41"/>
  <c r="F18" i="41"/>
  <c r="F19" i="41"/>
  <c r="F20" i="41"/>
  <c r="F21" i="41"/>
  <c r="F22" i="41"/>
  <c r="F23" i="41"/>
  <c r="F24" i="41"/>
  <c r="F25" i="41"/>
  <c r="F26" i="41"/>
  <c r="F27" i="41"/>
  <c r="F28" i="41"/>
  <c r="F29" i="41"/>
  <c r="F30" i="41"/>
  <c r="F31" i="41"/>
  <c r="F32" i="41"/>
  <c r="F33" i="41"/>
  <c r="F34" i="41"/>
  <c r="F35" i="41"/>
  <c r="F36" i="41"/>
  <c r="F37" i="41"/>
  <c r="F38" i="41"/>
  <c r="F39" i="41"/>
  <c r="F40" i="41"/>
  <c r="F41" i="41"/>
  <c r="F42" i="41"/>
  <c r="F44" i="41"/>
  <c r="F45" i="41"/>
  <c r="F46" i="41"/>
  <c r="F47" i="41"/>
  <c r="F48" i="41"/>
  <c r="F49" i="41"/>
  <c r="F2" i="41"/>
  <c r="D3" i="4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2" i="41"/>
  <c r="C3" i="41"/>
  <c r="C4" i="41"/>
  <c r="C5" i="41"/>
  <c r="C6" i="41"/>
  <c r="C7" i="41"/>
  <c r="C8" i="41"/>
  <c r="C9" i="41"/>
  <c r="C10" i="41"/>
  <c r="C11" i="41"/>
  <c r="C12" i="41"/>
  <c r="C13" i="41"/>
  <c r="C14" i="41"/>
  <c r="C15" i="41"/>
  <c r="C16" i="41"/>
  <c r="C17" i="41"/>
  <c r="C18" i="41"/>
  <c r="C19" i="41"/>
  <c r="C20" i="41"/>
  <c r="C21" i="41"/>
  <c r="C22" i="41"/>
  <c r="C23" i="41"/>
  <c r="C24" i="41"/>
  <c r="C25" i="41"/>
  <c r="C26" i="41"/>
  <c r="C27" i="41"/>
  <c r="C28" i="41"/>
  <c r="C29" i="41"/>
  <c r="C30" i="41"/>
  <c r="C31" i="41"/>
  <c r="C32" i="41"/>
  <c r="C33" i="41"/>
  <c r="C34" i="41"/>
  <c r="C35" i="41"/>
  <c r="C36" i="41"/>
  <c r="C37" i="41"/>
  <c r="C38" i="41"/>
  <c r="C39" i="41"/>
  <c r="C40" i="41"/>
  <c r="C41" i="41"/>
  <c r="C42" i="41"/>
  <c r="C43" i="41"/>
  <c r="C44" i="41"/>
  <c r="C45" i="41"/>
  <c r="C46" i="41"/>
  <c r="C47" i="41"/>
  <c r="C48" i="41"/>
  <c r="C49" i="41"/>
  <c r="C2" i="41"/>
  <c r="AC3" i="40" a="1"/>
  <c r="AC3" i="40" s="1"/>
  <c r="AC4" i="40" a="1"/>
  <c r="AC4" i="40" s="1"/>
  <c r="AC5" i="40" a="1"/>
  <c r="AC5" i="40"/>
  <c r="AC6" i="40" a="1"/>
  <c r="AC6" i="40"/>
  <c r="AC7" i="40" a="1"/>
  <c r="AC7" i="40" s="1"/>
  <c r="AC8" i="40" a="1"/>
  <c r="AC8" i="40" s="1"/>
  <c r="AC9" i="40" a="1"/>
  <c r="AC9" i="40"/>
  <c r="AC10" i="40" a="1"/>
  <c r="AC10" i="40"/>
  <c r="AC11" i="40" a="1"/>
  <c r="AC11" i="40" s="1"/>
  <c r="AC12" i="40" a="1"/>
  <c r="AC12" i="40" s="1"/>
  <c r="AC13" i="40" a="1"/>
  <c r="AC13" i="40"/>
  <c r="AC14" i="40" a="1"/>
  <c r="AC14" i="40"/>
  <c r="AC15" i="40" a="1"/>
  <c r="AC15" i="40" s="1"/>
  <c r="AC16" i="40" a="1"/>
  <c r="AC16" i="40" s="1"/>
  <c r="AC17" i="40" a="1"/>
  <c r="AC17" i="40"/>
  <c r="AC18" i="40" a="1"/>
  <c r="AC18" i="40"/>
  <c r="AC19" i="40" a="1"/>
  <c r="AC19" i="40" s="1"/>
  <c r="AC20" i="40" a="1"/>
  <c r="AC20" i="40" s="1"/>
  <c r="AC21" i="40" a="1"/>
  <c r="AC21" i="40"/>
  <c r="AC22" i="40" a="1"/>
  <c r="AC22" i="40"/>
  <c r="AC23" i="40" a="1"/>
  <c r="AC23" i="40" s="1"/>
  <c r="AC24" i="40" a="1"/>
  <c r="AC24" i="40" s="1"/>
  <c r="AC25" i="40" a="1"/>
  <c r="AC25" i="40"/>
  <c r="AC26" i="40" a="1"/>
  <c r="AC26" i="40"/>
  <c r="AC27" i="40" a="1"/>
  <c r="AC27" i="40" s="1"/>
  <c r="AC28" i="40" a="1"/>
  <c r="AC28" i="40" s="1"/>
  <c r="AC29" i="40" a="1"/>
  <c r="AC29" i="40"/>
  <c r="AC30" i="40" a="1"/>
  <c r="AC30" i="40"/>
  <c r="AC31" i="40" a="1"/>
  <c r="AC31" i="40" s="1"/>
  <c r="AC32" i="40" a="1"/>
  <c r="AC32" i="40" s="1"/>
  <c r="AC33" i="40" a="1"/>
  <c r="AC33" i="40"/>
  <c r="AC34" i="40" a="1"/>
  <c r="AC34" i="40"/>
  <c r="AC35" i="40" a="1"/>
  <c r="AC35" i="40" s="1"/>
  <c r="AC36" i="40" a="1"/>
  <c r="AC36" i="40" s="1"/>
  <c r="AC37" i="40" a="1"/>
  <c r="AC37" i="40"/>
  <c r="AC38" i="40" a="1"/>
  <c r="AC38" i="40"/>
  <c r="AC39" i="40" a="1"/>
  <c r="AC39" i="40" s="1"/>
  <c r="AC40" i="40" a="1"/>
  <c r="AC40" i="40" s="1"/>
  <c r="AC41" i="40" a="1"/>
  <c r="AC41" i="40"/>
  <c r="AC42" i="40" a="1"/>
  <c r="AC42" i="40"/>
  <c r="AC43" i="40" a="1"/>
  <c r="AC43" i="40" s="1"/>
  <c r="AC44" i="40" a="1"/>
  <c r="AC44" i="40" s="1"/>
  <c r="AC45" i="40" a="1"/>
  <c r="AC45" i="40"/>
  <c r="AC46" i="40" a="1"/>
  <c r="AC46" i="40"/>
  <c r="AC47" i="40" a="1"/>
  <c r="AC47" i="40" s="1"/>
  <c r="AC48" i="40" a="1"/>
  <c r="AC48" i="40" s="1"/>
  <c r="AC49" i="40" a="1"/>
  <c r="AC49" i="40"/>
  <c r="AC50" i="40" a="1"/>
  <c r="AC50" i="40"/>
  <c r="AC51" i="40" a="1"/>
  <c r="AC51" i="40" s="1"/>
  <c r="AC52" i="40" a="1"/>
  <c r="AC52" i="40" s="1"/>
  <c r="AC53" i="40" a="1"/>
  <c r="AC53" i="40"/>
  <c r="AC54" i="40" a="1"/>
  <c r="AC54" i="40"/>
  <c r="AC55" i="40" a="1"/>
  <c r="AC55" i="40" s="1"/>
  <c r="AC56" i="40" a="1"/>
  <c r="AC56" i="40" s="1"/>
  <c r="AC57" i="40" a="1"/>
  <c r="AC57" i="40"/>
  <c r="AC58" i="40" a="1"/>
  <c r="AC58" i="40"/>
  <c r="AC59" i="40" a="1"/>
  <c r="AC59" i="40" s="1"/>
  <c r="AC60" i="40" a="1"/>
  <c r="AC60" i="40" s="1"/>
  <c r="AC61" i="40" a="1"/>
  <c r="AC61" i="40"/>
  <c r="AC62" i="40" a="1"/>
  <c r="AC62" i="40"/>
  <c r="AC63" i="40" a="1"/>
  <c r="AC63" i="40" s="1"/>
  <c r="AC64" i="40" a="1"/>
  <c r="AC64" i="40" s="1"/>
  <c r="AC65" i="40" a="1"/>
  <c r="AC65" i="40"/>
  <c r="AC66" i="40" a="1"/>
  <c r="AC66" i="40"/>
  <c r="AC67" i="40" a="1"/>
  <c r="AC67" i="40" s="1"/>
  <c r="AC68" i="40" a="1"/>
  <c r="AC68" i="40" s="1"/>
  <c r="AC69" i="40" a="1"/>
  <c r="AC69" i="40"/>
  <c r="AC70" i="40" a="1"/>
  <c r="AC70" i="40"/>
  <c r="AC71" i="40" a="1"/>
  <c r="AC71" i="40" s="1"/>
  <c r="AC72" i="40" a="1"/>
  <c r="AC72" i="40" s="1"/>
  <c r="AC73" i="40" a="1"/>
  <c r="AC73" i="40"/>
  <c r="AC74" i="40" a="1"/>
  <c r="AC74" i="40"/>
  <c r="AC75" i="40" a="1"/>
  <c r="AC75" i="40" s="1"/>
  <c r="AC76" i="40" a="1"/>
  <c r="AC76" i="40" s="1"/>
  <c r="AC77" i="40" a="1"/>
  <c r="AC77" i="40"/>
  <c r="AC78" i="40" a="1"/>
  <c r="AC78" i="40"/>
  <c r="AC79" i="40" a="1"/>
  <c r="AC79" i="40" s="1"/>
  <c r="AC80" i="40" a="1"/>
  <c r="AC80" i="40" s="1"/>
  <c r="AC81" i="40" a="1"/>
  <c r="AC81" i="40"/>
  <c r="AC82" i="40" a="1"/>
  <c r="AC82" i="40"/>
  <c r="AC83" i="40" a="1"/>
  <c r="AC83" i="40" s="1"/>
  <c r="AC84" i="40" a="1"/>
  <c r="AC84" i="40" s="1"/>
  <c r="AC85" i="40" a="1"/>
  <c r="AC85" i="40"/>
  <c r="AC86" i="40" a="1"/>
  <c r="AC86" i="40"/>
  <c r="AC87" i="40" a="1"/>
  <c r="AC87" i="40" s="1"/>
  <c r="AC88" i="40" a="1"/>
  <c r="AC88" i="40" s="1"/>
  <c r="AC89" i="40" a="1"/>
  <c r="AC89" i="40"/>
  <c r="AC90" i="40" a="1"/>
  <c r="AC90" i="40"/>
  <c r="AC91" i="40" a="1"/>
  <c r="AC91" i="40" s="1"/>
  <c r="AC92" i="40" a="1"/>
  <c r="AC92" i="40" s="1"/>
  <c r="AC93" i="40" a="1"/>
  <c r="AC93" i="40"/>
  <c r="AC94" i="40" a="1"/>
  <c r="AC94" i="40"/>
  <c r="AC95" i="40" a="1"/>
  <c r="AC95" i="40" s="1"/>
  <c r="AC96" i="40" a="1"/>
  <c r="AC96" i="40" s="1"/>
  <c r="AC97" i="40" a="1"/>
  <c r="AC97" i="40"/>
  <c r="AC98" i="40" a="1"/>
  <c r="AC98" i="40"/>
  <c r="AC99" i="40" a="1"/>
  <c r="AC99" i="40" s="1"/>
  <c r="AC100" i="40" a="1"/>
  <c r="AC100" i="40" s="1"/>
  <c r="AC101" i="40" a="1"/>
  <c r="AC101" i="40"/>
  <c r="AC102" i="40" a="1"/>
  <c r="AC102" i="40"/>
  <c r="AC103" i="40" a="1"/>
  <c r="AC103" i="40" s="1"/>
  <c r="AC104" i="40" a="1"/>
  <c r="AC104" i="40" s="1"/>
  <c r="AC105" i="40" a="1"/>
  <c r="AC105" i="40"/>
  <c r="AC106" i="40" a="1"/>
  <c r="AC106" i="40"/>
  <c r="AC107" i="40" a="1"/>
  <c r="AC107" i="40" s="1"/>
  <c r="AC108" i="40" a="1"/>
  <c r="AC108" i="40" s="1"/>
  <c r="AC109" i="40" a="1"/>
  <c r="AC109" i="40"/>
  <c r="AC110" i="40" a="1"/>
  <c r="AC110" i="40"/>
  <c r="AC111" i="40" a="1"/>
  <c r="AC111" i="40" s="1"/>
  <c r="AC112" i="40" a="1"/>
  <c r="AC112" i="40" s="1"/>
  <c r="AC113" i="40" a="1"/>
  <c r="AC113" i="40"/>
  <c r="AC114" i="40" a="1"/>
  <c r="AC114" i="40"/>
  <c r="AC115" i="40" a="1"/>
  <c r="AC115" i="40" s="1"/>
  <c r="AC116" i="40" a="1"/>
  <c r="AC116" i="40" s="1"/>
  <c r="AC117" i="40" a="1"/>
  <c r="AC117" i="40"/>
  <c r="AC118" i="40" a="1"/>
  <c r="AC118" i="40"/>
  <c r="AC119" i="40" a="1"/>
  <c r="AC119" i="40" s="1"/>
  <c r="AC120" i="40" a="1"/>
  <c r="AC120" i="40" s="1"/>
  <c r="AC121" i="40" a="1"/>
  <c r="AC121" i="40"/>
  <c r="AC122" i="40" a="1"/>
  <c r="AC122" i="40"/>
  <c r="AC123" i="40" a="1"/>
  <c r="AC123" i="40" s="1"/>
  <c r="AC124" i="40" a="1"/>
  <c r="AC124" i="40" s="1"/>
  <c r="AC125" i="40" a="1"/>
  <c r="AC125" i="40"/>
  <c r="AC126" i="40" a="1"/>
  <c r="AC126" i="40"/>
  <c r="AC127" i="40" a="1"/>
  <c r="AC127" i="40" s="1"/>
  <c r="AC128" i="40" a="1"/>
  <c r="AC128" i="40" s="1"/>
  <c r="AC129" i="40" a="1"/>
  <c r="AC129" i="40"/>
  <c r="AC130" i="40" a="1"/>
  <c r="AC130" i="40"/>
  <c r="AC131" i="40" a="1"/>
  <c r="AC131" i="40" s="1"/>
  <c r="AC132" i="40" a="1"/>
  <c r="AC132" i="40" s="1"/>
  <c r="AC133" i="40" a="1"/>
  <c r="AC133" i="40"/>
  <c r="AC134" i="40" a="1"/>
  <c r="AC134" i="40"/>
  <c r="AC135" i="40" a="1"/>
  <c r="AC135" i="40" s="1"/>
  <c r="AC136" i="40" a="1"/>
  <c r="AC136" i="40" s="1"/>
  <c r="AC137" i="40" a="1"/>
  <c r="AC137" i="40"/>
  <c r="AC138" i="40" a="1"/>
  <c r="AC138" i="40"/>
  <c r="AC139" i="40" a="1"/>
  <c r="AC139" i="40" s="1"/>
  <c r="AC140" i="40" a="1"/>
  <c r="AC140" i="40" s="1"/>
  <c r="AC141" i="40" a="1"/>
  <c r="AC141" i="40"/>
  <c r="AC142" i="40" a="1"/>
  <c r="AC142" i="40"/>
  <c r="AC143" i="40" a="1"/>
  <c r="AC143" i="40" s="1"/>
  <c r="AC144" i="40" a="1"/>
  <c r="AC144" i="40" s="1"/>
  <c r="AC145" i="40" a="1"/>
  <c r="AC145" i="40"/>
  <c r="AC146" i="40" a="1"/>
  <c r="AC146" i="40"/>
  <c r="AC147" i="40" a="1"/>
  <c r="AC147" i="40" s="1"/>
  <c r="AC148" i="40" a="1"/>
  <c r="AC148" i="40" s="1"/>
  <c r="AC149" i="40" a="1"/>
  <c r="AC149" i="40"/>
  <c r="AC150" i="40" a="1"/>
  <c r="AC150" i="40"/>
  <c r="AC151" i="40" a="1"/>
  <c r="AC151" i="40" s="1"/>
  <c r="AC152" i="40" a="1"/>
  <c r="AC152" i="40" s="1"/>
  <c r="AC153" i="40" a="1"/>
  <c r="AC153" i="40"/>
  <c r="AC154" i="40" a="1"/>
  <c r="AC154" i="40"/>
  <c r="AC155" i="40" a="1"/>
  <c r="AC155" i="40" s="1"/>
  <c r="AC156" i="40" a="1"/>
  <c r="AC156" i="40" s="1"/>
  <c r="AC157" i="40" a="1"/>
  <c r="AC157" i="40"/>
  <c r="AC158" i="40" a="1"/>
  <c r="AC158" i="40"/>
  <c r="AC159" i="40" a="1"/>
  <c r="AC159" i="40" s="1"/>
  <c r="AC160" i="40" a="1"/>
  <c r="AC160" i="40" s="1"/>
  <c r="AC161" i="40" a="1"/>
  <c r="AC161" i="40"/>
  <c r="AC162" i="40" a="1"/>
  <c r="AC162" i="40"/>
  <c r="AC163" i="40" a="1"/>
  <c r="AC163" i="40" s="1"/>
  <c r="AC164" i="40" a="1"/>
  <c r="AC164" i="40" s="1"/>
  <c r="AC165" i="40" a="1"/>
  <c r="AC165" i="40"/>
  <c r="AC166" i="40" a="1"/>
  <c r="AC166" i="40"/>
  <c r="AC167" i="40" a="1"/>
  <c r="AC167" i="40" s="1"/>
  <c r="AC168" i="40" a="1"/>
  <c r="AC168" i="40" s="1"/>
  <c r="AC169" i="40" a="1"/>
  <c r="AC169" i="40"/>
  <c r="AC170" i="40" a="1"/>
  <c r="AC170" i="40"/>
  <c r="AC171" i="40" a="1"/>
  <c r="AC171" i="40" s="1"/>
  <c r="AC172" i="40" a="1"/>
  <c r="AC172" i="40" s="1"/>
  <c r="AC173" i="40" a="1"/>
  <c r="AC173" i="40"/>
  <c r="AC174" i="40" a="1"/>
  <c r="AC174" i="40"/>
  <c r="AC175" i="40" a="1"/>
  <c r="AC175" i="40" s="1"/>
  <c r="AC176" i="40" a="1"/>
  <c r="AC176" i="40" s="1"/>
  <c r="AC177" i="40" a="1"/>
  <c r="AC177" i="40"/>
  <c r="AC178" i="40" a="1"/>
  <c r="AC178" i="40"/>
  <c r="AC179" i="40" a="1"/>
  <c r="AC179" i="40" s="1"/>
  <c r="AC180" i="40" a="1"/>
  <c r="AC180" i="40" s="1"/>
  <c r="AC181" i="40" a="1"/>
  <c r="AC181" i="40"/>
  <c r="AC182" i="40" a="1"/>
  <c r="AC182" i="40"/>
  <c r="AC183" i="40" a="1"/>
  <c r="AC183" i="40" s="1"/>
  <c r="AC184" i="40" a="1"/>
  <c r="AC184" i="40" s="1"/>
  <c r="AC185" i="40" a="1"/>
  <c r="AC185" i="40"/>
  <c r="AC186" i="40" a="1"/>
  <c r="AC186" i="40"/>
  <c r="AC187" i="40" a="1"/>
  <c r="AC187" i="40" s="1"/>
  <c r="AC188" i="40" a="1"/>
  <c r="AC188" i="40" s="1"/>
  <c r="AC189" i="40" a="1"/>
  <c r="AC189" i="40"/>
  <c r="AC190" i="40" a="1"/>
  <c r="AC190" i="40"/>
  <c r="AC191" i="40" a="1"/>
  <c r="AC191" i="40" s="1"/>
  <c r="AC192" i="40" a="1"/>
  <c r="AC192" i="40" s="1"/>
  <c r="AC193" i="40" a="1"/>
  <c r="AC193" i="40"/>
  <c r="AC194" i="40" a="1"/>
  <c r="AC194" i="40"/>
  <c r="AC195" i="40" a="1"/>
  <c r="AC195" i="40" s="1"/>
  <c r="AC196" i="40" a="1"/>
  <c r="AC196" i="40" s="1"/>
  <c r="AC197" i="40" a="1"/>
  <c r="AC197" i="40"/>
  <c r="AC198" i="40" a="1"/>
  <c r="AC198" i="40"/>
  <c r="AC199" i="40" a="1"/>
  <c r="AC199" i="40" s="1"/>
  <c r="AC200" i="40" a="1"/>
  <c r="AC200" i="40" s="1"/>
  <c r="AC201" i="40" a="1"/>
  <c r="AC201" i="40"/>
  <c r="AC202" i="40" a="1"/>
  <c r="AC202" i="40"/>
  <c r="AC203" i="40" a="1"/>
  <c r="AC203" i="40" s="1"/>
  <c r="AC204" i="40" a="1"/>
  <c r="AC204" i="40" s="1"/>
  <c r="AC205" i="40" a="1"/>
  <c r="AC205" i="40"/>
  <c r="AC206" i="40" a="1"/>
  <c r="AC206" i="40"/>
  <c r="AC207" i="40" a="1"/>
  <c r="AC207" i="40" s="1"/>
  <c r="AC208" i="40" a="1"/>
  <c r="AC208" i="40" s="1"/>
  <c r="AC209" i="40" a="1"/>
  <c r="AC209" i="40"/>
  <c r="AC210" i="40" a="1"/>
  <c r="AC210" i="40"/>
  <c r="AC211" i="40" a="1"/>
  <c r="AC211" i="40" s="1"/>
  <c r="AC212" i="40" a="1"/>
  <c r="AC212" i="40" s="1"/>
  <c r="AC213" i="40" a="1"/>
  <c r="AC213" i="40"/>
  <c r="AC214" i="40" a="1"/>
  <c r="AC214" i="40"/>
  <c r="AC215" i="40" a="1"/>
  <c r="AC215" i="40" s="1"/>
  <c r="AC216" i="40" a="1"/>
  <c r="AC216" i="40" s="1"/>
  <c r="AC217" i="40" a="1"/>
  <c r="AC217" i="40"/>
  <c r="AC218" i="40" a="1"/>
  <c r="AC218" i="40"/>
  <c r="AC219" i="40" a="1"/>
  <c r="AC219" i="40" s="1"/>
  <c r="AC220" i="40" a="1"/>
  <c r="AC220" i="40" s="1"/>
  <c r="AC221" i="40" a="1"/>
  <c r="AC221" i="40"/>
  <c r="AC222" i="40" a="1"/>
  <c r="AC222" i="40"/>
  <c r="AC223" i="40" a="1"/>
  <c r="AC223" i="40" s="1"/>
  <c r="AC224" i="40" a="1"/>
  <c r="AC224" i="40" s="1"/>
  <c r="AC225" i="40" a="1"/>
  <c r="AC225" i="40"/>
  <c r="AC226" i="40" a="1"/>
  <c r="AC226" i="40"/>
  <c r="AC227" i="40" a="1"/>
  <c r="AC227" i="40" s="1"/>
  <c r="AC228" i="40" a="1"/>
  <c r="AC228" i="40" s="1"/>
  <c r="AC229" i="40" a="1"/>
  <c r="AC229" i="40"/>
  <c r="AC230" i="40" a="1"/>
  <c r="AC230" i="40"/>
  <c r="AC231" i="40" a="1"/>
  <c r="AC231" i="40" s="1"/>
  <c r="AC232" i="40" a="1"/>
  <c r="AC232" i="40" s="1"/>
  <c r="AC233" i="40" a="1"/>
  <c r="AC233" i="40"/>
  <c r="AC234" i="40" a="1"/>
  <c r="AC234" i="40"/>
  <c r="AC235" i="40" a="1"/>
  <c r="AC235" i="40" s="1"/>
  <c r="AC236" i="40" a="1"/>
  <c r="AC236" i="40" s="1"/>
  <c r="AC237" i="40" a="1"/>
  <c r="AC237" i="40"/>
  <c r="AC238" i="40" a="1"/>
  <c r="AC238" i="40"/>
  <c r="AC239" i="40" a="1"/>
  <c r="AC239" i="40" s="1"/>
  <c r="AC240" i="40" a="1"/>
  <c r="AC240" i="40" s="1"/>
  <c r="AC241" i="40" a="1"/>
  <c r="AC241" i="40"/>
  <c r="AC242" i="40" a="1"/>
  <c r="AC242" i="40"/>
  <c r="AC243" i="40" a="1"/>
  <c r="AC243" i="40" s="1"/>
  <c r="AC244" i="40" a="1"/>
  <c r="AC244" i="40" s="1"/>
  <c r="AC245" i="40" a="1"/>
  <c r="AC245" i="40"/>
  <c r="AC246" i="40" a="1"/>
  <c r="AC246" i="40"/>
  <c r="AC247" i="40" a="1"/>
  <c r="AC247" i="40" s="1"/>
  <c r="AC248" i="40" a="1"/>
  <c r="AC248" i="40" s="1"/>
  <c r="AC249" i="40" a="1"/>
  <c r="AC249" i="40"/>
  <c r="AC250" i="40" a="1"/>
  <c r="AC250" i="40"/>
  <c r="AC251" i="40" a="1"/>
  <c r="AC251" i="40" s="1"/>
  <c r="AC252" i="40" a="1"/>
  <c r="AC252" i="40" s="1"/>
  <c r="AC253" i="40" a="1"/>
  <c r="AC253" i="40"/>
  <c r="AC254" i="40" a="1"/>
  <c r="AC254" i="40"/>
  <c r="AC255" i="40" a="1"/>
  <c r="AC255" i="40" s="1"/>
  <c r="AC256" i="40" a="1"/>
  <c r="AC256" i="40" s="1"/>
  <c r="AC257" i="40" a="1"/>
  <c r="AC257" i="40"/>
  <c r="AC258" i="40" a="1"/>
  <c r="AC258" i="40"/>
  <c r="AC259" i="40" a="1"/>
  <c r="AC259" i="40" s="1"/>
  <c r="AC260" i="40" a="1"/>
  <c r="AC260" i="40" s="1"/>
  <c r="AC261" i="40" a="1"/>
  <c r="AC261" i="40"/>
  <c r="AC262" i="40" a="1"/>
  <c r="AC262" i="40"/>
  <c r="AC263" i="40" a="1"/>
  <c r="AC263" i="40" s="1"/>
  <c r="AC264" i="40" a="1"/>
  <c r="AC264" i="40" s="1"/>
  <c r="AC265" i="40" a="1"/>
  <c r="AC265" i="40"/>
  <c r="AC266" i="40" a="1"/>
  <c r="AC266" i="40"/>
  <c r="AC267" i="40" a="1"/>
  <c r="AC267" i="40" s="1"/>
  <c r="AC268" i="40" a="1"/>
  <c r="AC268" i="40" s="1"/>
  <c r="AC269" i="40" a="1"/>
  <c r="AC269" i="40"/>
  <c r="AC270" i="40" a="1"/>
  <c r="AC270" i="40"/>
  <c r="AC271" i="40" a="1"/>
  <c r="AC271" i="40" s="1"/>
  <c r="AC272" i="40" a="1"/>
  <c r="AC272" i="40" s="1"/>
  <c r="AC273" i="40" a="1"/>
  <c r="AC273" i="40"/>
  <c r="AC274" i="40" a="1"/>
  <c r="AC274" i="40"/>
  <c r="AC275" i="40" a="1"/>
  <c r="AC275" i="40" s="1"/>
  <c r="AC276" i="40" a="1"/>
  <c r="AC276" i="40" s="1"/>
  <c r="AC277" i="40" a="1"/>
  <c r="AC277" i="40"/>
  <c r="AC278" i="40" a="1"/>
  <c r="AC278" i="40"/>
  <c r="AC279" i="40" a="1"/>
  <c r="AC279" i="40" s="1"/>
  <c r="AC280" i="40" a="1"/>
  <c r="AC280" i="40" s="1"/>
  <c r="AC281" i="40" a="1"/>
  <c r="AC281" i="40"/>
  <c r="AC282" i="40" a="1"/>
  <c r="AC282" i="40"/>
  <c r="AC283" i="40" a="1"/>
  <c r="AC283" i="40" s="1"/>
  <c r="AC284" i="40" a="1"/>
  <c r="AC284" i="40" s="1"/>
  <c r="AC285" i="40" a="1"/>
  <c r="AC285" i="40"/>
  <c r="AC286" i="40" a="1"/>
  <c r="AC286" i="40"/>
  <c r="AC287" i="40" a="1"/>
  <c r="AC287" i="40" s="1"/>
  <c r="AC288" i="40" a="1"/>
  <c r="AC288" i="40" s="1"/>
  <c r="AC289" i="40" a="1"/>
  <c r="AC289" i="40"/>
  <c r="AC2" i="40" a="1"/>
  <c r="AC2" i="40" s="1"/>
  <c r="AB2" i="40"/>
  <c r="AB3" i="40"/>
  <c r="AB4" i="40"/>
  <c r="AB5" i="40"/>
  <c r="AB6" i="40"/>
  <c r="AB7" i="40"/>
  <c r="AB8" i="40"/>
  <c r="AB9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E3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2" i="27"/>
  <c r="C3" i="27"/>
  <c r="C4" i="27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2" i="27"/>
  <c r="I3" i="27"/>
  <c r="I4" i="27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2" i="27"/>
  <c r="G21" i="2"/>
  <c r="H21" i="2"/>
  <c r="I21" i="2" s="1"/>
  <c r="J21" i="2" s="1"/>
  <c r="K21" i="2" s="1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G22" i="2"/>
  <c r="H22" i="2"/>
  <c r="I22" i="2"/>
  <c r="J22" i="2"/>
  <c r="K22" i="2" s="1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H3" i="2" l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H5" i="2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H7" i="2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H8" i="2"/>
  <c r="I8" i="2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H9" i="2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H10" i="2"/>
  <c r="I10" i="2" s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H11" i="2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H14" i="2"/>
  <c r="I14" i="2"/>
  <c r="J14" i="2" s="1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H17" i="2"/>
  <c r="I17" i="2" s="1"/>
  <c r="J17" i="2" s="1"/>
  <c r="K17" i="2" s="1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H18" i="2"/>
  <c r="I18" i="2" s="1"/>
  <c r="J18" i="2" s="1"/>
  <c r="K18" i="2" s="1"/>
  <c r="L18" i="2" s="1"/>
  <c r="M18" i="2" s="1"/>
  <c r="N18" i="2" s="1"/>
  <c r="O18" i="2" s="1"/>
  <c r="P18" i="2" s="1"/>
  <c r="Q18" i="2" s="1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H19" i="2"/>
  <c r="I19" i="2" s="1"/>
  <c r="J19" i="2" s="1"/>
  <c r="K19" i="2" s="1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H20" i="2"/>
  <c r="I20" i="2" s="1"/>
  <c r="J20" i="2" s="1"/>
  <c r="K20" i="2" s="1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H23" i="2"/>
  <c r="I23" i="2" s="1"/>
  <c r="J23" i="2" s="1"/>
  <c r="K23" i="2" s="1"/>
  <c r="L23" i="2" s="1"/>
  <c r="M23" i="2" s="1"/>
  <c r="N23" i="2" s="1"/>
  <c r="O23" i="2" s="1"/>
  <c r="P23" i="2" s="1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AA23" i="2" s="1"/>
  <c r="AB23" i="2" s="1"/>
  <c r="AC23" i="2" s="1"/>
  <c r="AD23" i="2" s="1"/>
  <c r="AE23" i="2" s="1"/>
  <c r="AF23" i="2" s="1"/>
  <c r="H24" i="2"/>
  <c r="I24" i="2"/>
  <c r="J24" i="2" s="1"/>
  <c r="K24" i="2" s="1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AA24" i="2" s="1"/>
  <c r="AB24" i="2" s="1"/>
  <c r="AC24" i="2" s="1"/>
  <c r="AD24" i="2" s="1"/>
  <c r="AE24" i="2" s="1"/>
  <c r="AF24" i="2" s="1"/>
  <c r="H25" i="2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G3" i="2"/>
  <c r="G5" i="2"/>
  <c r="G7" i="2"/>
  <c r="G8" i="2"/>
  <c r="G9" i="2"/>
  <c r="G10" i="2"/>
  <c r="G11" i="2"/>
  <c r="G14" i="2"/>
  <c r="G17" i="2"/>
  <c r="G18" i="2"/>
  <c r="G19" i="2"/>
  <c r="G20" i="2"/>
  <c r="G23" i="2"/>
  <c r="G24" i="2"/>
  <c r="G25" i="2"/>
  <c r="B2" i="1" l="1"/>
  <c r="E2" i="2" s="1"/>
  <c r="F2" i="2" s="1"/>
  <c r="B5" i="2" l="1"/>
  <c r="C5" i="2" s="1"/>
  <c r="B13" i="2"/>
  <c r="C13" i="2" s="1"/>
  <c r="C12" i="2"/>
  <c r="B12" i="2" s="1"/>
  <c r="B16" i="2"/>
  <c r="C16" i="2" s="1"/>
  <c r="D16" i="2" s="1"/>
  <c r="E16" i="2" s="1"/>
  <c r="F16" i="2" s="1"/>
  <c r="G16" i="2" s="1"/>
  <c r="H16" i="2" s="1"/>
  <c r="I16" i="2" s="1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B2" i="2"/>
  <c r="C2" i="2" s="1"/>
  <c r="D2" i="2" s="1"/>
  <c r="B4" i="2"/>
  <c r="C4" i="2" s="1"/>
  <c r="D4" i="2" s="1"/>
  <c r="B6" i="2"/>
  <c r="E6" i="2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C6" i="2"/>
  <c r="D6" i="2"/>
  <c r="B3" i="2"/>
  <c r="C3" i="2" s="1"/>
  <c r="D3" i="2" s="1"/>
  <c r="E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<sst xmlns="http://schemas.openxmlformats.org/spreadsheetml/2006/main" count="7668" uniqueCount="272">
  <si>
    <t>Notes: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</si>
  <si>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</si>
  <si>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</si>
  <si>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</si>
  <si>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</si>
  <si>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</si>
  <si>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</si>
  <si>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geothermal</t>
  </si>
  <si>
    <t>petroleum</t>
  </si>
  <si>
    <t>natural gas peaker</t>
  </si>
  <si>
    <t>BGDPbES BAU Guaranteed Dispatch Percentage by Electricity Source</t>
  </si>
  <si>
    <t>source that is guaranteed (e.g. dispatched before any least-cost dispatching</t>
  </si>
  <si>
    <t>begins) in the BAU case.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</si>
  <si>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</si>
  <si>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</si>
  <si>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</si>
  <si>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</si>
  <si>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</si>
  <si>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</si>
  <si>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</si>
  <si>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BAU Guaranteed Dispatch (dimensionless)</t>
  </si>
  <si>
    <t>Source:</t>
  </si>
  <si>
    <t>natural gas steam turbine</t>
  </si>
  <si>
    <t>natural gas combined cycle</t>
  </si>
  <si>
    <t>Petroleum</t>
  </si>
  <si>
    <t>Weighted Average Expected Capacity Factors (calculated EPS variable)</t>
  </si>
  <si>
    <t>For nuclear plants, we guarantee full dispatch, as regulators and utilities often run</t>
  </si>
  <si>
    <t>these plants as baseload irresective of cost, rather than ramping them up and down.</t>
  </si>
  <si>
    <t>For petroleum, we use the weighted average expected capacity factor.</t>
  </si>
  <si>
    <t>In reality, petroleum is primarily used in fuel-switching applications in New England</t>
  </si>
  <si>
    <t>(where there can be specific, unusual hours of NG shortage due to pipeline congestion)</t>
  </si>
  <si>
    <t>and in places like Hawaii, without much NG access, where it is easier to transport petroleum</t>
  </si>
  <si>
    <t>by ship due to its higher volumetric energy density.</t>
  </si>
  <si>
    <t>We can't capture some of these unusual hours and sub-regional dynamics directly, so</t>
  </si>
  <si>
    <t>we use guaranteed dispatch to align modeled petroleum dispatch with real-world experience.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</si>
  <si>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</si>
  <si>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</si>
  <si>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</si>
  <si>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</si>
  <si>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</si>
  <si>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</si>
  <si>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</si>
  <si>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Arizona</t>
  </si>
  <si>
    <t>State</t>
  </si>
  <si>
    <t>Peaker</t>
  </si>
  <si>
    <t>Steam Turbine</t>
  </si>
  <si>
    <t>CCGT</t>
  </si>
  <si>
    <t>Total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</si>
  <si>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</si>
  <si>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</si>
  <si>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</si>
  <si>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</si>
  <si>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</si>
  <si>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</si>
  <si>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</si>
  <si>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</si>
  <si>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</si>
  <si>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</si>
  <si>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</si>
  <si>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</si>
  <si>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</si>
  <si>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</si>
  <si>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</si>
  <si>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</si>
  <si>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</si>
  <si>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</si>
  <si>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</si>
  <si>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</si>
  <si>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</si>
  <si>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</si>
  <si>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</si>
  <si>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</si>
  <si>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</si>
  <si>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</si>
  <si>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</si>
  <si>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</si>
  <si>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</si>
  <si>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</si>
  <si>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</si>
  <si>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</si>
  <si>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</si>
  <si>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</si>
  <si>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</si>
  <si>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</si>
  <si>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</si>
  <si>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</si>
  <si>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</si>
  <si>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</si>
  <si>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</si>
  <si>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</si>
  <si>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</si>
  <si>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</si>
  <si>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</si>
  <si>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</si>
  <si>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</si>
  <si>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</si>
  <si>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</si>
  <si>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</si>
  <si>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Alabama</t>
  </si>
  <si>
    <t>Alaska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</si>
  <si>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</si>
  <si>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</si>
  <si>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</si>
  <si>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</si>
  <si>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</si>
  <si>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</si>
  <si>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</si>
  <si>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</si>
  <si>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</si>
  <si>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</si>
  <si>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</si>
  <si>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</si>
  <si>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</si>
  <si>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</si>
  <si>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</si>
  <si>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</si>
  <si>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</si>
  <si>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</si>
  <si>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</si>
  <si>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</si>
  <si>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</si>
  <si>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</si>
  <si>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</si>
  <si>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</si>
  <si>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</si>
  <si>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</si>
  <si>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</si>
  <si>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</si>
  <si>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</si>
  <si>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</si>
  <si>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</si>
  <si>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</si>
  <si>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</si>
  <si>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</si>
  <si>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</si>
  <si>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</si>
  <si>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</si>
  <si>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</si>
  <si>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</si>
  <si>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</si>
  <si>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</si>
  <si>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</si>
  <si>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</si>
  <si>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</si>
  <si>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</si>
  <si>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</si>
  <si>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</si>
  <si>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 production</t>
  </si>
  <si>
    <t>Cap factor</t>
  </si>
  <si>
    <t>Percent of total</t>
  </si>
  <si>
    <t>RICE</t>
  </si>
  <si>
    <t>Steam turbine</t>
  </si>
  <si>
    <t>Gas turbine</t>
  </si>
  <si>
    <t>These are the overall national capacity factors across the US</t>
  </si>
  <si>
    <t>Need to combine RICE and gas turbine into one weighted category</t>
  </si>
  <si>
    <t>RICE is so small though, that keeping the gas turbine as the peaker capacity it reasonable</t>
  </si>
  <si>
    <t>Now I have a capacity factor in general, and I need to then shape that around the actual capacity factor (which I only have for the overall natural gas generation)</t>
  </si>
  <si>
    <t>If this is not precisely correct, then use the ratio to normalize to the correct total value</t>
  </si>
  <si>
    <t>Then, if CCGT is greater than 80%, take the excess and move evenly to steam turbine</t>
  </si>
  <si>
    <t>If steam turbine is greater than 80% move to peaker</t>
  </si>
  <si>
    <t>Need to reallocate the excess if CCGT is greater than 80%. Mostly can allocate to steam turbine using the equation: excess / (steam turbine capacity * 8760) = new capacity factor</t>
  </si>
  <si>
    <t>This can then be added to the steam turbine capacity factor</t>
  </si>
  <si>
    <t xml:space="preserve"> </t>
  </si>
  <si>
    <t>Nuclear</t>
  </si>
  <si>
    <t>Geothermal</t>
  </si>
  <si>
    <t>Wood</t>
  </si>
  <si>
    <t>Wind</t>
  </si>
  <si>
    <t>Year
2008</t>
  </si>
  <si>
    <t>Year
2009</t>
  </si>
  <si>
    <t>Year
2010</t>
  </si>
  <si>
    <t>Year
2011</t>
  </si>
  <si>
    <t>Year
2012</t>
  </si>
  <si>
    <t>Year
2013</t>
  </si>
  <si>
    <t>Year
2014</t>
  </si>
  <si>
    <t>Year
2015</t>
  </si>
  <si>
    <t>Year
2016</t>
  </si>
  <si>
    <t>Year
2017</t>
  </si>
  <si>
    <t>Year
2018</t>
  </si>
  <si>
    <t>Year
2019</t>
  </si>
  <si>
    <t>Year
2020</t>
  </si>
  <si>
    <t>Year
2021</t>
  </si>
  <si>
    <t>Year
2022</t>
  </si>
  <si>
    <t>Unnamed: 16</t>
  </si>
  <si>
    <t>Unnamed: 15</t>
  </si>
  <si>
    <t>Unnamed: 14</t>
  </si>
  <si>
    <t>Unnamed: 13</t>
  </si>
  <si>
    <t>Unnamed: 12</t>
  </si>
  <si>
    <t>Unnamed: 11</t>
  </si>
  <si>
    <t>Unnamed: 10</t>
  </si>
  <si>
    <t>Unnamed: 9</t>
  </si>
  <si>
    <t>Unnamed: 8</t>
  </si>
  <si>
    <t>Unnamed: 7</t>
  </si>
  <si>
    <t>Unnamed: 6</t>
  </si>
  <si>
    <t>Unnamed: 5</t>
  </si>
  <si>
    <t>Unnamed: 4</t>
  </si>
  <si>
    <t>Unnamed: 3</t>
  </si>
  <si>
    <t>Unnamed: 2</t>
  </si>
  <si>
    <t>Unnamed: 1</t>
  </si>
  <si>
    <t>Generation technology</t>
  </si>
  <si>
    <t>Capacity Factors</t>
  </si>
  <si>
    <t>Other, Biomass</t>
  </si>
  <si>
    <t>Coal</t>
  </si>
  <si>
    <t>Natural Gas - CC</t>
  </si>
  <si>
    <t>Hydroelectric</t>
  </si>
  <si>
    <t>Solar - PV</t>
  </si>
  <si>
    <t>Natural Gas - ST</t>
  </si>
  <si>
    <t>Natural Gas - GT</t>
  </si>
  <si>
    <t>Other, Gas</t>
  </si>
  <si>
    <t>Petroleum - GT</t>
  </si>
  <si>
    <t>Petroleum - IC</t>
  </si>
  <si>
    <t>Natural Gas - OTH</t>
  </si>
  <si>
    <t>Usage Factors</t>
  </si>
  <si>
    <t>Battery</t>
  </si>
  <si>
    <t>All Sources</t>
  </si>
  <si>
    <t>Note: Time adjusted capacity for the year is the capacity of all the generators that were included in the capacity factor calculation.
Sources: U.S. Energy Information Administration, Form EIA-860, Annual Electric Generator Report. and U.S. Energy Information Administration, Form EIA-923, Power Plant Operations Report</t>
  </si>
  <si>
    <t>Natural Gas - IC</t>
  </si>
  <si>
    <t>Wind - Onshore</t>
  </si>
  <si>
    <t>Other, not Biomass or Gas</t>
  </si>
  <si>
    <t>Solar - TH</t>
  </si>
  <si>
    <t>Petroleum - ST</t>
  </si>
  <si>
    <t>Pumped Storage</t>
  </si>
  <si>
    <t>Wind - Offshore</t>
  </si>
  <si>
    <t>Winter</t>
  </si>
  <si>
    <t>DC</t>
  </si>
  <si>
    <t>natural gas combined cycle cf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</si>
  <si>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</si>
  <si>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</si>
  <si>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</si>
  <si>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</si>
  <si>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</si>
  <si>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</si>
  <si>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</si>
  <si>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</si>
  <si>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</si>
  <si>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</si>
  <si>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</si>
  <si>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</si>
  <si>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</si>
  <si>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</si>
  <si>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</si>
  <si>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</si>
  <si>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</si>
  <si>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</si>
  <si>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</si>
  <si>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</si>
  <si>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</si>
  <si>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</si>
  <si>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</si>
  <si>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</si>
  <si>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Metric Name</t>
  </si>
  <si>
    <t>Spring</t>
  </si>
  <si>
    <t>Summer</t>
  </si>
  <si>
    <t>Fall</t>
  </si>
  <si>
    <t>Summer Peak</t>
  </si>
  <si>
    <t>Winter Peak</t>
  </si>
  <si>
    <t>estimated CF in sy</t>
  </si>
  <si>
    <t>Year
2023</t>
  </si>
  <si>
    <t>2023 Time adjusted capacity (MW)</t>
  </si>
  <si>
    <t>Note: Time adjusted capacity for the year is the capacity of all the generators that were included in the capacity factor calculation.
Data Source: U.S. Energy Information Administration, Form EIA-860, Annual Electric Generator Report. and U.S. Energy Information Administration, Form EIA-923, Power Plant Operations Report</t>
  </si>
  <si>
    <t>a</t>
  </si>
  <si>
    <t>Unnamed: 17</t>
  </si>
  <si>
    <t>Table 15. Capacity and usage factors, 2008 through 2023</t>
  </si>
  <si>
    <t>SYSHECF-hard-coal</t>
  </si>
  <si>
    <t>SHELF</t>
  </si>
  <si>
    <t>total</t>
  </si>
  <si>
    <t>SYSHECF</t>
  </si>
  <si>
    <t>EIA actual CF</t>
  </si>
  <si>
    <t>BGDPBES value</t>
  </si>
  <si>
    <t>has coal?</t>
  </si>
  <si>
    <t>Y</t>
  </si>
  <si>
    <t>N</t>
  </si>
  <si>
    <t>natural gas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</si>
</sst>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sz val="9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sz val="9"/>
      <name val="Arial"/>
      <family val="2"/>
    </font>
    <font>
      <b/>
      <sz val="10"/>
      <color theme="1"/>
      <name val="Cambria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8" fillId="0" borderId="0"/>
    <xf numFmtId="0" fontId="9" fillId="0" borderId="0"/>
    <xf numFmtId="0" fontId="7" fillId="0" borderId="0"/>
    <xf numFmtId="9" fontId="7" fillId="0" borderId="0" applyFont="0" applyFill="0" applyBorder="0" applyAlignment="0" applyProtection="0"/>
    <xf numFmtId="0" fontId="11" fillId="0" borderId="0"/>
    <xf numFmtId="43" fontId="7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horizontal="left"/>
    </xf>
    <xf numFmtId="1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10" fillId="0" borderId="1" xfId="0" applyFont="1" applyBorder="1" applyAlignment="1">
      <alignment horizontal="center" vertical="top"/>
    </xf>
    <xf numFmtId="0" fontId="0" fillId="3" borderId="0" xfId="0" applyFill="1"/>
    <xf numFmtId="9" fontId="0" fillId="0" borderId="0" xfId="4" applyFont="1"/>
    <xf numFmtId="164" fontId="0" fillId="0" borderId="0" xfId="6" applyNumberFormat="1" applyFont="1"/>
    <xf numFmtId="0" fontId="12" fillId="7" borderId="0" xfId="0" applyFont="1" applyFill="1"/>
    <xf numFmtId="0" fontId="12" fillId="0" borderId="0" xfId="0" applyFont="1"/>
    <xf numFmtId="0" fontId="0" fillId="9" borderId="0" xfId="0" applyFill="1"/>
    <xf numFmtId="0" fontId="0" fillId="10" borderId="0" xfId="0" applyFill="1"/>
    <xf numFmtId="0" fontId="0" fillId="0" borderId="0" xfId="0" applyAlignment="1">
      <alignment wrapText="1"/>
    </xf>
    <xf numFmtId="0" fontId="0" fillId="4" borderId="0" xfId="0" applyFill="1"/>
    <xf numFmtId="0" fontId="0" fillId="8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 applyAlignment="1">
      <alignment vertical="center"/>
    </xf>
  </cellXfs>
  <cellStyles count="7">
    <cellStyle name="Comma" xfId="6" builtinId="3"/>
    <cellStyle name="Normal" xfId="0" builtinId="0"/>
    <cellStyle name="Normal 2" xfId="1" xr:uid="{0CAEDD92-5CFD-4EC4-8D09-D741C2E5C5C6}"/>
    <cellStyle name="Normal 2 2" xfId="5" xr:uid="{51B630E1-379F-4713-BCA2-477DDE2738AF}"/>
    <cellStyle name="Normal 3" xfId="3" xr:uid="{4316B14E-CFD3-4C90-A08B-40D19A1ED3B0}"/>
    <cellStyle name="Normal 3 2" xfId="2" xr:uid="{DE58715B-CD2D-4F9A-8CAC-92F9368D17A9}"/>
    <cellStyle name="Percent" xfId="4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opLeftCell="B1" zoomScale="80" zoomScaleNormal="80" workbookViewId="0">
      <selection activeCell="B2" sqref="B2"/>
    </sheetView>
  </sheetViews>
  <sheetFormatPr defaultColWidth="8.85546875" defaultRowHeight="15" x14ac:dyDescent="0.25"/>
  <cols>
    <col min="2" max="2" width="24.42578125" customWidth="1"/>
    <col min="3" max="3" width="13" customWidth="1"/>
    <col min="6" max="6" width="17" bestFit="1" customWidth="1"/>
    <col min="8" max="8" width="30.85546875" bestFit="1" customWidth="1"/>
    <col min="9" max="9" width="28.140625" bestFit="1" customWidth="1"/>
    <col min="10" max="10" width="21.42578125" bestFit="1" customWidth="1"/>
    <col min="11" max="11" width="22.140625" bestFit="1" customWidth="1"/>
  </cols>
  <sheetData>
    <row r="1" spans="1:11" x14ac:dyDescent="0.25">
      <c r="A1" s="1" t="s">
        <v>10</v>
      </c>
      <c r="B1" s="6" t="s">
        <v>144</v>
      </c>
      <c r="C1" s="4">
        <v>45747</v>
      </c>
      <c r="F1" s="5" t="s">
        <v>43</v>
      </c>
      <c r="G1" s="5" t="s">
        <v>43</v>
      </c>
      <c r="H1" s="1"/>
      <c r="I1" s="1"/>
      <c r="J1" s="1"/>
      <c r="K1" s="1"/>
    </row>
    <row r="2" spans="1:11" x14ac:dyDescent="0.25">
      <c r="B2" t="str">
        <f>LOOKUP(B1,F2:G51,G2:G51)</f>
        <v>WV</v>
      </c>
      <c r="F2" s="6" t="s">
        <v>98</v>
      </c>
      <c r="G2" s="6" t="s">
        <v>49</v>
      </c>
      <c r="H2" t="str">
        <f>F2&amp;".xlsx"</f>
        <v>Alabama.xlsx</v>
      </c>
    </row>
    <row r="3" spans="1:11" x14ac:dyDescent="0.25">
      <c r="A3" s="1" t="s">
        <v>21</v>
      </c>
      <c r="B3" s="2" t="s">
        <v>24</v>
      </c>
      <c r="F3" s="6" t="s">
        <v>99</v>
      </c>
      <c r="G3" s="6" t="s">
        <v>48</v>
      </c>
      <c r="H3" t="str">
        <f t="shared" ref="H3:H51" si="0">F3&amp;".xlsx"</f>
        <v>Alaska.xlsx</v>
      </c>
    </row>
    <row r="4" spans="1:11" x14ac:dyDescent="0.25">
      <c r="B4" s="3" t="s">
        <v>25</v>
      </c>
      <c r="F4" s="6" t="s">
        <v>42</v>
      </c>
      <c r="G4" s="6" t="s">
        <v>51</v>
      </c>
      <c r="H4" t="str">
        <f t="shared" si="0"/>
        <v>Arizona.xlsx</v>
      </c>
    </row>
    <row r="5" spans="1:11" x14ac:dyDescent="0.25">
      <c r="F5" s="6" t="s">
        <v>100</v>
      </c>
      <c r="G5" s="6" t="s">
        <v>50</v>
      </c>
      <c r="H5" t="str">
        <f t="shared" si="0"/>
        <v>Arkansas.xlsx</v>
      </c>
    </row>
    <row r="6" spans="1:11" x14ac:dyDescent="0.25">
      <c r="F6" s="6" t="s">
        <v>101</v>
      </c>
      <c r="G6" s="6" t="s">
        <v>52</v>
      </c>
      <c r="H6" t="str">
        <f t="shared" si="0"/>
        <v>California.xlsx</v>
      </c>
    </row>
    <row r="7" spans="1:11" x14ac:dyDescent="0.25">
      <c r="F7" s="6" t="s">
        <v>102</v>
      </c>
      <c r="G7" s="6" t="s">
        <v>53</v>
      </c>
      <c r="H7" t="str">
        <f t="shared" si="0"/>
        <v>Colorado.xlsx</v>
      </c>
    </row>
    <row r="8" spans="1:11" x14ac:dyDescent="0.25">
      <c r="F8" s="6" t="s">
        <v>103</v>
      </c>
      <c r="G8" s="6" t="s">
        <v>54</v>
      </c>
      <c r="H8" t="str">
        <f t="shared" si="0"/>
        <v>Connecticut.xlsx</v>
      </c>
    </row>
    <row r="9" spans="1:11" x14ac:dyDescent="0.25">
      <c r="A9" s="1" t="s">
        <v>0</v>
      </c>
      <c r="F9" s="6" t="s">
        <v>104</v>
      </c>
      <c r="G9" s="6" t="s">
        <v>55</v>
      </c>
      <c r="H9" t="str">
        <f t="shared" si="0"/>
        <v>Delaware.xlsx</v>
      </c>
    </row>
    <row r="10" spans="1:11" x14ac:dyDescent="0.25">
      <c r="A10" t="s">
        <v>6</v>
      </c>
      <c r="F10" s="6" t="s">
        <v>105</v>
      </c>
      <c r="G10" s="6" t="s">
        <v>56</v>
      </c>
      <c r="H10" t="str">
        <f t="shared" si="0"/>
        <v>Florida.xlsx</v>
      </c>
    </row>
    <row r="11" spans="1:11" x14ac:dyDescent="0.25">
      <c r="A11" t="s">
        <v>11</v>
      </c>
      <c r="F11" s="6" t="s">
        <v>106</v>
      </c>
      <c r="G11" s="6" t="s">
        <v>57</v>
      </c>
      <c r="H11" t="str">
        <f t="shared" si="0"/>
        <v>Georgia.xlsx</v>
      </c>
    </row>
    <row r="12" spans="1:11" x14ac:dyDescent="0.25">
      <c r="A12" t="s">
        <v>12</v>
      </c>
      <c r="F12" s="6" t="s">
        <v>107</v>
      </c>
      <c r="G12" s="6" t="s">
        <v>58</v>
      </c>
      <c r="H12" t="str">
        <f t="shared" si="0"/>
        <v>Hawaii.xlsx</v>
      </c>
    </row>
    <row r="13" spans="1:11" x14ac:dyDescent="0.25">
      <c r="F13" s="6" t="s">
        <v>108</v>
      </c>
      <c r="G13" s="6" t="s">
        <v>60</v>
      </c>
      <c r="H13" t="str">
        <f t="shared" si="0"/>
        <v>Idaho.xlsx</v>
      </c>
    </row>
    <row r="14" spans="1:11" x14ac:dyDescent="0.25">
      <c r="A14" t="s">
        <v>26</v>
      </c>
      <c r="F14" s="6" t="s">
        <v>109</v>
      </c>
      <c r="G14" s="6" t="s">
        <v>61</v>
      </c>
      <c r="H14" t="str">
        <f t="shared" si="0"/>
        <v>Illinois.xlsx</v>
      </c>
    </row>
    <row r="15" spans="1:11" x14ac:dyDescent="0.25">
      <c r="A15" t="s">
        <v>27</v>
      </c>
      <c r="F15" s="6" t="s">
        <v>110</v>
      </c>
      <c r="G15" s="6" t="s">
        <v>62</v>
      </c>
      <c r="H15" t="str">
        <f t="shared" si="0"/>
        <v>Indiana.xlsx</v>
      </c>
    </row>
    <row r="16" spans="1:11" x14ac:dyDescent="0.25">
      <c r="F16" s="6" t="s">
        <v>111</v>
      </c>
      <c r="G16" s="6" t="s">
        <v>59</v>
      </c>
      <c r="H16" t="str">
        <f t="shared" si="0"/>
        <v>Iowa.xlsx</v>
      </c>
    </row>
    <row r="17" spans="1:8" x14ac:dyDescent="0.25">
      <c r="A17" t="s">
        <v>28</v>
      </c>
      <c r="F17" s="6" t="s">
        <v>112</v>
      </c>
      <c r="G17" s="6" t="s">
        <v>63</v>
      </c>
      <c r="H17" t="str">
        <f t="shared" si="0"/>
        <v>Kansas.xlsx</v>
      </c>
    </row>
    <row r="18" spans="1:8" x14ac:dyDescent="0.25">
      <c r="A18" t="s">
        <v>29</v>
      </c>
      <c r="F18" s="6" t="s">
        <v>113</v>
      </c>
      <c r="G18" s="6" t="s">
        <v>64</v>
      </c>
      <c r="H18" t="str">
        <f t="shared" si="0"/>
        <v>Kentucky.xlsx</v>
      </c>
    </row>
    <row r="19" spans="1:8" x14ac:dyDescent="0.25">
      <c r="A19" t="s">
        <v>30</v>
      </c>
      <c r="F19" s="6" t="s">
        <v>114</v>
      </c>
      <c r="G19" s="6" t="s">
        <v>65</v>
      </c>
      <c r="H19" t="str">
        <f t="shared" si="0"/>
        <v>Louisiana.xlsx</v>
      </c>
    </row>
    <row r="20" spans="1:8" x14ac:dyDescent="0.25">
      <c r="A20" t="s">
        <v>31</v>
      </c>
      <c r="F20" s="6" t="s">
        <v>115</v>
      </c>
      <c r="G20" s="6" t="s">
        <v>68</v>
      </c>
      <c r="H20" t="str">
        <f t="shared" si="0"/>
        <v>Maine.xlsx</v>
      </c>
    </row>
    <row r="21" spans="1:8" x14ac:dyDescent="0.25">
      <c r="A21" t="s">
        <v>32</v>
      </c>
      <c r="F21" s="6" t="s">
        <v>116</v>
      </c>
      <c r="G21" s="6" t="s">
        <v>67</v>
      </c>
      <c r="H21" t="str">
        <f t="shared" si="0"/>
        <v>Maryland.xlsx</v>
      </c>
    </row>
    <row r="22" spans="1:8" x14ac:dyDescent="0.25">
      <c r="A22" t="s">
        <v>33</v>
      </c>
      <c r="F22" s="6" t="s">
        <v>117</v>
      </c>
      <c r="G22" s="6" t="s">
        <v>66</v>
      </c>
      <c r="H22" t="str">
        <f t="shared" si="0"/>
        <v>Massachusetts.xlsx</v>
      </c>
    </row>
    <row r="23" spans="1:8" x14ac:dyDescent="0.25">
      <c r="A23" t="s">
        <v>34</v>
      </c>
      <c r="F23" s="6" t="s">
        <v>118</v>
      </c>
      <c r="G23" s="6" t="s">
        <v>69</v>
      </c>
      <c r="H23" t="str">
        <f t="shared" si="0"/>
        <v>Michigan.xlsx</v>
      </c>
    </row>
    <row r="24" spans="1:8" x14ac:dyDescent="0.25">
      <c r="F24" s="6" t="s">
        <v>119</v>
      </c>
      <c r="G24" s="6" t="s">
        <v>70</v>
      </c>
      <c r="H24" t="str">
        <f t="shared" si="0"/>
        <v>Minnesota.xlsx</v>
      </c>
    </row>
    <row r="25" spans="1:8" x14ac:dyDescent="0.25">
      <c r="F25" s="6" t="s">
        <v>120</v>
      </c>
      <c r="G25" s="6" t="s">
        <v>72</v>
      </c>
      <c r="H25" t="str">
        <f t="shared" si="0"/>
        <v>Mississippi.xlsx</v>
      </c>
    </row>
    <row r="26" spans="1:8" x14ac:dyDescent="0.25">
      <c r="F26" s="6" t="s">
        <v>121</v>
      </c>
      <c r="G26" s="6" t="s">
        <v>71</v>
      </c>
      <c r="H26" t="str">
        <f t="shared" si="0"/>
        <v>Missouri.xlsx</v>
      </c>
    </row>
    <row r="27" spans="1:8" x14ac:dyDescent="0.25">
      <c r="F27" s="6" t="s">
        <v>122</v>
      </c>
      <c r="G27" s="6" t="s">
        <v>73</v>
      </c>
      <c r="H27" t="str">
        <f t="shared" si="0"/>
        <v>Montana.xlsx</v>
      </c>
    </row>
    <row r="28" spans="1:8" x14ac:dyDescent="0.25">
      <c r="F28" s="6" t="s">
        <v>123</v>
      </c>
      <c r="G28" s="6" t="s">
        <v>76</v>
      </c>
      <c r="H28" t="str">
        <f t="shared" si="0"/>
        <v>Nebraska.xlsx</v>
      </c>
    </row>
    <row r="29" spans="1:8" x14ac:dyDescent="0.25">
      <c r="F29" s="6" t="s">
        <v>124</v>
      </c>
      <c r="G29" s="6" t="s">
        <v>80</v>
      </c>
      <c r="H29" t="str">
        <f t="shared" si="0"/>
        <v>Nevada.xlsx</v>
      </c>
    </row>
    <row r="30" spans="1:8" x14ac:dyDescent="0.25">
      <c r="F30" s="6" t="s">
        <v>125</v>
      </c>
      <c r="G30" s="6" t="s">
        <v>77</v>
      </c>
      <c r="H30" t="str">
        <f t="shared" si="0"/>
        <v>New Hampshire.xlsx</v>
      </c>
    </row>
    <row r="31" spans="1:8" x14ac:dyDescent="0.25">
      <c r="F31" s="6" t="s">
        <v>126</v>
      </c>
      <c r="G31" s="6" t="s">
        <v>78</v>
      </c>
      <c r="H31" t="str">
        <f t="shared" si="0"/>
        <v>New Jersey.xlsx</v>
      </c>
    </row>
    <row r="32" spans="1:8" x14ac:dyDescent="0.25">
      <c r="F32" s="6" t="s">
        <v>127</v>
      </c>
      <c r="G32" s="6" t="s">
        <v>79</v>
      </c>
      <c r="H32" t="str">
        <f t="shared" si="0"/>
        <v>New Mexico.xlsx</v>
      </c>
    </row>
    <row r="33" spans="6:8" x14ac:dyDescent="0.25">
      <c r="F33" s="6" t="s">
        <v>128</v>
      </c>
      <c r="G33" s="6" t="s">
        <v>81</v>
      </c>
      <c r="H33" t="str">
        <f t="shared" si="0"/>
        <v>New York.xlsx</v>
      </c>
    </row>
    <row r="34" spans="6:8" x14ac:dyDescent="0.25">
      <c r="F34" s="6" t="s">
        <v>129</v>
      </c>
      <c r="G34" s="6" t="s">
        <v>74</v>
      </c>
      <c r="H34" t="str">
        <f t="shared" si="0"/>
        <v>North Carolina.xlsx</v>
      </c>
    </row>
    <row r="35" spans="6:8" x14ac:dyDescent="0.25">
      <c r="F35" s="6" t="s">
        <v>130</v>
      </c>
      <c r="G35" s="6" t="s">
        <v>75</v>
      </c>
      <c r="H35" t="str">
        <f t="shared" si="0"/>
        <v>North Dakota.xlsx</v>
      </c>
    </row>
    <row r="36" spans="6:8" x14ac:dyDescent="0.25">
      <c r="F36" s="6" t="s">
        <v>131</v>
      </c>
      <c r="G36" s="6" t="s">
        <v>82</v>
      </c>
      <c r="H36" t="str">
        <f t="shared" si="0"/>
        <v>Ohio.xlsx</v>
      </c>
    </row>
    <row r="37" spans="6:8" x14ac:dyDescent="0.25">
      <c r="F37" s="6" t="s">
        <v>132</v>
      </c>
      <c r="G37" s="6" t="s">
        <v>83</v>
      </c>
      <c r="H37" t="str">
        <f t="shared" si="0"/>
        <v>Oklahoma.xlsx</v>
      </c>
    </row>
    <row r="38" spans="6:8" x14ac:dyDescent="0.25">
      <c r="F38" s="6" t="s">
        <v>133</v>
      </c>
      <c r="G38" s="6" t="s">
        <v>84</v>
      </c>
      <c r="H38" t="str">
        <f t="shared" si="0"/>
        <v>Oregon.xlsx</v>
      </c>
    </row>
    <row r="39" spans="6:8" x14ac:dyDescent="0.25">
      <c r="F39" s="6" t="s">
        <v>134</v>
      </c>
      <c r="G39" s="6" t="s">
        <v>85</v>
      </c>
      <c r="H39" t="str">
        <f t="shared" si="0"/>
        <v>Pennsylvania.xlsx</v>
      </c>
    </row>
    <row r="40" spans="6:8" x14ac:dyDescent="0.25">
      <c r="F40" s="6" t="s">
        <v>135</v>
      </c>
      <c r="G40" s="6" t="s">
        <v>86</v>
      </c>
      <c r="H40" t="str">
        <f t="shared" si="0"/>
        <v>Rhode Island.xlsx</v>
      </c>
    </row>
    <row r="41" spans="6:8" x14ac:dyDescent="0.25">
      <c r="F41" s="6" t="s">
        <v>136</v>
      </c>
      <c r="G41" s="6" t="s">
        <v>87</v>
      </c>
      <c r="H41" t="str">
        <f t="shared" si="0"/>
        <v>South Carolina.xlsx</v>
      </c>
    </row>
    <row r="42" spans="6:8" x14ac:dyDescent="0.25">
      <c r="F42" s="6" t="s">
        <v>137</v>
      </c>
      <c r="G42" s="6" t="s">
        <v>88</v>
      </c>
      <c r="H42" t="str">
        <f t="shared" si="0"/>
        <v>South Dakota.xlsx</v>
      </c>
    </row>
    <row r="43" spans="6:8" x14ac:dyDescent="0.25">
      <c r="F43" s="6" t="s">
        <v>138</v>
      </c>
      <c r="G43" s="6" t="s">
        <v>89</v>
      </c>
      <c r="H43" t="str">
        <f t="shared" si="0"/>
        <v>Tennessee.xlsx</v>
      </c>
    </row>
    <row r="44" spans="6:8" x14ac:dyDescent="0.25">
      <c r="F44" s="6" t="s">
        <v>139</v>
      </c>
      <c r="G44" s="6" t="s">
        <v>90</v>
      </c>
      <c r="H44" t="str">
        <f t="shared" si="0"/>
        <v>Texas.xlsx</v>
      </c>
    </row>
    <row r="45" spans="6:8" x14ac:dyDescent="0.25">
      <c r="F45" s="6" t="s">
        <v>140</v>
      </c>
      <c r="G45" s="6" t="s">
        <v>91</v>
      </c>
      <c r="H45" t="str">
        <f t="shared" si="0"/>
        <v>Utah.xlsx</v>
      </c>
    </row>
    <row r="46" spans="6:8" x14ac:dyDescent="0.25">
      <c r="F46" s="6" t="s">
        <v>141</v>
      </c>
      <c r="G46" s="6" t="s">
        <v>93</v>
      </c>
      <c r="H46" t="str">
        <f t="shared" si="0"/>
        <v>Vermont.xlsx</v>
      </c>
    </row>
    <row r="47" spans="6:8" x14ac:dyDescent="0.25">
      <c r="F47" s="6" t="s">
        <v>142</v>
      </c>
      <c r="G47" s="6" t="s">
        <v>92</v>
      </c>
      <c r="H47" t="str">
        <f t="shared" si="0"/>
        <v>Virginia.xlsx</v>
      </c>
    </row>
    <row r="48" spans="6:8" x14ac:dyDescent="0.25">
      <c r="F48" s="6" t="s">
        <v>143</v>
      </c>
      <c r="G48" s="6" t="s">
        <v>94</v>
      </c>
      <c r="H48" t="str">
        <f t="shared" si="0"/>
        <v>Washington.xlsx</v>
      </c>
    </row>
    <row r="49" spans="1:8" x14ac:dyDescent="0.25">
      <c r="F49" s="6" t="s">
        <v>144</v>
      </c>
      <c r="G49" s="6" t="s">
        <v>96</v>
      </c>
      <c r="H49" t="str">
        <f t="shared" si="0"/>
        <v>West Virginia.xlsx</v>
      </c>
    </row>
    <row r="50" spans="1:8" x14ac:dyDescent="0.25">
      <c r="F50" s="6" t="s">
        <v>145</v>
      </c>
      <c r="G50" s="6" t="s">
        <v>95</v>
      </c>
      <c r="H50" t="str">
        <f t="shared" si="0"/>
        <v>Wisconsin.xlsx</v>
      </c>
    </row>
    <row r="51" spans="1:8" x14ac:dyDescent="0.25">
      <c r="F51" s="6" t="s">
        <v>146</v>
      </c>
      <c r="G51" s="6" t="s">
        <v>97</v>
      </c>
      <c r="H51" t="str">
        <f t="shared" si="0"/>
        <v>Wyoming.xlsx</v>
      </c>
    </row>
    <row r="54" spans="1:8" x14ac:dyDescent="0.25">
      <c r="A54" s="1" t="s">
        <v>43</v>
      </c>
    </row>
    <row r="55" spans="1:8" x14ac:dyDescent="0.25">
      <c r="B55" t="s">
        <v>147</v>
      </c>
      <c r="C55" t="s">
        <v>148</v>
      </c>
      <c r="D55" t="s">
        <v>149</v>
      </c>
    </row>
    <row r="56" spans="1:8" x14ac:dyDescent="0.25">
      <c r="A56" t="s">
        <v>150</v>
      </c>
      <c r="B56">
        <v>5172</v>
      </c>
      <c r="C56">
        <v>18.2</v>
      </c>
      <c r="D56">
        <v>1.2260020528185958E-2</v>
      </c>
    </row>
    <row r="57" spans="1:8" x14ac:dyDescent="0.25">
      <c r="A57" t="s">
        <v>151</v>
      </c>
      <c r="B57">
        <v>74000</v>
      </c>
      <c r="C57">
        <v>12.5</v>
      </c>
      <c r="D57">
        <v>0.17541406014805894</v>
      </c>
    </row>
    <row r="58" spans="1:8" x14ac:dyDescent="0.25">
      <c r="A58" t="s">
        <v>152</v>
      </c>
      <c r="B58">
        <v>130100</v>
      </c>
      <c r="C58">
        <v>11.7</v>
      </c>
      <c r="D58">
        <v>0.3083968814224658</v>
      </c>
    </row>
    <row r="59" spans="1:8" x14ac:dyDescent="0.25">
      <c r="A59" t="s">
        <v>46</v>
      </c>
      <c r="B59">
        <v>212587</v>
      </c>
      <c r="C59">
        <v>55</v>
      </c>
      <c r="D59">
        <v>0.50392903790128929</v>
      </c>
    </row>
    <row r="60" spans="1:8" x14ac:dyDescent="0.25">
      <c r="A60" t="s">
        <v>47</v>
      </c>
      <c r="B60">
        <v>421859</v>
      </c>
    </row>
    <row r="62" spans="1:8" x14ac:dyDescent="0.25">
      <c r="A62" t="s">
        <v>153</v>
      </c>
    </row>
    <row r="63" spans="1:8" x14ac:dyDescent="0.25">
      <c r="A63" t="s">
        <v>154</v>
      </c>
    </row>
    <row r="64" spans="1:8" x14ac:dyDescent="0.25">
      <c r="A64" t="s">
        <v>155</v>
      </c>
    </row>
    <row r="66" spans="1:2" x14ac:dyDescent="0.25">
      <c r="A66" t="s">
        <v>45</v>
      </c>
      <c r="B66">
        <v>12.5</v>
      </c>
    </row>
    <row r="67" spans="1:2" x14ac:dyDescent="0.25">
      <c r="A67" t="s">
        <v>46</v>
      </c>
      <c r="B67">
        <v>55</v>
      </c>
    </row>
    <row r="68" spans="1:2" x14ac:dyDescent="0.25">
      <c r="A68" t="s">
        <v>44</v>
      </c>
      <c r="B68">
        <v>11.7</v>
      </c>
    </row>
    <row r="70" spans="1:2" x14ac:dyDescent="0.25">
      <c r="A70" t="s">
        <v>156</v>
      </c>
    </row>
    <row r="72" spans="1:2" x14ac:dyDescent="0.25">
      <c r="A72" t="s">
        <v>157</v>
      </c>
    </row>
    <row r="73" spans="1:2" x14ac:dyDescent="0.25">
      <c r="A73" t="s">
        <v>158</v>
      </c>
    </row>
    <row r="74" spans="1:2" x14ac:dyDescent="0.25">
      <c r="A74" t="s">
        <v>159</v>
      </c>
    </row>
    <row r="76" spans="1:2" x14ac:dyDescent="0.25">
      <c r="A76" s="8" t="s">
        <v>160</v>
      </c>
    </row>
    <row r="77" spans="1:2" x14ac:dyDescent="0.25">
      <c r="A77" s="7"/>
    </row>
    <row r="78" spans="1:2" x14ac:dyDescent="0.25">
      <c r="A78" s="8" t="s">
        <v>161</v>
      </c>
    </row>
  </sheetData>
  <conditionalFormatting sqref="J1:J51">
    <cfRule type="cellIs" dxfId="4" priority="1" operator="greaterThan">
      <formula>0.75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D50D-1A68-4DBD-99D9-BC39FA50DCC6}">
  <dimension ref="A1:B52"/>
  <sheetViews>
    <sheetView workbookViewId="0">
      <selection activeCell="B3" sqref="B3"/>
    </sheetView>
  </sheetViews>
  <sheetFormatPr defaultRowHeight="15" x14ac:dyDescent="0.25"/>
  <sheetData>
    <row r="1" spans="1:2" x14ac:dyDescent="0.25">
      <c r="B1" t="s">
        <v>255</v>
      </c>
    </row>
    <row r="2" spans="1:2" x14ac:dyDescent="0.25">
      <c r="A2" t="s">
        <v>48</v>
      </c>
      <c r="B2">
        <v>0</v>
      </c>
    </row>
    <row r="3" spans="1:2" x14ac:dyDescent="0.25">
      <c r="A3" t="s">
        <v>49</v>
      </c>
      <c r="B3">
        <v>0.52547179813401179</v>
      </c>
    </row>
    <row r="4" spans="1:2" x14ac:dyDescent="0.25">
      <c r="A4" t="s">
        <v>50</v>
      </c>
      <c r="B4">
        <v>1</v>
      </c>
    </row>
    <row r="5" spans="1:2" x14ac:dyDescent="0.25">
      <c r="A5" t="s">
        <v>51</v>
      </c>
      <c r="B5">
        <v>0.69511174433611478</v>
      </c>
    </row>
    <row r="6" spans="1:2" x14ac:dyDescent="0.25">
      <c r="A6" t="s">
        <v>52</v>
      </c>
      <c r="B6">
        <v>0.28990572102150364</v>
      </c>
    </row>
    <row r="7" spans="1:2" x14ac:dyDescent="0.25">
      <c r="A7" t="s">
        <v>53</v>
      </c>
      <c r="B7">
        <v>1.1407292385553255E-2</v>
      </c>
    </row>
    <row r="8" spans="1:2" x14ac:dyDescent="0.25">
      <c r="A8" t="s">
        <v>54</v>
      </c>
      <c r="B8">
        <v>5.8105706189110796E-2</v>
      </c>
    </row>
    <row r="9" spans="1:2" x14ac:dyDescent="0.25">
      <c r="A9" t="s">
        <v>223</v>
      </c>
      <c r="B9">
        <v>0</v>
      </c>
    </row>
    <row r="10" spans="1:2" x14ac:dyDescent="0.25">
      <c r="A10" t="s">
        <v>55</v>
      </c>
      <c r="B10">
        <v>0.31365652297688079</v>
      </c>
    </row>
    <row r="11" spans="1:2" x14ac:dyDescent="0.25">
      <c r="A11" t="s">
        <v>56</v>
      </c>
      <c r="B11">
        <v>0.83009344410182306</v>
      </c>
    </row>
    <row r="12" spans="1:2" x14ac:dyDescent="0.25">
      <c r="A12" t="s">
        <v>57</v>
      </c>
      <c r="B12">
        <v>6.7934572502203583E-2</v>
      </c>
    </row>
    <row r="13" spans="1:2" x14ac:dyDescent="0.25">
      <c r="A13" t="s">
        <v>58</v>
      </c>
      <c r="B13">
        <v>0</v>
      </c>
    </row>
    <row r="14" spans="1:2" x14ac:dyDescent="0.25">
      <c r="A14" t="s">
        <v>59</v>
      </c>
      <c r="B14">
        <v>0.10638895427502482</v>
      </c>
    </row>
    <row r="15" spans="1:2" x14ac:dyDescent="0.25">
      <c r="A15" t="s">
        <v>60</v>
      </c>
      <c r="B15">
        <v>2.7544707178574452E-2</v>
      </c>
    </row>
    <row r="16" spans="1:2" x14ac:dyDescent="0.25">
      <c r="A16" t="s">
        <v>61</v>
      </c>
      <c r="B16">
        <v>7.5334815097708868E-2</v>
      </c>
    </row>
    <row r="17" spans="1:2" x14ac:dyDescent="0.25">
      <c r="A17" t="s">
        <v>62</v>
      </c>
      <c r="B17">
        <v>1</v>
      </c>
    </row>
    <row r="18" spans="1:2" x14ac:dyDescent="0.25">
      <c r="A18" t="s">
        <v>63</v>
      </c>
      <c r="B18">
        <v>0.26223072030993533</v>
      </c>
    </row>
    <row r="19" spans="1:2" x14ac:dyDescent="0.25">
      <c r="A19" t="s">
        <v>64</v>
      </c>
      <c r="B19">
        <v>1</v>
      </c>
    </row>
    <row r="20" spans="1:2" x14ac:dyDescent="0.25">
      <c r="A20" t="s">
        <v>65</v>
      </c>
      <c r="B20">
        <v>1</v>
      </c>
    </row>
    <row r="21" spans="1:2" x14ac:dyDescent="0.25">
      <c r="A21" t="s">
        <v>66</v>
      </c>
      <c r="B21">
        <v>0.10659023640927655</v>
      </c>
    </row>
    <row r="22" spans="1:2" x14ac:dyDescent="0.25">
      <c r="A22" t="s">
        <v>67</v>
      </c>
      <c r="B22">
        <v>9.3132857758213408E-2</v>
      </c>
    </row>
    <row r="23" spans="1:2" x14ac:dyDescent="0.25">
      <c r="A23" t="s">
        <v>68</v>
      </c>
      <c r="B23">
        <v>2.7231266583452648E-2</v>
      </c>
    </row>
    <row r="24" spans="1:2" x14ac:dyDescent="0.25">
      <c r="A24" t="s">
        <v>69</v>
      </c>
      <c r="B24">
        <v>1</v>
      </c>
    </row>
    <row r="25" spans="1:2" x14ac:dyDescent="0.25">
      <c r="A25" t="s">
        <v>70</v>
      </c>
      <c r="B25">
        <v>0.15656370417560939</v>
      </c>
    </row>
    <row r="26" spans="1:2" x14ac:dyDescent="0.25">
      <c r="A26" t="s">
        <v>71</v>
      </c>
      <c r="B26">
        <v>0.26966634066370321</v>
      </c>
    </row>
    <row r="27" spans="1:2" x14ac:dyDescent="0.25">
      <c r="A27" t="s">
        <v>72</v>
      </c>
      <c r="B27">
        <v>0.65975401464995087</v>
      </c>
    </row>
    <row r="28" spans="1:2" x14ac:dyDescent="0.25">
      <c r="A28" t="s">
        <v>73</v>
      </c>
      <c r="B28">
        <v>1</v>
      </c>
    </row>
    <row r="29" spans="1:2" x14ac:dyDescent="0.25">
      <c r="A29" t="s">
        <v>74</v>
      </c>
      <c r="B29">
        <v>0.54515554676294553</v>
      </c>
    </row>
    <row r="30" spans="1:2" x14ac:dyDescent="0.25">
      <c r="A30" t="s">
        <v>75</v>
      </c>
      <c r="B30">
        <v>0.47148419672206909</v>
      </c>
    </row>
    <row r="31" spans="1:2" x14ac:dyDescent="0.25">
      <c r="A31" t="s">
        <v>76</v>
      </c>
      <c r="B31">
        <v>0.12103117492932469</v>
      </c>
    </row>
    <row r="32" spans="1:2" x14ac:dyDescent="0.25">
      <c r="A32" t="s">
        <v>77</v>
      </c>
      <c r="B32">
        <v>0.68130524622704458</v>
      </c>
    </row>
    <row r="33" spans="1:2" x14ac:dyDescent="0.25">
      <c r="A33" t="s">
        <v>78</v>
      </c>
      <c r="B33">
        <v>0.5254372649251432</v>
      </c>
    </row>
    <row r="34" spans="1:2" x14ac:dyDescent="0.25">
      <c r="A34" t="s">
        <v>79</v>
      </c>
      <c r="B34">
        <v>0.21410156403184005</v>
      </c>
    </row>
    <row r="35" spans="1:2" x14ac:dyDescent="0.25">
      <c r="A35" t="s">
        <v>80</v>
      </c>
      <c r="B35">
        <v>1</v>
      </c>
    </row>
    <row r="36" spans="1:2" x14ac:dyDescent="0.25">
      <c r="A36" t="s">
        <v>81</v>
      </c>
      <c r="B36">
        <v>0.18160935552913315</v>
      </c>
    </row>
    <row r="37" spans="1:2" x14ac:dyDescent="0.25">
      <c r="A37" t="s">
        <v>82</v>
      </c>
      <c r="B37">
        <v>1</v>
      </c>
    </row>
    <row r="38" spans="1:2" x14ac:dyDescent="0.25">
      <c r="A38" t="s">
        <v>83</v>
      </c>
      <c r="B38">
        <v>0.6084169905960537</v>
      </c>
    </row>
    <row r="39" spans="1:2" x14ac:dyDescent="0.25">
      <c r="A39" t="s">
        <v>84</v>
      </c>
      <c r="B39">
        <v>0</v>
      </c>
    </row>
    <row r="40" spans="1:2" x14ac:dyDescent="0.25">
      <c r="A40" t="s">
        <v>85</v>
      </c>
      <c r="B40">
        <v>0.1003110546508176</v>
      </c>
    </row>
    <row r="41" spans="1:2" x14ac:dyDescent="0.25">
      <c r="A41" t="s">
        <v>86</v>
      </c>
      <c r="B41">
        <v>1</v>
      </c>
    </row>
    <row r="42" spans="1:2" x14ac:dyDescent="0.25">
      <c r="A42" t="s">
        <v>87</v>
      </c>
      <c r="B42">
        <v>0.72290035364236682</v>
      </c>
    </row>
    <row r="43" spans="1:2" x14ac:dyDescent="0.25">
      <c r="A43" t="s">
        <v>88</v>
      </c>
      <c r="B43">
        <v>0.16948054253657149</v>
      </c>
    </row>
    <row r="44" spans="1:2" x14ac:dyDescent="0.25">
      <c r="A44" t="s">
        <v>89</v>
      </c>
      <c r="B44">
        <v>1</v>
      </c>
    </row>
    <row r="45" spans="1:2" x14ac:dyDescent="0.25">
      <c r="A45" t="s">
        <v>90</v>
      </c>
      <c r="B45">
        <v>1</v>
      </c>
    </row>
    <row r="46" spans="1:2" x14ac:dyDescent="0.25">
      <c r="A46" t="s">
        <v>91</v>
      </c>
      <c r="B46">
        <v>1</v>
      </c>
    </row>
    <row r="47" spans="1:2" x14ac:dyDescent="0.25">
      <c r="A47" t="s">
        <v>92</v>
      </c>
      <c r="B47">
        <v>0.32227044165892632</v>
      </c>
    </row>
    <row r="48" spans="1:2" x14ac:dyDescent="0.25">
      <c r="A48" t="s">
        <v>93</v>
      </c>
      <c r="B48">
        <v>2.1449877917852543E-2</v>
      </c>
    </row>
    <row r="49" spans="1:2" x14ac:dyDescent="0.25">
      <c r="A49" t="s">
        <v>94</v>
      </c>
      <c r="B49">
        <v>0</v>
      </c>
    </row>
    <row r="50" spans="1:2" x14ac:dyDescent="0.25">
      <c r="A50" t="s">
        <v>95</v>
      </c>
      <c r="B50">
        <v>0.58662496930369623</v>
      </c>
    </row>
    <row r="51" spans="1:2" x14ac:dyDescent="0.25">
      <c r="A51" t="s">
        <v>96</v>
      </c>
      <c r="B51">
        <v>1</v>
      </c>
    </row>
    <row r="52" spans="1:2" x14ac:dyDescent="0.25">
      <c r="A52" t="s">
        <v>97</v>
      </c>
      <c r="B5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DD77-CF38-4212-9B38-0FFDE69F527F}">
  <dimension ref="A2:H50"/>
  <sheetViews>
    <sheetView workbookViewId="0">
      <selection activeCell="I13" sqref="I13"/>
    </sheetView>
  </sheetViews>
  <sheetFormatPr defaultRowHeight="15" x14ac:dyDescent="0.25"/>
  <cols>
    <col min="2" max="2" width="16" customWidth="1"/>
    <col min="3" max="3" width="27.28515625" bestFit="1" customWidth="1"/>
    <col min="7" max="8" width="9.140625" style="11"/>
  </cols>
  <sheetData>
    <row r="2" spans="1:3" x14ac:dyDescent="0.25">
      <c r="B2" t="s">
        <v>14</v>
      </c>
      <c r="C2" t="s">
        <v>224</v>
      </c>
    </row>
    <row r="3" spans="1:3" x14ac:dyDescent="0.25">
      <c r="A3" s="13" t="s">
        <v>49</v>
      </c>
      <c r="B3">
        <v>0</v>
      </c>
      <c r="C3">
        <v>1</v>
      </c>
    </row>
    <row r="4" spans="1:3" x14ac:dyDescent="0.25">
      <c r="A4" s="14" t="s">
        <v>50</v>
      </c>
      <c r="B4">
        <v>0.5</v>
      </c>
      <c r="C4">
        <v>0.78</v>
      </c>
    </row>
    <row r="5" spans="1:3" x14ac:dyDescent="0.25">
      <c r="A5" s="13" t="s">
        <v>51</v>
      </c>
      <c r="B5">
        <v>0</v>
      </c>
      <c r="C5">
        <v>1</v>
      </c>
    </row>
    <row r="6" spans="1:3" x14ac:dyDescent="0.25">
      <c r="A6" s="14" t="s">
        <v>52</v>
      </c>
      <c r="B6">
        <v>0</v>
      </c>
      <c r="C6">
        <v>1</v>
      </c>
    </row>
    <row r="7" spans="1:3" x14ac:dyDescent="0.25">
      <c r="A7" s="14" t="s">
        <v>53</v>
      </c>
      <c r="B7">
        <v>0.7</v>
      </c>
      <c r="C7">
        <v>1</v>
      </c>
    </row>
    <row r="8" spans="1:3" x14ac:dyDescent="0.25">
      <c r="A8" s="13" t="s">
        <v>54</v>
      </c>
      <c r="B8">
        <v>0</v>
      </c>
      <c r="C8">
        <v>1</v>
      </c>
    </row>
    <row r="9" spans="1:3" x14ac:dyDescent="0.25">
      <c r="A9" s="14" t="s">
        <v>55</v>
      </c>
      <c r="B9">
        <v>0.2</v>
      </c>
      <c r="C9">
        <v>0</v>
      </c>
    </row>
    <row r="10" spans="1:3" x14ac:dyDescent="0.25">
      <c r="A10" s="13" t="s">
        <v>56</v>
      </c>
      <c r="B10">
        <v>0</v>
      </c>
      <c r="C10">
        <v>1</v>
      </c>
    </row>
    <row r="11" spans="1:3" x14ac:dyDescent="0.25">
      <c r="A11" s="13" t="s">
        <v>57</v>
      </c>
      <c r="B11">
        <v>0</v>
      </c>
      <c r="C11">
        <v>1</v>
      </c>
    </row>
    <row r="12" spans="1:3" x14ac:dyDescent="0.25">
      <c r="A12" s="13" t="s">
        <v>59</v>
      </c>
      <c r="B12">
        <v>0</v>
      </c>
      <c r="C12">
        <v>1</v>
      </c>
    </row>
    <row r="13" spans="1:3" x14ac:dyDescent="0.25">
      <c r="A13" s="14" t="s">
        <v>60</v>
      </c>
      <c r="B13">
        <v>0</v>
      </c>
      <c r="C13">
        <v>0</v>
      </c>
    </row>
    <row r="14" spans="1:3" x14ac:dyDescent="0.25">
      <c r="A14" s="14" t="s">
        <v>61</v>
      </c>
      <c r="B14">
        <v>0</v>
      </c>
      <c r="C14">
        <v>1</v>
      </c>
    </row>
    <row r="15" spans="1:3" x14ac:dyDescent="0.25">
      <c r="A15" s="13" t="s">
        <v>62</v>
      </c>
      <c r="B15">
        <v>0</v>
      </c>
      <c r="C15">
        <v>1</v>
      </c>
    </row>
    <row r="16" spans="1:3" x14ac:dyDescent="0.25">
      <c r="A16" s="14" t="s">
        <v>63</v>
      </c>
      <c r="B16">
        <v>0</v>
      </c>
      <c r="C16">
        <v>0.7</v>
      </c>
    </row>
    <row r="17" spans="1:3" x14ac:dyDescent="0.25">
      <c r="A17" s="13" t="s">
        <v>64</v>
      </c>
      <c r="B17">
        <v>0</v>
      </c>
      <c r="C17">
        <v>1</v>
      </c>
    </row>
    <row r="18" spans="1:3" x14ac:dyDescent="0.25">
      <c r="A18" s="14" t="s">
        <v>65</v>
      </c>
      <c r="B18">
        <v>1</v>
      </c>
      <c r="C18">
        <v>0</v>
      </c>
    </row>
    <row r="19" spans="1:3" x14ac:dyDescent="0.25">
      <c r="A19" s="14" t="s">
        <v>66</v>
      </c>
      <c r="B19">
        <v>0</v>
      </c>
      <c r="C19">
        <v>0.7</v>
      </c>
    </row>
    <row r="20" spans="1:3" x14ac:dyDescent="0.25">
      <c r="A20" s="13" t="s">
        <v>67</v>
      </c>
      <c r="B20">
        <v>0</v>
      </c>
      <c r="C20">
        <v>1</v>
      </c>
    </row>
    <row r="21" spans="1:3" x14ac:dyDescent="0.25">
      <c r="A21" s="14" t="s">
        <v>68</v>
      </c>
      <c r="B21">
        <v>0</v>
      </c>
      <c r="C21">
        <v>0.7</v>
      </c>
    </row>
    <row r="22" spans="1:3" x14ac:dyDescent="0.25">
      <c r="A22" s="13" t="s">
        <v>69</v>
      </c>
      <c r="B22">
        <v>0</v>
      </c>
      <c r="C22">
        <v>1</v>
      </c>
    </row>
    <row r="23" spans="1:3" x14ac:dyDescent="0.25">
      <c r="A23" s="13" t="s">
        <v>70</v>
      </c>
      <c r="B23">
        <v>0</v>
      </c>
      <c r="C23">
        <v>1</v>
      </c>
    </row>
    <row r="24" spans="1:3" x14ac:dyDescent="0.25">
      <c r="A24" s="14" t="s">
        <v>71</v>
      </c>
      <c r="B24">
        <v>0</v>
      </c>
      <c r="C24">
        <v>0.7</v>
      </c>
    </row>
    <row r="25" spans="1:3" x14ac:dyDescent="0.25">
      <c r="A25" s="13" t="s">
        <v>72</v>
      </c>
      <c r="B25">
        <v>0</v>
      </c>
      <c r="C25">
        <v>1</v>
      </c>
    </row>
    <row r="26" spans="1:3" x14ac:dyDescent="0.25">
      <c r="A26" s="14" t="s">
        <v>73</v>
      </c>
      <c r="B26">
        <v>0</v>
      </c>
      <c r="C26">
        <v>1</v>
      </c>
    </row>
    <row r="27" spans="1:3" x14ac:dyDescent="0.25">
      <c r="A27" s="13" t="s">
        <v>74</v>
      </c>
      <c r="B27">
        <v>0</v>
      </c>
      <c r="C27">
        <v>1</v>
      </c>
    </row>
    <row r="28" spans="1:3" x14ac:dyDescent="0.25">
      <c r="A28" s="14" t="s">
        <v>75</v>
      </c>
      <c r="B28">
        <v>0.5</v>
      </c>
      <c r="C28">
        <v>0.7</v>
      </c>
    </row>
    <row r="29" spans="1:3" x14ac:dyDescent="0.25">
      <c r="A29" s="14" t="s">
        <v>76</v>
      </c>
      <c r="B29">
        <v>0</v>
      </c>
      <c r="C29">
        <v>0.7</v>
      </c>
    </row>
    <row r="30" spans="1:3" x14ac:dyDescent="0.25">
      <c r="A30" s="14" t="s">
        <v>77</v>
      </c>
      <c r="B30">
        <v>0</v>
      </c>
      <c r="C30">
        <v>0.7</v>
      </c>
    </row>
    <row r="31" spans="1:3" x14ac:dyDescent="0.25">
      <c r="A31" s="14" t="s">
        <v>78</v>
      </c>
      <c r="B31">
        <v>0.7</v>
      </c>
      <c r="C31">
        <v>0</v>
      </c>
    </row>
    <row r="32" spans="1:3" x14ac:dyDescent="0.25">
      <c r="A32" s="13" t="s">
        <v>79</v>
      </c>
      <c r="B32">
        <v>0</v>
      </c>
      <c r="C32">
        <v>1</v>
      </c>
    </row>
    <row r="33" spans="1:3" x14ac:dyDescent="0.25">
      <c r="A33" s="13" t="s">
        <v>80</v>
      </c>
      <c r="B33">
        <v>0</v>
      </c>
      <c r="C33">
        <v>1</v>
      </c>
    </row>
    <row r="34" spans="1:3" x14ac:dyDescent="0.25">
      <c r="A34" s="14" t="s">
        <v>81</v>
      </c>
      <c r="B34">
        <v>0</v>
      </c>
      <c r="C34">
        <v>0</v>
      </c>
    </row>
    <row r="35" spans="1:3" x14ac:dyDescent="0.25">
      <c r="A35" s="13" t="s">
        <v>82</v>
      </c>
      <c r="B35">
        <v>0</v>
      </c>
      <c r="C35">
        <v>1</v>
      </c>
    </row>
    <row r="36" spans="1:3" x14ac:dyDescent="0.25">
      <c r="A36" s="13" t="s">
        <v>83</v>
      </c>
      <c r="B36">
        <v>0</v>
      </c>
      <c r="C36">
        <v>1</v>
      </c>
    </row>
    <row r="37" spans="1:3" x14ac:dyDescent="0.25">
      <c r="A37" s="14" t="s">
        <v>84</v>
      </c>
      <c r="B37">
        <v>0</v>
      </c>
      <c r="C37">
        <v>0.9</v>
      </c>
    </row>
    <row r="38" spans="1:3" x14ac:dyDescent="0.25">
      <c r="A38" s="14" t="s">
        <v>85</v>
      </c>
      <c r="B38">
        <v>1</v>
      </c>
      <c r="C38">
        <v>0</v>
      </c>
    </row>
    <row r="39" spans="1:3" x14ac:dyDescent="0.25">
      <c r="A39" s="14" t="s">
        <v>86</v>
      </c>
      <c r="B39">
        <v>0</v>
      </c>
      <c r="C39">
        <v>0.7</v>
      </c>
    </row>
    <row r="40" spans="1:3" x14ac:dyDescent="0.25">
      <c r="A40" s="13" t="s">
        <v>87</v>
      </c>
      <c r="B40">
        <v>0</v>
      </c>
      <c r="C40">
        <v>1</v>
      </c>
    </row>
    <row r="41" spans="1:3" x14ac:dyDescent="0.25">
      <c r="A41" s="14" t="s">
        <v>88</v>
      </c>
      <c r="B41">
        <v>0.7</v>
      </c>
      <c r="C41">
        <v>1</v>
      </c>
    </row>
    <row r="42" spans="1:3" x14ac:dyDescent="0.25">
      <c r="A42" s="13" t="s">
        <v>89</v>
      </c>
      <c r="B42">
        <v>0</v>
      </c>
      <c r="C42">
        <v>1</v>
      </c>
    </row>
    <row r="43" spans="1:3" x14ac:dyDescent="0.25">
      <c r="A43" s="13" t="s">
        <v>90</v>
      </c>
      <c r="B43">
        <v>0.5</v>
      </c>
      <c r="C43">
        <v>1</v>
      </c>
    </row>
    <row r="44" spans="1:3" x14ac:dyDescent="0.25">
      <c r="A44" s="13" t="s">
        <v>91</v>
      </c>
      <c r="B44">
        <v>0</v>
      </c>
      <c r="C44">
        <v>1</v>
      </c>
    </row>
    <row r="45" spans="1:3" x14ac:dyDescent="0.25">
      <c r="A45" s="13" t="s">
        <v>92</v>
      </c>
      <c r="B45">
        <v>0</v>
      </c>
      <c r="C45">
        <v>1</v>
      </c>
    </row>
    <row r="46" spans="1:3" x14ac:dyDescent="0.25">
      <c r="A46" s="14" t="s">
        <v>93</v>
      </c>
      <c r="B46">
        <v>0</v>
      </c>
      <c r="C46">
        <v>0</v>
      </c>
    </row>
    <row r="47" spans="1:3" x14ac:dyDescent="0.25">
      <c r="A47" s="14" t="s">
        <v>94</v>
      </c>
      <c r="B47">
        <v>0.5</v>
      </c>
      <c r="C47">
        <v>0.9</v>
      </c>
    </row>
    <row r="48" spans="1:3" x14ac:dyDescent="0.25">
      <c r="A48" s="13" t="s">
        <v>95</v>
      </c>
      <c r="B48">
        <v>0</v>
      </c>
      <c r="C48">
        <v>1</v>
      </c>
    </row>
    <row r="49" spans="1:3" x14ac:dyDescent="0.25">
      <c r="A49" s="14" t="s">
        <v>96</v>
      </c>
      <c r="B49">
        <v>0</v>
      </c>
      <c r="C49">
        <v>0.7</v>
      </c>
    </row>
    <row r="50" spans="1:3" x14ac:dyDescent="0.25">
      <c r="A50" s="14" t="s">
        <v>97</v>
      </c>
      <c r="B50">
        <v>0</v>
      </c>
      <c r="C50">
        <v>0.7</v>
      </c>
    </row>
  </sheetData>
  <conditionalFormatting sqref="B1:B1048576">
    <cfRule type="cellIs" dxfId="3" priority="2" operator="greaterThan">
      <formula>0</formula>
    </cfRule>
  </conditionalFormatting>
  <conditionalFormatting sqref="C1:C50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489B3-8FC9-45D9-9263-E64659F4ED93}">
  <dimension ref="A1:K51"/>
  <sheetViews>
    <sheetView zoomScale="90" zoomScaleNormal="90" workbookViewId="0">
      <pane ySplit="1" topLeftCell="A2" activePane="bottomLeft" state="frozen"/>
      <selection pane="bottomLeft" activeCell="H14" sqref="H14"/>
    </sheetView>
  </sheetViews>
  <sheetFormatPr defaultRowHeight="15" x14ac:dyDescent="0.25"/>
  <cols>
    <col min="2" max="2" width="7.42578125" customWidth="1"/>
    <col min="3" max="3" width="9.5703125" bestFit="1" customWidth="1"/>
    <col min="4" max="4" width="24.140625" bestFit="1" customWidth="1"/>
    <col min="5" max="5" width="27.5703125" bestFit="1" customWidth="1"/>
    <col min="6" max="6" width="17.5703125" bestFit="1" customWidth="1"/>
    <col min="7" max="7" width="7.7109375" bestFit="1" customWidth="1"/>
    <col min="8" max="8" width="6.140625" bestFit="1" customWidth="1"/>
    <col min="9" max="9" width="13.28515625" bestFit="1" customWidth="1"/>
    <col min="10" max="10" width="8.85546875" bestFit="1" customWidth="1"/>
    <col min="11" max="11" width="11.5703125" bestFit="1" customWidth="1"/>
  </cols>
  <sheetData>
    <row r="1" spans="1:11" x14ac:dyDescent="0.25">
      <c r="A1" s="5" t="s">
        <v>43</v>
      </c>
      <c r="B1" s="5" t="s">
        <v>43</v>
      </c>
      <c r="C1" t="s">
        <v>14</v>
      </c>
      <c r="D1" t="s">
        <v>22</v>
      </c>
      <c r="E1" t="s">
        <v>224</v>
      </c>
      <c r="F1" t="s">
        <v>9</v>
      </c>
      <c r="G1" t="s">
        <v>1</v>
      </c>
      <c r="H1" t="s">
        <v>2</v>
      </c>
      <c r="I1" t="s">
        <v>8</v>
      </c>
      <c r="J1" t="s">
        <v>17</v>
      </c>
    </row>
    <row r="2" spans="1:11" x14ac:dyDescent="0.25">
      <c r="A2" s="6" t="s">
        <v>98</v>
      </c>
      <c r="B2" s="6" t="s">
        <v>49</v>
      </c>
      <c r="C2">
        <f>SUMIFS('coal and gas factors'!B:B,'coal and gas factors'!A:A,'start year state specific CF'!B2)</f>
        <v>0</v>
      </c>
      <c r="D2">
        <v>1</v>
      </c>
      <c r="E2">
        <f>SUMIFS('coal and gas factors'!C:C,'coal and gas factors'!A:A,'start year state specific CF'!B2)</f>
        <v>1</v>
      </c>
      <c r="F2">
        <v>1</v>
      </c>
      <c r="G2">
        <v>1</v>
      </c>
      <c r="H2">
        <v>0.9</v>
      </c>
      <c r="I2">
        <f>INDEX('petroleum adj'!B:B,MATCH(B2,'petroleum adj'!$A:$A,0))</f>
        <v>0.52547179813401179</v>
      </c>
      <c r="J2">
        <v>1</v>
      </c>
      <c r="K2" s="12"/>
    </row>
    <row r="3" spans="1:11" x14ac:dyDescent="0.25">
      <c r="A3" s="6" t="s">
        <v>99</v>
      </c>
      <c r="B3" s="6" t="s">
        <v>48</v>
      </c>
      <c r="C3">
        <f>SUMIFS('coal and gas factors'!B:B,'coal and gas factors'!A:A,'start year state specific CF'!B3)</f>
        <v>0</v>
      </c>
      <c r="D3">
        <v>1</v>
      </c>
      <c r="E3">
        <f>SUMIFS('coal and gas factors'!C:C,'coal and gas factors'!A:A,'start year state specific CF'!B3)</f>
        <v>0</v>
      </c>
      <c r="F3">
        <v>1</v>
      </c>
      <c r="G3">
        <v>1</v>
      </c>
      <c r="H3">
        <v>0.9</v>
      </c>
      <c r="I3">
        <f>INDEX('petroleum adj'!B:B,MATCH(B3,'petroleum adj'!$A:$A,0))</f>
        <v>0</v>
      </c>
      <c r="J3">
        <v>1</v>
      </c>
    </row>
    <row r="4" spans="1:11" x14ac:dyDescent="0.25">
      <c r="A4" s="6" t="s">
        <v>42</v>
      </c>
      <c r="B4" s="6" t="s">
        <v>51</v>
      </c>
      <c r="C4">
        <f>SUMIFS('coal and gas factors'!B:B,'coal and gas factors'!A:A,'start year state specific CF'!B4)</f>
        <v>0</v>
      </c>
      <c r="D4">
        <v>1</v>
      </c>
      <c r="E4">
        <f>SUMIFS('coal and gas factors'!C:C,'coal and gas factors'!A:A,'start year state specific CF'!B4)</f>
        <v>1</v>
      </c>
      <c r="F4">
        <v>1</v>
      </c>
      <c r="G4">
        <v>1</v>
      </c>
      <c r="H4">
        <v>0.9</v>
      </c>
      <c r="I4">
        <f>INDEX('petroleum adj'!B:B,MATCH(B4,'petroleum adj'!$A:$A,0))</f>
        <v>0.69511174433611478</v>
      </c>
      <c r="J4">
        <v>1</v>
      </c>
    </row>
    <row r="5" spans="1:11" x14ac:dyDescent="0.25">
      <c r="A5" s="6" t="s">
        <v>100</v>
      </c>
      <c r="B5" s="6" t="s">
        <v>50</v>
      </c>
      <c r="C5">
        <f>SUMIFS('coal and gas factors'!B:B,'coal and gas factors'!A:A,'start year state specific CF'!B5)</f>
        <v>0.5</v>
      </c>
      <c r="D5">
        <v>1</v>
      </c>
      <c r="E5">
        <f>SUMIFS('coal and gas factors'!C:C,'coal and gas factors'!A:A,'start year state specific CF'!B5)</f>
        <v>0.78</v>
      </c>
      <c r="F5">
        <v>1</v>
      </c>
      <c r="G5">
        <v>1</v>
      </c>
      <c r="H5">
        <v>0.9</v>
      </c>
      <c r="I5">
        <f>INDEX('petroleum adj'!B:B,MATCH(B5,'petroleum adj'!$A:$A,0))</f>
        <v>1</v>
      </c>
      <c r="J5">
        <v>1</v>
      </c>
    </row>
    <row r="6" spans="1:11" x14ac:dyDescent="0.25">
      <c r="A6" s="6" t="s">
        <v>101</v>
      </c>
      <c r="B6" s="6" t="s">
        <v>52</v>
      </c>
      <c r="C6">
        <f>SUMIFS('coal and gas factors'!B:B,'coal and gas factors'!A:A,'start year state specific CF'!B6)</f>
        <v>0</v>
      </c>
      <c r="D6">
        <v>1</v>
      </c>
      <c r="E6">
        <f>SUMIFS('coal and gas factors'!C:C,'coal and gas factors'!A:A,'start year state specific CF'!B6)</f>
        <v>1</v>
      </c>
      <c r="F6">
        <v>1</v>
      </c>
      <c r="G6">
        <v>1</v>
      </c>
      <c r="H6">
        <v>0.9</v>
      </c>
      <c r="I6">
        <f>INDEX('petroleum adj'!B:B,MATCH(B6,'petroleum adj'!$A:$A,0))</f>
        <v>0.28990572102150364</v>
      </c>
      <c r="J6">
        <v>1</v>
      </c>
    </row>
    <row r="7" spans="1:11" x14ac:dyDescent="0.25">
      <c r="A7" s="6" t="s">
        <v>102</v>
      </c>
      <c r="B7" s="6" t="s">
        <v>53</v>
      </c>
      <c r="C7">
        <f>SUMIFS('coal and gas factors'!B:B,'coal and gas factors'!A:A,'start year state specific CF'!B7)</f>
        <v>0.7</v>
      </c>
      <c r="D7">
        <v>1</v>
      </c>
      <c r="E7">
        <f>SUMIFS('coal and gas factors'!C:C,'coal and gas factors'!A:A,'start year state specific CF'!B7)</f>
        <v>1</v>
      </c>
      <c r="F7">
        <v>1</v>
      </c>
      <c r="G7">
        <v>1</v>
      </c>
      <c r="H7">
        <v>0.9</v>
      </c>
      <c r="I7">
        <f>INDEX('petroleum adj'!B:B,MATCH(B7,'petroleum adj'!$A:$A,0))</f>
        <v>1.1407292385553255E-2</v>
      </c>
      <c r="J7">
        <v>1</v>
      </c>
    </row>
    <row r="8" spans="1:11" x14ac:dyDescent="0.25">
      <c r="A8" s="6" t="s">
        <v>103</v>
      </c>
      <c r="B8" s="6" t="s">
        <v>54</v>
      </c>
      <c r="C8">
        <f>SUMIFS('coal and gas factors'!B:B,'coal and gas factors'!A:A,'start year state specific CF'!B8)</f>
        <v>0</v>
      </c>
      <c r="D8">
        <v>1</v>
      </c>
      <c r="E8">
        <f>SUMIFS('coal and gas factors'!C:C,'coal and gas factors'!A:A,'start year state specific CF'!B8)</f>
        <v>1</v>
      </c>
      <c r="F8">
        <v>1</v>
      </c>
      <c r="G8">
        <v>1</v>
      </c>
      <c r="H8">
        <v>0.9</v>
      </c>
      <c r="I8">
        <f>INDEX('petroleum adj'!B:B,MATCH(B8,'petroleum adj'!$A:$A,0))</f>
        <v>5.8105706189110796E-2</v>
      </c>
      <c r="J8">
        <v>1</v>
      </c>
    </row>
    <row r="9" spans="1:11" x14ac:dyDescent="0.25">
      <c r="A9" s="6" t="s">
        <v>104</v>
      </c>
      <c r="B9" s="6" t="s">
        <v>55</v>
      </c>
      <c r="C9">
        <f>SUMIFS('coal and gas factors'!B:B,'coal and gas factors'!A:A,'start year state specific CF'!B9)</f>
        <v>0.2</v>
      </c>
      <c r="D9">
        <v>1</v>
      </c>
      <c r="E9">
        <f>SUMIFS('coal and gas factors'!C:C,'coal and gas factors'!A:A,'start year state specific CF'!B9)</f>
        <v>0</v>
      </c>
      <c r="F9">
        <v>1</v>
      </c>
      <c r="G9">
        <v>1</v>
      </c>
      <c r="H9">
        <v>0.9</v>
      </c>
      <c r="I9">
        <f>INDEX('petroleum adj'!B:B,MATCH(B9,'petroleum adj'!$A:$A,0))</f>
        <v>0.31365652297688079</v>
      </c>
      <c r="J9">
        <v>1</v>
      </c>
    </row>
    <row r="10" spans="1:11" x14ac:dyDescent="0.25">
      <c r="A10" s="6" t="s">
        <v>105</v>
      </c>
      <c r="B10" s="6" t="s">
        <v>56</v>
      </c>
      <c r="C10">
        <f>SUMIFS('coal and gas factors'!B:B,'coal and gas factors'!A:A,'start year state specific CF'!B10)</f>
        <v>0</v>
      </c>
      <c r="D10">
        <v>1</v>
      </c>
      <c r="E10">
        <f>SUMIFS('coal and gas factors'!C:C,'coal and gas factors'!A:A,'start year state specific CF'!B10)</f>
        <v>1</v>
      </c>
      <c r="F10">
        <v>1</v>
      </c>
      <c r="G10">
        <v>1</v>
      </c>
      <c r="H10">
        <v>0.9</v>
      </c>
      <c r="I10">
        <f>INDEX('petroleum adj'!B:B,MATCH(B10,'petroleum adj'!$A:$A,0))</f>
        <v>0.83009344410182306</v>
      </c>
      <c r="J10">
        <v>1</v>
      </c>
    </row>
    <row r="11" spans="1:11" x14ac:dyDescent="0.25">
      <c r="A11" s="6" t="s">
        <v>106</v>
      </c>
      <c r="B11" s="6" t="s">
        <v>57</v>
      </c>
      <c r="C11">
        <f>SUMIFS('coal and gas factors'!B:B,'coal and gas factors'!A:A,'start year state specific CF'!B11)</f>
        <v>0</v>
      </c>
      <c r="D11">
        <v>1</v>
      </c>
      <c r="E11">
        <f>SUMIFS('coal and gas factors'!C:C,'coal and gas factors'!A:A,'start year state specific CF'!B11)</f>
        <v>1</v>
      </c>
      <c r="F11">
        <v>1</v>
      </c>
      <c r="G11">
        <v>1</v>
      </c>
      <c r="H11">
        <v>0.9</v>
      </c>
      <c r="I11">
        <f>INDEX('petroleum adj'!B:B,MATCH(B11,'petroleum adj'!$A:$A,0))</f>
        <v>6.7934572502203583E-2</v>
      </c>
      <c r="J11">
        <v>1</v>
      </c>
    </row>
    <row r="12" spans="1:11" x14ac:dyDescent="0.25">
      <c r="A12" s="6" t="s">
        <v>107</v>
      </c>
      <c r="B12" s="6" t="s">
        <v>58</v>
      </c>
      <c r="C12">
        <f>SUMIFS('coal and gas factors'!B:B,'coal and gas factors'!A:A,'start year state specific CF'!B12)</f>
        <v>0</v>
      </c>
      <c r="D12">
        <v>1</v>
      </c>
      <c r="E12">
        <f>SUMIFS('coal and gas factors'!C:C,'coal and gas factors'!A:A,'start year state specific CF'!B12)</f>
        <v>0</v>
      </c>
      <c r="F12">
        <v>1</v>
      </c>
      <c r="G12">
        <v>1</v>
      </c>
      <c r="H12">
        <v>0.9</v>
      </c>
      <c r="I12">
        <f>INDEX('petroleum adj'!B:B,MATCH(B12,'petroleum adj'!$A:$A,0))</f>
        <v>0</v>
      </c>
      <c r="J12">
        <v>1</v>
      </c>
    </row>
    <row r="13" spans="1:11" x14ac:dyDescent="0.25">
      <c r="A13" s="6" t="s">
        <v>108</v>
      </c>
      <c r="B13" s="6" t="s">
        <v>60</v>
      </c>
      <c r="C13">
        <f>SUMIFS('coal and gas factors'!B:B,'coal and gas factors'!A:A,'start year state specific CF'!B13)</f>
        <v>0</v>
      </c>
      <c r="D13">
        <v>1</v>
      </c>
      <c r="E13">
        <f>SUMIFS('coal and gas factors'!C:C,'coal and gas factors'!A:A,'start year state specific CF'!B13)</f>
        <v>0</v>
      </c>
      <c r="F13">
        <v>1</v>
      </c>
      <c r="G13">
        <v>1</v>
      </c>
      <c r="H13">
        <v>1</v>
      </c>
      <c r="I13">
        <f>INDEX('petroleum adj'!B:B,MATCH(B13,'petroleum adj'!$A:$A,0))</f>
        <v>2.7544707178574452E-2</v>
      </c>
      <c r="J13">
        <v>1</v>
      </c>
    </row>
    <row r="14" spans="1:11" x14ac:dyDescent="0.25">
      <c r="A14" s="6" t="s">
        <v>109</v>
      </c>
      <c r="B14" s="6" t="s">
        <v>61</v>
      </c>
      <c r="C14">
        <f>SUMIFS('coal and gas factors'!B:B,'coal and gas factors'!A:A,'start year state specific CF'!B14)</f>
        <v>0</v>
      </c>
      <c r="D14">
        <v>1</v>
      </c>
      <c r="E14">
        <f>SUMIFS('coal and gas factors'!C:C,'coal and gas factors'!A:A,'start year state specific CF'!B14)</f>
        <v>1</v>
      </c>
      <c r="F14">
        <v>1</v>
      </c>
      <c r="G14">
        <v>1</v>
      </c>
      <c r="H14">
        <v>0.9</v>
      </c>
      <c r="I14">
        <f>INDEX('petroleum adj'!B:B,MATCH(B14,'petroleum adj'!$A:$A,0))</f>
        <v>7.5334815097708868E-2</v>
      </c>
      <c r="J14">
        <v>1</v>
      </c>
    </row>
    <row r="15" spans="1:11" x14ac:dyDescent="0.25">
      <c r="A15" s="6" t="s">
        <v>110</v>
      </c>
      <c r="B15" s="6" t="s">
        <v>62</v>
      </c>
      <c r="C15">
        <f>SUMIFS('coal and gas factors'!B:B,'coal and gas factors'!A:A,'start year state specific CF'!B15)</f>
        <v>0</v>
      </c>
      <c r="D15">
        <v>1</v>
      </c>
      <c r="E15">
        <f>SUMIFS('coal and gas factors'!C:C,'coal and gas factors'!A:A,'start year state specific CF'!B15)</f>
        <v>1</v>
      </c>
      <c r="F15">
        <v>1</v>
      </c>
      <c r="G15">
        <v>1</v>
      </c>
      <c r="H15">
        <v>0.9</v>
      </c>
      <c r="I15">
        <f>INDEX('petroleum adj'!B:B,MATCH(B15,'petroleum adj'!$A:$A,0))</f>
        <v>1</v>
      </c>
      <c r="J15">
        <v>1</v>
      </c>
    </row>
    <row r="16" spans="1:11" x14ac:dyDescent="0.25">
      <c r="A16" s="6" t="s">
        <v>111</v>
      </c>
      <c r="B16" s="6" t="s">
        <v>59</v>
      </c>
      <c r="C16">
        <f>SUMIFS('coal and gas factors'!B:B,'coal and gas factors'!A:A,'start year state specific CF'!B16)</f>
        <v>0</v>
      </c>
      <c r="D16">
        <v>1</v>
      </c>
      <c r="E16">
        <f>SUMIFS('coal and gas factors'!C:C,'coal and gas factors'!A:A,'start year state specific CF'!B16)</f>
        <v>1</v>
      </c>
      <c r="F16">
        <v>1</v>
      </c>
      <c r="G16">
        <v>1</v>
      </c>
      <c r="H16">
        <v>0.9</v>
      </c>
      <c r="I16">
        <f>INDEX('petroleum adj'!B:B,MATCH(B16,'petroleum adj'!$A:$A,0))</f>
        <v>0.10638895427502482</v>
      </c>
      <c r="J16">
        <v>1</v>
      </c>
    </row>
    <row r="17" spans="1:10" x14ac:dyDescent="0.25">
      <c r="A17" s="6" t="s">
        <v>112</v>
      </c>
      <c r="B17" s="6" t="s">
        <v>63</v>
      </c>
      <c r="C17">
        <f>SUMIFS('coal and gas factors'!B:B,'coal and gas factors'!A:A,'start year state specific CF'!B17)</f>
        <v>0</v>
      </c>
      <c r="D17">
        <v>0</v>
      </c>
      <c r="E17">
        <f>SUMIFS('coal and gas factors'!C:C,'coal and gas factors'!A:A,'start year state specific CF'!B17)</f>
        <v>0.7</v>
      </c>
      <c r="F17">
        <v>1</v>
      </c>
      <c r="G17">
        <v>1</v>
      </c>
      <c r="H17">
        <v>0.9</v>
      </c>
      <c r="I17">
        <f>INDEX('petroleum adj'!B:B,MATCH(B17,'petroleum adj'!$A:$A,0))</f>
        <v>0.26223072030993533</v>
      </c>
      <c r="J17">
        <v>1</v>
      </c>
    </row>
    <row r="18" spans="1:10" x14ac:dyDescent="0.25">
      <c r="A18" s="6" t="s">
        <v>113</v>
      </c>
      <c r="B18" s="6" t="s">
        <v>64</v>
      </c>
      <c r="C18">
        <f>SUMIFS('coal and gas factors'!B:B,'coal and gas factors'!A:A,'start year state specific CF'!B18)</f>
        <v>0</v>
      </c>
      <c r="D18">
        <v>1</v>
      </c>
      <c r="E18">
        <f>SUMIFS('coal and gas factors'!C:C,'coal and gas factors'!A:A,'start year state specific CF'!B18)</f>
        <v>1</v>
      </c>
      <c r="F18">
        <v>1</v>
      </c>
      <c r="G18">
        <v>1</v>
      </c>
      <c r="H18">
        <v>0.9</v>
      </c>
      <c r="I18">
        <f>INDEX('petroleum adj'!B:B,MATCH(B18,'petroleum adj'!$A:$A,0))</f>
        <v>1</v>
      </c>
      <c r="J18">
        <v>1</v>
      </c>
    </row>
    <row r="19" spans="1:10" x14ac:dyDescent="0.25">
      <c r="A19" s="6" t="s">
        <v>114</v>
      </c>
      <c r="B19" s="6" t="s">
        <v>65</v>
      </c>
      <c r="C19">
        <f>SUMIFS('coal and gas factors'!B:B,'coal and gas factors'!A:A,'start year state specific CF'!B19)</f>
        <v>1</v>
      </c>
      <c r="D19">
        <v>1</v>
      </c>
      <c r="E19">
        <f>SUMIFS('coal and gas factors'!C:C,'coal and gas factors'!A:A,'start year state specific CF'!B19)</f>
        <v>0</v>
      </c>
      <c r="F19">
        <v>1</v>
      </c>
      <c r="G19">
        <v>1</v>
      </c>
      <c r="H19">
        <v>0.9</v>
      </c>
      <c r="I19">
        <f>INDEX('petroleum adj'!B:B,MATCH(B19,'petroleum adj'!$A:$A,0))</f>
        <v>1</v>
      </c>
      <c r="J19">
        <v>1</v>
      </c>
    </row>
    <row r="20" spans="1:10" x14ac:dyDescent="0.25">
      <c r="A20" s="6" t="s">
        <v>115</v>
      </c>
      <c r="B20" s="6" t="s">
        <v>68</v>
      </c>
      <c r="C20">
        <f>SUMIFS('coal and gas factors'!B:B,'coal and gas factors'!A:A,'start year state specific CF'!B20)</f>
        <v>0</v>
      </c>
      <c r="D20">
        <v>1</v>
      </c>
      <c r="E20">
        <f>SUMIFS('coal and gas factors'!C:C,'coal and gas factors'!A:A,'start year state specific CF'!B20)</f>
        <v>0.7</v>
      </c>
      <c r="F20">
        <v>1</v>
      </c>
      <c r="G20">
        <v>1</v>
      </c>
      <c r="H20">
        <v>0.9</v>
      </c>
      <c r="I20">
        <f>INDEX('petroleum adj'!B:B,MATCH(B20,'petroleum adj'!$A:$A,0))</f>
        <v>2.7231266583452648E-2</v>
      </c>
      <c r="J20">
        <v>1</v>
      </c>
    </row>
    <row r="21" spans="1:10" x14ac:dyDescent="0.25">
      <c r="A21" s="6" t="s">
        <v>116</v>
      </c>
      <c r="B21" s="6" t="s">
        <v>67</v>
      </c>
      <c r="C21">
        <f>SUMIFS('coal and gas factors'!B:B,'coal and gas factors'!A:A,'start year state specific CF'!B21)</f>
        <v>0</v>
      </c>
      <c r="D21">
        <v>0</v>
      </c>
      <c r="E21">
        <f>SUMIFS('coal and gas factors'!C:C,'coal and gas factors'!A:A,'start year state specific CF'!B21)</f>
        <v>1</v>
      </c>
      <c r="F21">
        <v>1</v>
      </c>
      <c r="G21">
        <v>1</v>
      </c>
      <c r="H21">
        <v>0.9</v>
      </c>
      <c r="I21">
        <f>INDEX('petroleum adj'!B:B,MATCH(B21,'petroleum adj'!$A:$A,0))</f>
        <v>9.3132857758213408E-2</v>
      </c>
      <c r="J21">
        <v>1</v>
      </c>
    </row>
    <row r="22" spans="1:10" x14ac:dyDescent="0.25">
      <c r="A22" s="6" t="s">
        <v>117</v>
      </c>
      <c r="B22" s="6" t="s">
        <v>66</v>
      </c>
      <c r="C22">
        <f>SUMIFS('coal and gas factors'!B:B,'coal and gas factors'!A:A,'start year state specific CF'!B22)</f>
        <v>0</v>
      </c>
      <c r="D22">
        <v>1</v>
      </c>
      <c r="E22">
        <f>SUMIFS('coal and gas factors'!C:C,'coal and gas factors'!A:A,'start year state specific CF'!B22)</f>
        <v>0.7</v>
      </c>
      <c r="F22">
        <v>1</v>
      </c>
      <c r="G22">
        <v>1</v>
      </c>
      <c r="H22">
        <v>0.9</v>
      </c>
      <c r="I22">
        <f>INDEX('petroleum adj'!B:B,MATCH(B22,'petroleum adj'!$A:$A,0))</f>
        <v>0.10659023640927655</v>
      </c>
      <c r="J22">
        <v>1</v>
      </c>
    </row>
    <row r="23" spans="1:10" x14ac:dyDescent="0.25">
      <c r="A23" s="6" t="s">
        <v>118</v>
      </c>
      <c r="B23" s="6" t="s">
        <v>69</v>
      </c>
      <c r="C23">
        <f>SUMIFS('coal and gas factors'!B:B,'coal and gas factors'!A:A,'start year state specific CF'!B23)</f>
        <v>0</v>
      </c>
      <c r="D23">
        <v>1</v>
      </c>
      <c r="E23">
        <f>SUMIFS('coal and gas factors'!C:C,'coal and gas factors'!A:A,'start year state specific CF'!B23)</f>
        <v>1</v>
      </c>
      <c r="F23">
        <v>1</v>
      </c>
      <c r="G23">
        <v>1</v>
      </c>
      <c r="H23">
        <v>0.9</v>
      </c>
      <c r="I23">
        <f>INDEX('petroleum adj'!B:B,MATCH(B23,'petroleum adj'!$A:$A,0))</f>
        <v>1</v>
      </c>
      <c r="J23">
        <v>1</v>
      </c>
    </row>
    <row r="24" spans="1:10" x14ac:dyDescent="0.25">
      <c r="A24" s="6" t="s">
        <v>119</v>
      </c>
      <c r="B24" s="6" t="s">
        <v>70</v>
      </c>
      <c r="C24">
        <f>SUMIFS('coal and gas factors'!B:B,'coal and gas factors'!A:A,'start year state specific CF'!B24)</f>
        <v>0</v>
      </c>
      <c r="D24">
        <v>1</v>
      </c>
      <c r="E24">
        <f>SUMIFS('coal and gas factors'!C:C,'coal and gas factors'!A:A,'start year state specific CF'!B24)</f>
        <v>1</v>
      </c>
      <c r="F24">
        <v>1</v>
      </c>
      <c r="G24">
        <v>1</v>
      </c>
      <c r="H24">
        <v>0.9</v>
      </c>
      <c r="I24">
        <f>INDEX('petroleum adj'!B:B,MATCH(B24,'petroleum adj'!$A:$A,0))</f>
        <v>0.15656370417560939</v>
      </c>
      <c r="J24">
        <v>1</v>
      </c>
    </row>
    <row r="25" spans="1:10" x14ac:dyDescent="0.25">
      <c r="A25" s="6" t="s">
        <v>120</v>
      </c>
      <c r="B25" s="6" t="s">
        <v>72</v>
      </c>
      <c r="C25">
        <f>SUMIFS('coal and gas factors'!B:B,'coal and gas factors'!A:A,'start year state specific CF'!B25)</f>
        <v>0</v>
      </c>
      <c r="D25">
        <v>1</v>
      </c>
      <c r="E25">
        <f>SUMIFS('coal and gas factors'!C:C,'coal and gas factors'!A:A,'start year state specific CF'!B25)</f>
        <v>1</v>
      </c>
      <c r="F25">
        <v>1</v>
      </c>
      <c r="G25">
        <v>1</v>
      </c>
      <c r="H25">
        <v>0.9</v>
      </c>
      <c r="I25">
        <f>INDEX('petroleum adj'!B:B,MATCH(B25,'petroleum adj'!$A:$A,0))</f>
        <v>0.65975401464995087</v>
      </c>
      <c r="J25">
        <v>1</v>
      </c>
    </row>
    <row r="26" spans="1:10" x14ac:dyDescent="0.25">
      <c r="A26" s="6" t="s">
        <v>121</v>
      </c>
      <c r="B26" s="6" t="s">
        <v>71</v>
      </c>
      <c r="C26">
        <f>SUMIFS('coal and gas factors'!B:B,'coal and gas factors'!A:A,'start year state specific CF'!B26)</f>
        <v>0</v>
      </c>
      <c r="D26">
        <v>1</v>
      </c>
      <c r="E26">
        <f>SUMIFS('coal and gas factors'!C:C,'coal and gas factors'!A:A,'start year state specific CF'!B26)</f>
        <v>0.7</v>
      </c>
      <c r="F26">
        <v>1</v>
      </c>
      <c r="G26">
        <v>0.4</v>
      </c>
      <c r="H26">
        <v>0.9</v>
      </c>
      <c r="I26">
        <f>INDEX('petroleum adj'!B:B,MATCH(B26,'petroleum adj'!$A:$A,0))</f>
        <v>0.26966634066370321</v>
      </c>
      <c r="J26">
        <v>1</v>
      </c>
    </row>
    <row r="27" spans="1:10" x14ac:dyDescent="0.25">
      <c r="A27" s="6" t="s">
        <v>122</v>
      </c>
      <c r="B27" s="6" t="s">
        <v>73</v>
      </c>
      <c r="C27">
        <f>SUMIFS('coal and gas factors'!B:B,'coal and gas factors'!A:A,'start year state specific CF'!B27)</f>
        <v>0</v>
      </c>
      <c r="D27">
        <v>1</v>
      </c>
      <c r="E27">
        <f>SUMIFS('coal and gas factors'!C:C,'coal and gas factors'!A:A,'start year state specific CF'!B27)</f>
        <v>1</v>
      </c>
      <c r="F27">
        <v>1</v>
      </c>
      <c r="G27">
        <v>1</v>
      </c>
      <c r="H27">
        <v>0.9</v>
      </c>
      <c r="I27">
        <f>INDEX('petroleum adj'!B:B,MATCH(B27,'petroleum adj'!$A:$A,0))</f>
        <v>1</v>
      </c>
      <c r="J27">
        <v>1</v>
      </c>
    </row>
    <row r="28" spans="1:10" x14ac:dyDescent="0.25">
      <c r="A28" s="6" t="s">
        <v>123</v>
      </c>
      <c r="B28" s="6" t="s">
        <v>76</v>
      </c>
      <c r="C28">
        <f>SUMIFS('coal and gas factors'!B:B,'coal and gas factors'!A:A,'start year state specific CF'!B28)</f>
        <v>0</v>
      </c>
      <c r="D28">
        <v>1</v>
      </c>
      <c r="E28">
        <f>SUMIFS('coal and gas factors'!C:C,'coal and gas factors'!A:A,'start year state specific CF'!B28)</f>
        <v>0.7</v>
      </c>
      <c r="F28">
        <v>1</v>
      </c>
      <c r="G28">
        <v>1</v>
      </c>
      <c r="H28">
        <v>0.9</v>
      </c>
      <c r="I28">
        <f>INDEX('petroleum adj'!B:B,MATCH(B28,'petroleum adj'!$A:$A,0))</f>
        <v>0.12103117492932469</v>
      </c>
      <c r="J28">
        <v>1</v>
      </c>
    </row>
    <row r="29" spans="1:10" x14ac:dyDescent="0.25">
      <c r="A29" s="6" t="s">
        <v>124</v>
      </c>
      <c r="B29" s="6" t="s">
        <v>80</v>
      </c>
      <c r="C29">
        <f>SUMIFS('coal and gas factors'!B:B,'coal and gas factors'!A:A,'start year state specific CF'!B29)</f>
        <v>0</v>
      </c>
      <c r="D29">
        <v>1</v>
      </c>
      <c r="E29">
        <f>SUMIFS('coal and gas factors'!C:C,'coal and gas factors'!A:A,'start year state specific CF'!B29)</f>
        <v>1</v>
      </c>
      <c r="F29">
        <v>1</v>
      </c>
      <c r="G29">
        <v>1</v>
      </c>
      <c r="H29">
        <v>0.9</v>
      </c>
      <c r="I29">
        <f>INDEX('petroleum adj'!B:B,MATCH(B29,'petroleum adj'!$A:$A,0))</f>
        <v>1</v>
      </c>
      <c r="J29">
        <v>1</v>
      </c>
    </row>
    <row r="30" spans="1:10" x14ac:dyDescent="0.25">
      <c r="A30" s="6" t="s">
        <v>125</v>
      </c>
      <c r="B30" s="6" t="s">
        <v>77</v>
      </c>
      <c r="C30">
        <f>SUMIFS('coal and gas factors'!B:B,'coal and gas factors'!A:A,'start year state specific CF'!B30)</f>
        <v>0</v>
      </c>
      <c r="D30">
        <v>0</v>
      </c>
      <c r="E30">
        <f>SUMIFS('coal and gas factors'!C:C,'coal and gas factors'!A:A,'start year state specific CF'!B30)</f>
        <v>0.7</v>
      </c>
      <c r="F30">
        <v>1</v>
      </c>
      <c r="G30">
        <v>1</v>
      </c>
      <c r="H30">
        <v>0.9</v>
      </c>
      <c r="I30">
        <f>INDEX('petroleum adj'!B:B,MATCH(B30,'petroleum adj'!$A:$A,0))</f>
        <v>0.68130524622704458</v>
      </c>
      <c r="J30">
        <v>1</v>
      </c>
    </row>
    <row r="31" spans="1:10" x14ac:dyDescent="0.25">
      <c r="A31" s="6" t="s">
        <v>126</v>
      </c>
      <c r="B31" s="6" t="s">
        <v>78</v>
      </c>
      <c r="C31">
        <f>SUMIFS('coal and gas factors'!B:B,'coal and gas factors'!A:A,'start year state specific CF'!B31)</f>
        <v>0.7</v>
      </c>
      <c r="D31">
        <v>1</v>
      </c>
      <c r="E31">
        <f>SUMIFS('coal and gas factors'!C:C,'coal and gas factors'!A:A,'start year state specific CF'!B31)</f>
        <v>0</v>
      </c>
      <c r="F31">
        <v>1</v>
      </c>
      <c r="G31">
        <v>1</v>
      </c>
      <c r="H31">
        <v>0.9</v>
      </c>
      <c r="I31">
        <f>INDEX('petroleum adj'!B:B,MATCH(B31,'petroleum adj'!$A:$A,0))</f>
        <v>0.5254372649251432</v>
      </c>
      <c r="J31">
        <v>1</v>
      </c>
    </row>
    <row r="32" spans="1:10" x14ac:dyDescent="0.25">
      <c r="A32" s="6" t="s">
        <v>127</v>
      </c>
      <c r="B32" s="6" t="s">
        <v>79</v>
      </c>
      <c r="C32">
        <f>SUMIFS('coal and gas factors'!B:B,'coal and gas factors'!A:A,'start year state specific CF'!B32)</f>
        <v>0</v>
      </c>
      <c r="D32">
        <v>1</v>
      </c>
      <c r="E32">
        <f>SUMIFS('coal and gas factors'!C:C,'coal and gas factors'!A:A,'start year state specific CF'!B32)</f>
        <v>1</v>
      </c>
      <c r="F32">
        <v>1</v>
      </c>
      <c r="G32">
        <v>1</v>
      </c>
      <c r="H32">
        <v>0.9</v>
      </c>
      <c r="I32">
        <f>INDEX('petroleum adj'!B:B,MATCH(B32,'petroleum adj'!$A:$A,0))</f>
        <v>0.21410156403184005</v>
      </c>
      <c r="J32">
        <v>1</v>
      </c>
    </row>
    <row r="33" spans="1:10" x14ac:dyDescent="0.25">
      <c r="A33" s="6" t="s">
        <v>128</v>
      </c>
      <c r="B33" s="6" t="s">
        <v>81</v>
      </c>
      <c r="C33">
        <f>SUMIFS('coal and gas factors'!B:B,'coal and gas factors'!A:A,'start year state specific CF'!B33)</f>
        <v>0</v>
      </c>
      <c r="D33">
        <v>1</v>
      </c>
      <c r="E33">
        <f>SUMIFS('coal and gas factors'!C:C,'coal and gas factors'!A:A,'start year state specific CF'!B33)</f>
        <v>0</v>
      </c>
      <c r="F33">
        <v>1</v>
      </c>
      <c r="G33">
        <v>1</v>
      </c>
      <c r="H33">
        <v>0.9</v>
      </c>
      <c r="I33">
        <f>INDEX('petroleum adj'!B:B,MATCH(B33,'petroleum adj'!$A:$A,0))</f>
        <v>0.18160935552913315</v>
      </c>
      <c r="J33">
        <v>1</v>
      </c>
    </row>
    <row r="34" spans="1:10" x14ac:dyDescent="0.25">
      <c r="A34" s="6" t="s">
        <v>129</v>
      </c>
      <c r="B34" s="6" t="s">
        <v>74</v>
      </c>
      <c r="C34">
        <f>SUMIFS('coal and gas factors'!B:B,'coal and gas factors'!A:A,'start year state specific CF'!B34)</f>
        <v>0</v>
      </c>
      <c r="D34">
        <v>1</v>
      </c>
      <c r="E34">
        <f>SUMIFS('coal and gas factors'!C:C,'coal and gas factors'!A:A,'start year state specific CF'!B34)</f>
        <v>1</v>
      </c>
      <c r="F34">
        <v>1</v>
      </c>
      <c r="G34">
        <v>1</v>
      </c>
      <c r="H34">
        <v>0.9</v>
      </c>
      <c r="I34">
        <f>INDEX('petroleum adj'!B:B,MATCH(B34,'petroleum adj'!$A:$A,0))</f>
        <v>0.54515554676294553</v>
      </c>
      <c r="J34">
        <v>1</v>
      </c>
    </row>
    <row r="35" spans="1:10" x14ac:dyDescent="0.25">
      <c r="A35" s="6" t="s">
        <v>130</v>
      </c>
      <c r="B35" s="6" t="s">
        <v>75</v>
      </c>
      <c r="C35">
        <f>SUMIFS('coal and gas factors'!B:B,'coal and gas factors'!A:A,'start year state specific CF'!B35)</f>
        <v>0.5</v>
      </c>
      <c r="D35">
        <v>1</v>
      </c>
      <c r="E35">
        <f>SUMIFS('coal and gas factors'!C:C,'coal and gas factors'!A:A,'start year state specific CF'!B35)</f>
        <v>0.7</v>
      </c>
      <c r="F35">
        <v>1</v>
      </c>
      <c r="G35">
        <v>1</v>
      </c>
      <c r="H35">
        <v>0.9</v>
      </c>
      <c r="I35">
        <f>INDEX('petroleum adj'!B:B,MATCH(B35,'petroleum adj'!$A:$A,0))</f>
        <v>0.47148419672206909</v>
      </c>
      <c r="J35">
        <v>1</v>
      </c>
    </row>
    <row r="36" spans="1:10" x14ac:dyDescent="0.25">
      <c r="A36" s="6" t="s">
        <v>131</v>
      </c>
      <c r="B36" s="6" t="s">
        <v>82</v>
      </c>
      <c r="C36">
        <f>SUMIFS('coal and gas factors'!B:B,'coal and gas factors'!A:A,'start year state specific CF'!B36)</f>
        <v>0</v>
      </c>
      <c r="D36">
        <v>1</v>
      </c>
      <c r="E36">
        <f>SUMIFS('coal and gas factors'!C:C,'coal and gas factors'!A:A,'start year state specific CF'!B36)</f>
        <v>1</v>
      </c>
      <c r="F36">
        <v>1</v>
      </c>
      <c r="G36">
        <v>1</v>
      </c>
      <c r="H36">
        <v>0.9</v>
      </c>
      <c r="I36">
        <f>INDEX('petroleum adj'!B:B,MATCH(B36,'petroleum adj'!$A:$A,0))</f>
        <v>1</v>
      </c>
      <c r="J36">
        <v>1</v>
      </c>
    </row>
    <row r="37" spans="1:10" x14ac:dyDescent="0.25">
      <c r="A37" s="6" t="s">
        <v>132</v>
      </c>
      <c r="B37" s="6" t="s">
        <v>83</v>
      </c>
      <c r="C37">
        <f>SUMIFS('coal and gas factors'!B:B,'coal and gas factors'!A:A,'start year state specific CF'!B37)</f>
        <v>0</v>
      </c>
      <c r="D37">
        <v>1</v>
      </c>
      <c r="E37">
        <f>SUMIFS('coal and gas factors'!C:C,'coal and gas factors'!A:A,'start year state specific CF'!B37)</f>
        <v>1</v>
      </c>
      <c r="F37">
        <v>1</v>
      </c>
      <c r="G37">
        <v>1</v>
      </c>
      <c r="H37">
        <v>0.9</v>
      </c>
      <c r="I37">
        <f>INDEX('petroleum adj'!B:B,MATCH(B37,'petroleum adj'!$A:$A,0))</f>
        <v>0.6084169905960537</v>
      </c>
      <c r="J37">
        <v>1</v>
      </c>
    </row>
    <row r="38" spans="1:10" x14ac:dyDescent="0.25">
      <c r="A38" s="6" t="s">
        <v>133</v>
      </c>
      <c r="B38" s="6" t="s">
        <v>84</v>
      </c>
      <c r="C38">
        <f>SUMIFS('coal and gas factors'!B:B,'coal and gas factors'!A:A,'start year state specific CF'!B38)</f>
        <v>0</v>
      </c>
      <c r="D38">
        <v>1</v>
      </c>
      <c r="E38">
        <f>SUMIFS('coal and gas factors'!C:C,'coal and gas factors'!A:A,'start year state specific CF'!B38)</f>
        <v>0.9</v>
      </c>
      <c r="F38">
        <v>1</v>
      </c>
      <c r="G38">
        <v>1</v>
      </c>
      <c r="H38">
        <v>0.9</v>
      </c>
      <c r="I38">
        <f>INDEX('petroleum adj'!B:B,MATCH(B38,'petroleum adj'!$A:$A,0))</f>
        <v>0</v>
      </c>
      <c r="J38">
        <v>0.1</v>
      </c>
    </row>
    <row r="39" spans="1:10" x14ac:dyDescent="0.25">
      <c r="A39" s="6" t="s">
        <v>134</v>
      </c>
      <c r="B39" s="6" t="s">
        <v>85</v>
      </c>
      <c r="C39">
        <f>SUMIFS('coal and gas factors'!B:B,'coal and gas factors'!A:A,'start year state specific CF'!B39)</f>
        <v>1</v>
      </c>
      <c r="D39">
        <v>0</v>
      </c>
      <c r="E39">
        <f>SUMIFS('coal and gas factors'!C:C,'coal and gas factors'!A:A,'start year state specific CF'!B39)</f>
        <v>0</v>
      </c>
      <c r="F39">
        <v>1</v>
      </c>
      <c r="G39">
        <v>1</v>
      </c>
      <c r="H39">
        <v>0.9</v>
      </c>
      <c r="I39">
        <f>INDEX('petroleum adj'!B:B,MATCH(B39,'petroleum adj'!$A:$A,0))</f>
        <v>0.1003110546508176</v>
      </c>
      <c r="J39">
        <v>1</v>
      </c>
    </row>
    <row r="40" spans="1:10" x14ac:dyDescent="0.25">
      <c r="A40" s="6" t="s">
        <v>135</v>
      </c>
      <c r="B40" s="6" t="s">
        <v>86</v>
      </c>
      <c r="C40">
        <f>SUMIFS('coal and gas factors'!B:B,'coal and gas factors'!A:A,'start year state specific CF'!B40)</f>
        <v>0</v>
      </c>
      <c r="D40">
        <v>1</v>
      </c>
      <c r="E40">
        <f>SUMIFS('coal and gas factors'!C:C,'coal and gas factors'!A:A,'start year state specific CF'!B40)</f>
        <v>0.7</v>
      </c>
      <c r="F40">
        <v>1</v>
      </c>
      <c r="G40">
        <v>1</v>
      </c>
      <c r="H40">
        <v>0.9</v>
      </c>
      <c r="I40">
        <f>INDEX('petroleum adj'!B:B,MATCH(B40,'petroleum adj'!$A:$A,0))</f>
        <v>1</v>
      </c>
      <c r="J40">
        <v>1</v>
      </c>
    </row>
    <row r="41" spans="1:10" x14ac:dyDescent="0.25">
      <c r="A41" s="6" t="s">
        <v>136</v>
      </c>
      <c r="B41" s="6" t="s">
        <v>87</v>
      </c>
      <c r="C41">
        <f>SUMIFS('coal and gas factors'!B:B,'coal and gas factors'!A:A,'start year state specific CF'!B41)</f>
        <v>0</v>
      </c>
      <c r="D41">
        <v>1</v>
      </c>
      <c r="E41">
        <f>SUMIFS('coal and gas factors'!C:C,'coal and gas factors'!A:A,'start year state specific CF'!B41)</f>
        <v>1</v>
      </c>
      <c r="F41">
        <v>1</v>
      </c>
      <c r="G41">
        <v>1</v>
      </c>
      <c r="H41">
        <v>0.9</v>
      </c>
      <c r="I41">
        <f>INDEX('petroleum adj'!B:B,MATCH(B41,'petroleum adj'!$A:$A,0))</f>
        <v>0.72290035364236682</v>
      </c>
      <c r="J41">
        <v>1</v>
      </c>
    </row>
    <row r="42" spans="1:10" x14ac:dyDescent="0.25">
      <c r="A42" s="6" t="s">
        <v>137</v>
      </c>
      <c r="B42" s="6" t="s">
        <v>88</v>
      </c>
      <c r="C42">
        <f>SUMIFS('coal and gas factors'!B:B,'coal and gas factors'!A:A,'start year state specific CF'!B42)</f>
        <v>0.7</v>
      </c>
      <c r="D42">
        <v>1</v>
      </c>
      <c r="E42">
        <f>SUMIFS('coal and gas factors'!C:C,'coal and gas factors'!A:A,'start year state specific CF'!B42)</f>
        <v>1</v>
      </c>
      <c r="F42">
        <v>1</v>
      </c>
      <c r="G42">
        <v>1</v>
      </c>
      <c r="H42">
        <v>0.75</v>
      </c>
      <c r="I42">
        <f>INDEX('petroleum adj'!B:B,MATCH(B42,'petroleum adj'!$A:$A,0))</f>
        <v>0.16948054253657149</v>
      </c>
      <c r="J42">
        <v>1</v>
      </c>
    </row>
    <row r="43" spans="1:10" x14ac:dyDescent="0.25">
      <c r="A43" s="6" t="s">
        <v>138</v>
      </c>
      <c r="B43" s="6" t="s">
        <v>89</v>
      </c>
      <c r="C43">
        <f>SUMIFS('coal and gas factors'!B:B,'coal and gas factors'!A:A,'start year state specific CF'!B43)</f>
        <v>0</v>
      </c>
      <c r="D43">
        <v>0.5</v>
      </c>
      <c r="E43">
        <f>SUMIFS('coal and gas factors'!C:C,'coal and gas factors'!A:A,'start year state specific CF'!B43)</f>
        <v>1</v>
      </c>
      <c r="F43">
        <v>1</v>
      </c>
      <c r="G43">
        <v>1</v>
      </c>
      <c r="H43">
        <v>0.9</v>
      </c>
      <c r="I43">
        <f>INDEX('petroleum adj'!B:B,MATCH(B43,'petroleum adj'!$A:$A,0))</f>
        <v>1</v>
      </c>
      <c r="J43">
        <v>1</v>
      </c>
    </row>
    <row r="44" spans="1:10" x14ac:dyDescent="0.25">
      <c r="A44" s="6" t="s">
        <v>139</v>
      </c>
      <c r="B44" s="6" t="s">
        <v>90</v>
      </c>
      <c r="C44">
        <f>SUMIFS('coal and gas factors'!B:B,'coal and gas factors'!A:A,'start year state specific CF'!B44)</f>
        <v>0.5</v>
      </c>
      <c r="D44">
        <v>1</v>
      </c>
      <c r="E44">
        <f>SUMIFS('coal and gas factors'!C:C,'coal and gas factors'!A:A,'start year state specific CF'!B44)</f>
        <v>1</v>
      </c>
      <c r="F44">
        <v>1</v>
      </c>
      <c r="G44">
        <v>1</v>
      </c>
      <c r="H44">
        <v>0.9</v>
      </c>
      <c r="I44">
        <f>INDEX('petroleum adj'!B:B,MATCH(B44,'petroleum adj'!$A:$A,0))</f>
        <v>1</v>
      </c>
      <c r="J44">
        <v>1</v>
      </c>
    </row>
    <row r="45" spans="1:10" x14ac:dyDescent="0.25">
      <c r="A45" s="6" t="s">
        <v>140</v>
      </c>
      <c r="B45" s="6" t="s">
        <v>91</v>
      </c>
      <c r="C45">
        <f>SUMIFS('coal and gas factors'!B:B,'coal and gas factors'!A:A,'start year state specific CF'!B45)</f>
        <v>0</v>
      </c>
      <c r="D45">
        <v>1</v>
      </c>
      <c r="E45">
        <f>SUMIFS('coal and gas factors'!C:C,'coal and gas factors'!A:A,'start year state specific CF'!B45)</f>
        <v>1</v>
      </c>
      <c r="F45">
        <v>1</v>
      </c>
      <c r="G45">
        <v>1</v>
      </c>
      <c r="H45">
        <v>0.9</v>
      </c>
      <c r="I45">
        <f>INDEX('petroleum adj'!B:B,MATCH(B45,'petroleum adj'!$A:$A,0))</f>
        <v>1</v>
      </c>
      <c r="J45">
        <v>1</v>
      </c>
    </row>
    <row r="46" spans="1:10" x14ac:dyDescent="0.25">
      <c r="A46" s="6" t="s">
        <v>141</v>
      </c>
      <c r="B46" s="6" t="s">
        <v>93</v>
      </c>
      <c r="C46">
        <f>SUMIFS('coal and gas factors'!B:B,'coal and gas factors'!A:A,'start year state specific CF'!B46)</f>
        <v>0</v>
      </c>
      <c r="D46">
        <v>1</v>
      </c>
      <c r="E46">
        <f>SUMIFS('coal and gas factors'!C:C,'coal and gas factors'!A:A,'start year state specific CF'!B46)</f>
        <v>0</v>
      </c>
      <c r="F46">
        <v>1</v>
      </c>
      <c r="G46">
        <v>1</v>
      </c>
      <c r="H46">
        <v>0</v>
      </c>
      <c r="I46">
        <f>INDEX('petroleum adj'!B:B,MATCH(B46,'petroleum adj'!$A:$A,0))</f>
        <v>2.1449877917852543E-2</v>
      </c>
      <c r="J46">
        <v>1</v>
      </c>
    </row>
    <row r="47" spans="1:10" x14ac:dyDescent="0.25">
      <c r="A47" s="6" t="s">
        <v>142</v>
      </c>
      <c r="B47" s="6" t="s">
        <v>92</v>
      </c>
      <c r="C47">
        <f>SUMIFS('coal and gas factors'!B:B,'coal and gas factors'!A:A,'start year state specific CF'!B47)</f>
        <v>0</v>
      </c>
      <c r="D47">
        <v>1</v>
      </c>
      <c r="E47">
        <f>SUMIFS('coal and gas factors'!C:C,'coal and gas factors'!A:A,'start year state specific CF'!B47)</f>
        <v>1</v>
      </c>
      <c r="F47">
        <v>1</v>
      </c>
      <c r="G47">
        <v>1</v>
      </c>
      <c r="H47">
        <v>0.9</v>
      </c>
      <c r="I47">
        <f>INDEX('petroleum adj'!B:B,MATCH(B47,'petroleum adj'!$A:$A,0))</f>
        <v>0.32227044165892632</v>
      </c>
      <c r="J47">
        <v>1</v>
      </c>
    </row>
    <row r="48" spans="1:10" x14ac:dyDescent="0.25">
      <c r="A48" s="6" t="s">
        <v>143</v>
      </c>
      <c r="B48" s="6" t="s">
        <v>94</v>
      </c>
      <c r="C48">
        <f>SUMIFS('coal and gas factors'!B:B,'coal and gas factors'!A:A,'start year state specific CF'!B48)</f>
        <v>0.5</v>
      </c>
      <c r="D48">
        <v>1</v>
      </c>
      <c r="E48">
        <f>SUMIFS('coal and gas factors'!C:C,'coal and gas factors'!A:A,'start year state specific CF'!B48)</f>
        <v>0.9</v>
      </c>
      <c r="F48">
        <v>1</v>
      </c>
      <c r="G48">
        <v>1</v>
      </c>
      <c r="H48">
        <v>0.9</v>
      </c>
      <c r="I48">
        <f>INDEX('petroleum adj'!B:B,MATCH(B48,'petroleum adj'!$A:$A,0))</f>
        <v>0</v>
      </c>
      <c r="J48">
        <v>0.38</v>
      </c>
    </row>
    <row r="49" spans="1:10" x14ac:dyDescent="0.25">
      <c r="A49" s="6" t="s">
        <v>144</v>
      </c>
      <c r="B49" s="6" t="s">
        <v>96</v>
      </c>
      <c r="C49">
        <f>SUMIFS('coal and gas factors'!B:B,'coal and gas factors'!A:A,'start year state specific CF'!B49)</f>
        <v>0</v>
      </c>
      <c r="D49">
        <v>1</v>
      </c>
      <c r="E49">
        <f>SUMIFS('coal and gas factors'!C:C,'coal and gas factors'!A:A,'start year state specific CF'!B49)</f>
        <v>0.7</v>
      </c>
      <c r="F49">
        <v>1</v>
      </c>
      <c r="G49">
        <v>1</v>
      </c>
      <c r="H49">
        <v>0.9</v>
      </c>
      <c r="I49">
        <f>INDEX('petroleum adj'!B:B,MATCH(B49,'petroleum adj'!$A:$A,0))</f>
        <v>1</v>
      </c>
      <c r="J49">
        <v>1</v>
      </c>
    </row>
    <row r="50" spans="1:10" x14ac:dyDescent="0.25">
      <c r="A50" s="6" t="s">
        <v>145</v>
      </c>
      <c r="B50" s="6" t="s">
        <v>95</v>
      </c>
      <c r="C50">
        <f>SUMIFS('coal and gas factors'!B:B,'coal and gas factors'!A:A,'start year state specific CF'!B50)</f>
        <v>0</v>
      </c>
      <c r="D50">
        <v>1</v>
      </c>
      <c r="E50">
        <f>SUMIFS('coal and gas factors'!C:C,'coal and gas factors'!A:A,'start year state specific CF'!B50)</f>
        <v>1</v>
      </c>
      <c r="F50">
        <v>1</v>
      </c>
      <c r="G50">
        <v>1</v>
      </c>
      <c r="H50">
        <v>0.9</v>
      </c>
      <c r="I50">
        <f>INDEX('petroleum adj'!B:B,MATCH(B50,'petroleum adj'!$A:$A,0))</f>
        <v>0.58662496930369623</v>
      </c>
      <c r="J50">
        <v>1</v>
      </c>
    </row>
    <row r="51" spans="1:10" x14ac:dyDescent="0.25">
      <c r="A51" s="6" t="s">
        <v>146</v>
      </c>
      <c r="B51" s="6" t="s">
        <v>97</v>
      </c>
      <c r="C51">
        <f>SUMIFS('coal and gas factors'!B:B,'coal and gas factors'!A:A,'start year state specific CF'!B51)</f>
        <v>0</v>
      </c>
      <c r="D51">
        <v>1</v>
      </c>
      <c r="E51">
        <f>SUMIFS('coal and gas factors'!C:C,'coal and gas factors'!A:A,'start year state specific CF'!B51)</f>
        <v>0.7</v>
      </c>
      <c r="F51">
        <v>1</v>
      </c>
      <c r="G51">
        <v>1</v>
      </c>
      <c r="H51">
        <v>0.9</v>
      </c>
      <c r="I51">
        <f>INDEX('petroleum adj'!B:B,MATCH(B51,'petroleum adj'!$A:$A,0))</f>
        <v>1</v>
      </c>
      <c r="J5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6583-7BAA-4FD2-9743-387EA61E16CB}">
  <dimension ref="A1:S1074"/>
  <sheetViews>
    <sheetView workbookViewId="0">
      <selection activeCell="C3" sqref="C3"/>
    </sheetView>
  </sheetViews>
  <sheetFormatPr defaultRowHeight="15" x14ac:dyDescent="0.25"/>
  <cols>
    <col min="1" max="1" width="20.140625" customWidth="1"/>
  </cols>
  <sheetData>
    <row r="1" spans="1:19" x14ac:dyDescent="0.25">
      <c r="A1" s="9" t="s">
        <v>261</v>
      </c>
      <c r="B1" s="9" t="s">
        <v>197</v>
      </c>
      <c r="C1" s="9" t="s">
        <v>196</v>
      </c>
      <c r="D1" s="9" t="s">
        <v>195</v>
      </c>
      <c r="E1" s="9" t="s">
        <v>194</v>
      </c>
      <c r="F1" s="9" t="s">
        <v>193</v>
      </c>
      <c r="G1" s="9" t="s">
        <v>192</v>
      </c>
      <c r="H1" s="9" t="s">
        <v>191</v>
      </c>
      <c r="I1" s="9" t="s">
        <v>190</v>
      </c>
      <c r="J1" s="9" t="s">
        <v>189</v>
      </c>
      <c r="K1" s="9" t="s">
        <v>188</v>
      </c>
      <c r="L1" s="9" t="s">
        <v>187</v>
      </c>
      <c r="M1" s="9" t="s">
        <v>186</v>
      </c>
      <c r="N1" s="9" t="s">
        <v>185</v>
      </c>
      <c r="O1" s="9" t="s">
        <v>184</v>
      </c>
      <c r="P1" s="9" t="s">
        <v>183</v>
      </c>
      <c r="Q1" s="9" t="s">
        <v>182</v>
      </c>
      <c r="R1" s="9" t="s">
        <v>260</v>
      </c>
      <c r="S1" s="9" t="s">
        <v>259</v>
      </c>
    </row>
    <row r="2" spans="1:19" x14ac:dyDescent="0.25">
      <c r="A2" t="s">
        <v>98</v>
      </c>
      <c r="S2" t="s">
        <v>98</v>
      </c>
    </row>
    <row r="3" spans="1:19" x14ac:dyDescent="0.25">
      <c r="A3" t="s">
        <v>198</v>
      </c>
      <c r="B3" t="s">
        <v>257</v>
      </c>
      <c r="C3" t="s">
        <v>256</v>
      </c>
      <c r="D3" t="s">
        <v>181</v>
      </c>
      <c r="E3" t="s">
        <v>180</v>
      </c>
      <c r="F3" t="s">
        <v>179</v>
      </c>
      <c r="G3" t="s">
        <v>178</v>
      </c>
      <c r="H3" t="s">
        <v>177</v>
      </c>
      <c r="I3" t="s">
        <v>176</v>
      </c>
      <c r="J3" t="s">
        <v>175</v>
      </c>
      <c r="K3" t="s">
        <v>174</v>
      </c>
      <c r="L3" t="s">
        <v>173</v>
      </c>
      <c r="M3" t="s">
        <v>172</v>
      </c>
      <c r="N3" t="s">
        <v>171</v>
      </c>
      <c r="O3" t="s">
        <v>170</v>
      </c>
      <c r="P3" t="s">
        <v>169</v>
      </c>
      <c r="Q3" t="s">
        <v>168</v>
      </c>
      <c r="R3" t="s">
        <v>167</v>
      </c>
      <c r="S3" t="s">
        <v>98</v>
      </c>
    </row>
    <row r="4" spans="1:19" x14ac:dyDescent="0.25">
      <c r="A4" t="s">
        <v>199</v>
      </c>
      <c r="S4" t="s">
        <v>98</v>
      </c>
    </row>
    <row r="5" spans="1:19" x14ac:dyDescent="0.25">
      <c r="A5" t="s">
        <v>163</v>
      </c>
      <c r="B5">
        <v>5452.7</v>
      </c>
      <c r="C5">
        <v>95.4</v>
      </c>
      <c r="D5">
        <v>88.6</v>
      </c>
      <c r="E5">
        <v>96.4</v>
      </c>
      <c r="F5">
        <v>89.4</v>
      </c>
      <c r="G5">
        <v>90.8</v>
      </c>
      <c r="H5">
        <v>87.7</v>
      </c>
      <c r="I5">
        <v>96.2</v>
      </c>
      <c r="J5">
        <v>89.8</v>
      </c>
      <c r="K5">
        <v>94.5</v>
      </c>
      <c r="L5">
        <v>92.9</v>
      </c>
      <c r="M5">
        <v>92.4</v>
      </c>
      <c r="N5">
        <v>92.2</v>
      </c>
      <c r="O5">
        <v>89.1</v>
      </c>
      <c r="P5">
        <v>85.9</v>
      </c>
      <c r="Q5">
        <v>90.9</v>
      </c>
      <c r="R5">
        <v>89.1</v>
      </c>
      <c r="S5" t="s">
        <v>98</v>
      </c>
    </row>
    <row r="6" spans="1:19" x14ac:dyDescent="0.25">
      <c r="A6" t="s">
        <v>200</v>
      </c>
      <c r="B6">
        <v>6.4</v>
      </c>
      <c r="C6">
        <v>73.8</v>
      </c>
      <c r="D6">
        <v>76.5</v>
      </c>
      <c r="E6">
        <v>78.400000000000006</v>
      </c>
      <c r="F6">
        <v>66.400000000000006</v>
      </c>
      <c r="G6">
        <v>72.2</v>
      </c>
      <c r="H6">
        <v>67.2</v>
      </c>
      <c r="I6">
        <v>73.8</v>
      </c>
      <c r="J6">
        <v>67.8</v>
      </c>
      <c r="K6">
        <v>77.8</v>
      </c>
      <c r="L6">
        <v>79.5</v>
      </c>
      <c r="M6">
        <v>84.6</v>
      </c>
      <c r="N6">
        <v>0</v>
      </c>
      <c r="O6" t="s">
        <v>162</v>
      </c>
      <c r="P6" t="s">
        <v>162</v>
      </c>
      <c r="Q6" t="s">
        <v>162</v>
      </c>
      <c r="R6" t="s">
        <v>162</v>
      </c>
      <c r="S6" t="s">
        <v>98</v>
      </c>
    </row>
    <row r="7" spans="1:19" x14ac:dyDescent="0.25">
      <c r="A7" t="s">
        <v>165</v>
      </c>
      <c r="B7">
        <v>617.1</v>
      </c>
      <c r="C7">
        <v>67.599999999999994</v>
      </c>
      <c r="D7">
        <v>68.2</v>
      </c>
      <c r="E7">
        <v>72.7</v>
      </c>
      <c r="F7">
        <v>71.400000000000006</v>
      </c>
      <c r="G7">
        <v>67.400000000000006</v>
      </c>
      <c r="H7">
        <v>73</v>
      </c>
      <c r="I7">
        <v>66.599999999999994</v>
      </c>
      <c r="J7">
        <v>67.099999999999994</v>
      </c>
      <c r="K7">
        <v>66.5</v>
      </c>
      <c r="L7">
        <v>53.5</v>
      </c>
      <c r="M7">
        <v>52.7</v>
      </c>
      <c r="N7">
        <v>57.3</v>
      </c>
      <c r="O7">
        <v>58.9</v>
      </c>
      <c r="P7">
        <v>59.2</v>
      </c>
      <c r="Q7">
        <v>71</v>
      </c>
      <c r="R7">
        <v>61.3</v>
      </c>
      <c r="S7" t="s">
        <v>98</v>
      </c>
    </row>
    <row r="8" spans="1:19" x14ac:dyDescent="0.25">
      <c r="A8" t="s">
        <v>202</v>
      </c>
      <c r="B8">
        <v>10052.6</v>
      </c>
      <c r="C8">
        <v>63.7</v>
      </c>
      <c r="D8">
        <v>64.8</v>
      </c>
      <c r="E8">
        <v>58.2</v>
      </c>
      <c r="F8">
        <v>59.1</v>
      </c>
      <c r="G8">
        <v>58.3</v>
      </c>
      <c r="H8">
        <v>61.1</v>
      </c>
      <c r="I8">
        <v>58</v>
      </c>
      <c r="J8">
        <v>65.8</v>
      </c>
      <c r="K8">
        <v>65.400000000000006</v>
      </c>
      <c r="L8">
        <v>57.1</v>
      </c>
      <c r="M8">
        <v>55.2</v>
      </c>
      <c r="N8">
        <v>63.5</v>
      </c>
      <c r="O8">
        <v>54.7</v>
      </c>
      <c r="P8">
        <v>46.7</v>
      </c>
      <c r="Q8">
        <v>39.299999999999997</v>
      </c>
      <c r="R8">
        <v>28.3</v>
      </c>
      <c r="S8" t="s">
        <v>98</v>
      </c>
    </row>
    <row r="9" spans="1:19" x14ac:dyDescent="0.25">
      <c r="A9" s="15" t="s">
        <v>201</v>
      </c>
      <c r="B9" s="15">
        <v>4728</v>
      </c>
      <c r="C9" s="15">
        <v>47.9</v>
      </c>
      <c r="D9" s="15">
        <v>66.3</v>
      </c>
      <c r="E9" s="15">
        <v>67.2</v>
      </c>
      <c r="F9" s="15">
        <v>49.4</v>
      </c>
      <c r="G9" s="15">
        <v>56.2</v>
      </c>
      <c r="H9" s="15">
        <v>57.8</v>
      </c>
      <c r="I9" s="15">
        <v>58.8</v>
      </c>
      <c r="J9" s="15">
        <v>59.2</v>
      </c>
      <c r="K9" s="15">
        <v>49.6</v>
      </c>
      <c r="L9" s="15">
        <v>50.6</v>
      </c>
      <c r="M9" s="15">
        <v>48.6</v>
      </c>
      <c r="N9" s="15">
        <v>48.1</v>
      </c>
      <c r="O9" s="15">
        <v>57.2</v>
      </c>
      <c r="P9" s="15">
        <v>63.2</v>
      </c>
      <c r="Q9" s="15">
        <v>55.6</v>
      </c>
      <c r="R9" s="15">
        <v>74.099999999999994</v>
      </c>
      <c r="S9" s="15" t="s">
        <v>98</v>
      </c>
    </row>
    <row r="10" spans="1:19" x14ac:dyDescent="0.25">
      <c r="A10" t="s">
        <v>203</v>
      </c>
      <c r="B10">
        <v>3291.8</v>
      </c>
      <c r="C10">
        <v>29.2</v>
      </c>
      <c r="D10">
        <v>35.299999999999997</v>
      </c>
      <c r="E10">
        <v>40</v>
      </c>
      <c r="F10">
        <v>46.2</v>
      </c>
      <c r="G10">
        <v>39.6</v>
      </c>
      <c r="H10">
        <v>38.6</v>
      </c>
      <c r="I10">
        <v>32</v>
      </c>
      <c r="J10">
        <v>26.1</v>
      </c>
      <c r="K10">
        <v>34.4</v>
      </c>
      <c r="L10">
        <v>33</v>
      </c>
      <c r="M10">
        <v>45</v>
      </c>
      <c r="N10">
        <v>25.8</v>
      </c>
      <c r="O10">
        <v>31</v>
      </c>
      <c r="P10">
        <v>30.3</v>
      </c>
      <c r="Q10">
        <v>43.7</v>
      </c>
      <c r="R10">
        <v>21.3</v>
      </c>
      <c r="S10" t="s">
        <v>98</v>
      </c>
    </row>
    <row r="11" spans="1:19" x14ac:dyDescent="0.25">
      <c r="A11" t="s">
        <v>204</v>
      </c>
      <c r="B11">
        <v>558.6</v>
      </c>
      <c r="C11">
        <v>23.6</v>
      </c>
      <c r="D11">
        <v>24.3</v>
      </c>
      <c r="E11">
        <v>20.399999999999999</v>
      </c>
      <c r="F11">
        <v>21.6</v>
      </c>
      <c r="G11">
        <v>22.6</v>
      </c>
      <c r="H11">
        <v>22.7</v>
      </c>
      <c r="I11">
        <v>22.9</v>
      </c>
      <c r="J11">
        <v>18.600000000000001</v>
      </c>
      <c r="K11" t="s">
        <v>162</v>
      </c>
      <c r="L11" t="s">
        <v>162</v>
      </c>
      <c r="M11" t="s">
        <v>162</v>
      </c>
      <c r="N11" t="s">
        <v>162</v>
      </c>
      <c r="O11" t="s">
        <v>162</v>
      </c>
      <c r="P11" t="s">
        <v>162</v>
      </c>
      <c r="Q11" t="s">
        <v>162</v>
      </c>
      <c r="R11" t="s">
        <v>162</v>
      </c>
      <c r="S11" t="s">
        <v>98</v>
      </c>
    </row>
    <row r="12" spans="1:19" x14ac:dyDescent="0.25">
      <c r="A12" t="s">
        <v>205</v>
      </c>
      <c r="B12">
        <v>1769.1</v>
      </c>
      <c r="C12">
        <v>22.3</v>
      </c>
      <c r="D12">
        <v>16.5</v>
      </c>
      <c r="E12">
        <v>10.8</v>
      </c>
      <c r="F12">
        <v>15.5</v>
      </c>
      <c r="G12">
        <v>29</v>
      </c>
      <c r="H12">
        <v>31.5</v>
      </c>
      <c r="I12">
        <v>26.5</v>
      </c>
      <c r="J12">
        <v>12.2</v>
      </c>
      <c r="K12">
        <v>11.8</v>
      </c>
      <c r="L12">
        <v>60.6</v>
      </c>
      <c r="M12">
        <v>69</v>
      </c>
      <c r="N12">
        <v>88.5</v>
      </c>
      <c r="O12">
        <v>82.6</v>
      </c>
      <c r="P12">
        <v>75.5</v>
      </c>
      <c r="Q12">
        <v>76</v>
      </c>
      <c r="R12">
        <v>79.599999999999994</v>
      </c>
      <c r="S12" t="s">
        <v>98</v>
      </c>
    </row>
    <row r="13" spans="1:19" x14ac:dyDescent="0.25">
      <c r="A13" t="s">
        <v>206</v>
      </c>
      <c r="B13">
        <v>2922.7</v>
      </c>
      <c r="C13">
        <v>5.9</v>
      </c>
      <c r="D13">
        <v>8.9</v>
      </c>
      <c r="E13">
        <v>5.5</v>
      </c>
      <c r="F13">
        <v>4.5999999999999996</v>
      </c>
      <c r="G13">
        <v>6.9</v>
      </c>
      <c r="H13">
        <v>4.5</v>
      </c>
      <c r="I13">
        <v>2.8</v>
      </c>
      <c r="J13">
        <v>4.0999999999999996</v>
      </c>
      <c r="K13">
        <v>3.1</v>
      </c>
      <c r="L13">
        <v>2.2000000000000002</v>
      </c>
      <c r="M13">
        <v>1.3</v>
      </c>
      <c r="N13">
        <v>3.5</v>
      </c>
      <c r="O13">
        <v>3.3</v>
      </c>
      <c r="P13">
        <v>2.9</v>
      </c>
      <c r="Q13">
        <v>2.2999999999999998</v>
      </c>
      <c r="R13">
        <v>2.4</v>
      </c>
      <c r="S13" t="s">
        <v>98</v>
      </c>
    </row>
    <row r="14" spans="1:19" x14ac:dyDescent="0.25">
      <c r="A14" t="s">
        <v>209</v>
      </c>
      <c r="B14">
        <v>26.6</v>
      </c>
      <c r="C14">
        <v>0.2</v>
      </c>
      <c r="D14">
        <v>0.2</v>
      </c>
      <c r="E14">
        <v>0.2</v>
      </c>
      <c r="F14">
        <v>0.4</v>
      </c>
      <c r="G14">
        <v>0.4</v>
      </c>
      <c r="H14">
        <v>0.3</v>
      </c>
      <c r="I14">
        <v>0.2</v>
      </c>
      <c r="J14">
        <v>0.3</v>
      </c>
      <c r="K14">
        <v>0.4</v>
      </c>
      <c r="L14">
        <v>0.3</v>
      </c>
      <c r="M14">
        <v>0.3</v>
      </c>
      <c r="N14">
        <v>0.3</v>
      </c>
      <c r="O14">
        <v>0.3</v>
      </c>
      <c r="P14">
        <v>0.5</v>
      </c>
      <c r="Q14">
        <v>0.3</v>
      </c>
      <c r="R14">
        <v>0.3</v>
      </c>
      <c r="S14" t="s">
        <v>98</v>
      </c>
    </row>
    <row r="15" spans="1:19" x14ac:dyDescent="0.25">
      <c r="A15" t="s">
        <v>208</v>
      </c>
      <c r="B15">
        <v>16</v>
      </c>
      <c r="C15">
        <v>0.1</v>
      </c>
      <c r="D15">
        <v>0.2</v>
      </c>
      <c r="E15">
        <v>0.1</v>
      </c>
      <c r="F15">
        <v>0.1</v>
      </c>
      <c r="G15">
        <v>0.1</v>
      </c>
      <c r="H15">
        <v>0.1</v>
      </c>
      <c r="I15">
        <v>0.1</v>
      </c>
      <c r="J15">
        <v>0.1</v>
      </c>
      <c r="K15">
        <v>0.2</v>
      </c>
      <c r="L15">
        <v>0.1</v>
      </c>
      <c r="M15">
        <v>0.1</v>
      </c>
      <c r="N15">
        <v>0.1</v>
      </c>
      <c r="O15">
        <v>0.1</v>
      </c>
      <c r="P15">
        <v>0.5</v>
      </c>
      <c r="Q15">
        <v>0.5</v>
      </c>
      <c r="R15">
        <v>0.5</v>
      </c>
      <c r="S15" t="s">
        <v>98</v>
      </c>
    </row>
    <row r="16" spans="1:19" x14ac:dyDescent="0.25">
      <c r="A16" t="s">
        <v>210</v>
      </c>
      <c r="B16">
        <v>110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</v>
      </c>
      <c r="M16">
        <v>0</v>
      </c>
      <c r="N16" t="s">
        <v>162</v>
      </c>
      <c r="O16" t="s">
        <v>162</v>
      </c>
      <c r="P16" t="s">
        <v>162</v>
      </c>
      <c r="Q16" t="s">
        <v>162</v>
      </c>
      <c r="R16" t="s">
        <v>162</v>
      </c>
      <c r="S16" t="s">
        <v>98</v>
      </c>
    </row>
    <row r="17" spans="1:19" x14ac:dyDescent="0.25">
      <c r="A17" t="s">
        <v>207</v>
      </c>
      <c r="B17" t="s">
        <v>162</v>
      </c>
      <c r="C17" t="s">
        <v>162</v>
      </c>
      <c r="D17">
        <v>0.3</v>
      </c>
      <c r="E17">
        <v>0.3</v>
      </c>
      <c r="F17">
        <v>0.3</v>
      </c>
      <c r="G17">
        <v>1.7</v>
      </c>
      <c r="H17">
        <v>3</v>
      </c>
      <c r="I17">
        <v>5.7</v>
      </c>
      <c r="J17">
        <v>15.4</v>
      </c>
      <c r="K17">
        <v>5.4</v>
      </c>
      <c r="L17">
        <v>26.2</v>
      </c>
      <c r="M17">
        <v>39.6</v>
      </c>
      <c r="N17">
        <v>24.1</v>
      </c>
      <c r="O17">
        <v>42.7</v>
      </c>
      <c r="P17">
        <v>41.2</v>
      </c>
      <c r="Q17">
        <v>23</v>
      </c>
      <c r="R17">
        <v>32.799999999999997</v>
      </c>
      <c r="S17" t="s">
        <v>98</v>
      </c>
    </row>
    <row r="18" spans="1:19" x14ac:dyDescent="0.25">
      <c r="A18" t="s">
        <v>211</v>
      </c>
      <c r="S18" t="s">
        <v>98</v>
      </c>
    </row>
    <row r="19" spans="1:19" x14ac:dyDescent="0.25">
      <c r="A19" t="s">
        <v>212</v>
      </c>
      <c r="B19">
        <v>1</v>
      </c>
      <c r="C19">
        <v>5.8</v>
      </c>
      <c r="D19">
        <v>3.2</v>
      </c>
      <c r="E19">
        <v>1.9</v>
      </c>
      <c r="F19">
        <v>3</v>
      </c>
      <c r="G19">
        <v>3.9</v>
      </c>
      <c r="H19">
        <v>3.5</v>
      </c>
      <c r="I19" t="s">
        <v>162</v>
      </c>
      <c r="J19" t="s">
        <v>162</v>
      </c>
      <c r="K19" t="s">
        <v>162</v>
      </c>
      <c r="L19" t="s">
        <v>162</v>
      </c>
      <c r="M19" t="s">
        <v>162</v>
      </c>
      <c r="N19" t="s">
        <v>162</v>
      </c>
      <c r="O19" t="s">
        <v>162</v>
      </c>
      <c r="P19" t="s">
        <v>162</v>
      </c>
      <c r="Q19" t="s">
        <v>162</v>
      </c>
      <c r="R19" t="s">
        <v>162</v>
      </c>
      <c r="S19" t="s">
        <v>98</v>
      </c>
    </row>
    <row r="20" spans="1:19" x14ac:dyDescent="0.25">
      <c r="A20" t="s">
        <v>213</v>
      </c>
      <c r="B20">
        <v>29552.6</v>
      </c>
      <c r="C20" t="s">
        <v>162</v>
      </c>
      <c r="D20" t="s">
        <v>162</v>
      </c>
      <c r="E20" t="s">
        <v>162</v>
      </c>
      <c r="F20" t="s">
        <v>162</v>
      </c>
      <c r="G20" t="s">
        <v>162</v>
      </c>
      <c r="H20" t="s">
        <v>162</v>
      </c>
      <c r="I20" t="s">
        <v>162</v>
      </c>
      <c r="J20" t="s">
        <v>162</v>
      </c>
      <c r="K20" t="s">
        <v>162</v>
      </c>
      <c r="L20" t="s">
        <v>162</v>
      </c>
      <c r="M20" t="s">
        <v>162</v>
      </c>
      <c r="N20" t="s">
        <v>162</v>
      </c>
      <c r="O20" t="s">
        <v>162</v>
      </c>
      <c r="P20" t="s">
        <v>162</v>
      </c>
      <c r="Q20" t="s">
        <v>162</v>
      </c>
      <c r="R20" t="s">
        <v>162</v>
      </c>
      <c r="S20" t="s">
        <v>98</v>
      </c>
    </row>
    <row r="21" spans="1:19" x14ac:dyDescent="0.25">
      <c r="A21" t="s">
        <v>214</v>
      </c>
      <c r="S21" t="s">
        <v>98</v>
      </c>
    </row>
    <row r="22" spans="1:19" x14ac:dyDescent="0.25">
      <c r="A22" t="s">
        <v>99</v>
      </c>
      <c r="S22" t="s">
        <v>99</v>
      </c>
    </row>
    <row r="23" spans="1:19" x14ac:dyDescent="0.25">
      <c r="A23" t="s">
        <v>198</v>
      </c>
      <c r="B23" t="s">
        <v>257</v>
      </c>
      <c r="C23" t="s">
        <v>256</v>
      </c>
      <c r="D23" t="s">
        <v>181</v>
      </c>
      <c r="E23" t="s">
        <v>180</v>
      </c>
      <c r="F23" t="s">
        <v>179</v>
      </c>
      <c r="G23" t="s">
        <v>178</v>
      </c>
      <c r="H23" t="s">
        <v>177</v>
      </c>
      <c r="I23" t="s">
        <v>176</v>
      </c>
      <c r="J23" t="s">
        <v>175</v>
      </c>
      <c r="K23" t="s">
        <v>174</v>
      </c>
      <c r="L23" t="s">
        <v>173</v>
      </c>
      <c r="M23" t="s">
        <v>172</v>
      </c>
      <c r="N23" t="s">
        <v>171</v>
      </c>
      <c r="O23" t="s">
        <v>170</v>
      </c>
      <c r="P23" t="s">
        <v>169</v>
      </c>
      <c r="Q23" t="s">
        <v>168</v>
      </c>
      <c r="R23" t="s">
        <v>167</v>
      </c>
      <c r="S23" t="s">
        <v>99</v>
      </c>
    </row>
    <row r="24" spans="1:19" x14ac:dyDescent="0.25">
      <c r="A24" t="s">
        <v>199</v>
      </c>
      <c r="S24" t="s">
        <v>99</v>
      </c>
    </row>
    <row r="25" spans="1:19" x14ac:dyDescent="0.25">
      <c r="A25" t="s">
        <v>202</v>
      </c>
      <c r="B25">
        <v>374.6</v>
      </c>
      <c r="C25">
        <v>65.400000000000006</v>
      </c>
      <c r="D25">
        <v>73.7</v>
      </c>
      <c r="E25">
        <v>66.900000000000006</v>
      </c>
      <c r="F25">
        <v>40</v>
      </c>
      <c r="G25">
        <v>39.799999999999997</v>
      </c>
      <c r="H25">
        <v>49.2</v>
      </c>
      <c r="I25">
        <v>51</v>
      </c>
      <c r="J25">
        <v>49.2</v>
      </c>
      <c r="K25">
        <v>49.3</v>
      </c>
      <c r="L25">
        <v>52.9</v>
      </c>
      <c r="M25">
        <v>54.3</v>
      </c>
      <c r="N25">
        <v>76.2</v>
      </c>
      <c r="O25">
        <v>87.2</v>
      </c>
      <c r="P25">
        <v>83.4</v>
      </c>
      <c r="Q25">
        <v>80.900000000000006</v>
      </c>
      <c r="R25">
        <v>80.900000000000006</v>
      </c>
      <c r="S25" t="s">
        <v>99</v>
      </c>
    </row>
    <row r="26" spans="1:19" x14ac:dyDescent="0.25">
      <c r="A26" t="s">
        <v>200</v>
      </c>
      <c r="B26">
        <v>7</v>
      </c>
      <c r="C26">
        <v>63.5</v>
      </c>
      <c r="D26">
        <v>66.599999999999994</v>
      </c>
      <c r="E26">
        <v>62.1</v>
      </c>
      <c r="F26">
        <v>63.4</v>
      </c>
      <c r="G26">
        <v>60.2</v>
      </c>
      <c r="H26">
        <v>70</v>
      </c>
      <c r="I26">
        <v>71.8</v>
      </c>
      <c r="J26">
        <v>69.099999999999994</v>
      </c>
      <c r="K26">
        <v>81.8</v>
      </c>
      <c r="L26">
        <v>91.6</v>
      </c>
      <c r="M26">
        <v>84.1</v>
      </c>
      <c r="N26">
        <v>0</v>
      </c>
      <c r="O26" t="s">
        <v>162</v>
      </c>
      <c r="P26" t="s">
        <v>162</v>
      </c>
      <c r="Q26" t="s">
        <v>162</v>
      </c>
      <c r="R26" t="s">
        <v>162</v>
      </c>
      <c r="S26" t="s">
        <v>99</v>
      </c>
    </row>
    <row r="27" spans="1:19" x14ac:dyDescent="0.25">
      <c r="A27" t="s">
        <v>201</v>
      </c>
      <c r="B27">
        <v>167.9</v>
      </c>
      <c r="C27">
        <v>50.3</v>
      </c>
      <c r="D27">
        <v>50.1</v>
      </c>
      <c r="E27">
        <v>51.6</v>
      </c>
      <c r="F27">
        <v>49.7</v>
      </c>
      <c r="G27">
        <v>52.6</v>
      </c>
      <c r="H27">
        <v>48.2</v>
      </c>
      <c r="I27">
        <v>48</v>
      </c>
      <c r="J27">
        <v>46.4</v>
      </c>
      <c r="K27">
        <v>68</v>
      </c>
      <c r="L27">
        <v>62.3</v>
      </c>
      <c r="M27">
        <v>67.099999999999994</v>
      </c>
      <c r="N27">
        <v>73.2</v>
      </c>
      <c r="O27">
        <v>68.5</v>
      </c>
      <c r="P27">
        <v>64.8</v>
      </c>
      <c r="Q27">
        <v>65.8</v>
      </c>
      <c r="R27">
        <v>52.7</v>
      </c>
      <c r="S27" t="s">
        <v>99</v>
      </c>
    </row>
    <row r="28" spans="1:19" x14ac:dyDescent="0.25">
      <c r="A28" t="s">
        <v>215</v>
      </c>
      <c r="B28">
        <v>174.4</v>
      </c>
      <c r="C28">
        <v>47.2</v>
      </c>
      <c r="D28">
        <v>34.5</v>
      </c>
      <c r="E28">
        <v>43.9</v>
      </c>
      <c r="F28">
        <v>47</v>
      </c>
      <c r="G28">
        <v>47.4</v>
      </c>
      <c r="H28">
        <v>40.299999999999997</v>
      </c>
      <c r="I28">
        <v>49.1</v>
      </c>
      <c r="J28">
        <v>53.5</v>
      </c>
      <c r="K28">
        <v>34.799999999999997</v>
      </c>
      <c r="L28">
        <v>14.2</v>
      </c>
      <c r="M28">
        <v>11.4</v>
      </c>
      <c r="N28">
        <v>30.4</v>
      </c>
      <c r="O28">
        <v>5.3</v>
      </c>
      <c r="P28">
        <v>3.3</v>
      </c>
      <c r="Q28">
        <v>3.3</v>
      </c>
      <c r="R28">
        <v>2.6</v>
      </c>
      <c r="S28" t="s">
        <v>99</v>
      </c>
    </row>
    <row r="29" spans="1:19" x14ac:dyDescent="0.25">
      <c r="A29" t="s">
        <v>203</v>
      </c>
      <c r="B29">
        <v>475.1</v>
      </c>
      <c r="C29">
        <v>42.7</v>
      </c>
      <c r="D29">
        <v>41.1</v>
      </c>
      <c r="E29">
        <v>40.6</v>
      </c>
      <c r="F29">
        <v>42.7</v>
      </c>
      <c r="G29">
        <v>39.4</v>
      </c>
      <c r="H29">
        <v>40.4</v>
      </c>
      <c r="I29">
        <v>39.9</v>
      </c>
      <c r="J29">
        <v>40.6</v>
      </c>
      <c r="K29">
        <v>40.6</v>
      </c>
      <c r="L29">
        <v>40.700000000000003</v>
      </c>
      <c r="M29">
        <v>39.4</v>
      </c>
      <c r="N29">
        <v>43.1</v>
      </c>
      <c r="O29">
        <v>37</v>
      </c>
      <c r="P29">
        <v>39.5</v>
      </c>
      <c r="Q29">
        <v>37.299999999999997</v>
      </c>
      <c r="R29">
        <v>33.6</v>
      </c>
      <c r="S29" t="s">
        <v>99</v>
      </c>
    </row>
    <row r="30" spans="1:19" x14ac:dyDescent="0.25">
      <c r="A30" t="s">
        <v>216</v>
      </c>
      <c r="B30">
        <v>59</v>
      </c>
      <c r="C30">
        <v>21.6</v>
      </c>
      <c r="D30">
        <v>27</v>
      </c>
      <c r="E30">
        <v>25.4</v>
      </c>
      <c r="F30">
        <v>24.3</v>
      </c>
      <c r="G30">
        <v>26.7</v>
      </c>
      <c r="H30">
        <v>29.2</v>
      </c>
      <c r="I30">
        <v>26.7</v>
      </c>
      <c r="J30" t="s">
        <v>162</v>
      </c>
      <c r="K30" t="s">
        <v>162</v>
      </c>
      <c r="L30" t="s">
        <v>162</v>
      </c>
      <c r="M30" t="s">
        <v>162</v>
      </c>
      <c r="N30" t="s">
        <v>162</v>
      </c>
      <c r="O30" t="s">
        <v>162</v>
      </c>
      <c r="P30" t="s">
        <v>162</v>
      </c>
      <c r="Q30" t="s">
        <v>162</v>
      </c>
      <c r="R30" t="s">
        <v>162</v>
      </c>
      <c r="S30" t="s">
        <v>99</v>
      </c>
    </row>
    <row r="31" spans="1:19" x14ac:dyDescent="0.25">
      <c r="A31" t="s">
        <v>209</v>
      </c>
      <c r="B31">
        <v>460.5</v>
      </c>
      <c r="C31">
        <v>10</v>
      </c>
      <c r="D31">
        <v>9.8000000000000007</v>
      </c>
      <c r="E31">
        <v>10</v>
      </c>
      <c r="F31">
        <v>9.8000000000000007</v>
      </c>
      <c r="G31">
        <v>11</v>
      </c>
      <c r="H31">
        <v>10.7</v>
      </c>
      <c r="I31">
        <v>10.6</v>
      </c>
      <c r="J31">
        <v>10</v>
      </c>
      <c r="K31">
        <v>9.9</v>
      </c>
      <c r="L31">
        <v>10.4</v>
      </c>
      <c r="M31">
        <v>11.5</v>
      </c>
      <c r="N31">
        <v>9.6</v>
      </c>
      <c r="O31">
        <v>10.199999999999999</v>
      </c>
      <c r="P31">
        <v>9</v>
      </c>
      <c r="Q31">
        <v>11</v>
      </c>
      <c r="R31">
        <v>11.1</v>
      </c>
      <c r="S31" t="s">
        <v>99</v>
      </c>
    </row>
    <row r="32" spans="1:19" x14ac:dyDescent="0.25">
      <c r="A32" t="s">
        <v>208</v>
      </c>
      <c r="B32">
        <v>237</v>
      </c>
      <c r="C32">
        <v>5.7</v>
      </c>
      <c r="D32">
        <v>4.7</v>
      </c>
      <c r="E32">
        <v>6</v>
      </c>
      <c r="F32">
        <v>9.5</v>
      </c>
      <c r="G32">
        <v>5.3</v>
      </c>
      <c r="H32">
        <v>5.4</v>
      </c>
      <c r="I32">
        <v>7</v>
      </c>
      <c r="J32">
        <v>6.6</v>
      </c>
      <c r="K32">
        <v>4.2</v>
      </c>
      <c r="L32">
        <v>3.6</v>
      </c>
      <c r="M32">
        <v>2.8</v>
      </c>
      <c r="N32">
        <v>10.8</v>
      </c>
      <c r="O32">
        <v>6.4</v>
      </c>
      <c r="P32">
        <v>29.3</v>
      </c>
      <c r="Q32">
        <v>32.1</v>
      </c>
      <c r="R32">
        <v>24.5</v>
      </c>
      <c r="S32" t="s">
        <v>99</v>
      </c>
    </row>
    <row r="33" spans="1:19" x14ac:dyDescent="0.25">
      <c r="A33" t="s">
        <v>206</v>
      </c>
      <c r="B33">
        <v>712.6</v>
      </c>
      <c r="C33">
        <v>4.4000000000000004</v>
      </c>
      <c r="D33">
        <v>3.9</v>
      </c>
      <c r="E33">
        <v>3.2</v>
      </c>
      <c r="F33">
        <v>4.3</v>
      </c>
      <c r="G33">
        <v>5.4</v>
      </c>
      <c r="H33">
        <v>4.8</v>
      </c>
      <c r="I33">
        <v>6.6</v>
      </c>
      <c r="J33">
        <v>6.8</v>
      </c>
      <c r="K33">
        <v>10.9</v>
      </c>
      <c r="L33">
        <v>11.7</v>
      </c>
      <c r="M33">
        <v>15</v>
      </c>
      <c r="N33">
        <v>31</v>
      </c>
      <c r="O33">
        <v>31.2</v>
      </c>
      <c r="P33">
        <v>30.3</v>
      </c>
      <c r="Q33">
        <v>27.9</v>
      </c>
      <c r="R33">
        <v>37.4</v>
      </c>
      <c r="S33" t="s">
        <v>99</v>
      </c>
    </row>
    <row r="34" spans="1:19" x14ac:dyDescent="0.25">
      <c r="A34" t="s">
        <v>217</v>
      </c>
      <c r="B34">
        <v>2.9</v>
      </c>
      <c r="C34">
        <v>2</v>
      </c>
      <c r="D34">
        <v>1.5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162</v>
      </c>
      <c r="L34">
        <v>37</v>
      </c>
      <c r="M34" t="s">
        <v>162</v>
      </c>
      <c r="N34" t="s">
        <v>162</v>
      </c>
      <c r="O34" t="s">
        <v>162</v>
      </c>
      <c r="P34" t="s">
        <v>162</v>
      </c>
      <c r="Q34" t="s">
        <v>162</v>
      </c>
      <c r="R34" t="s">
        <v>162</v>
      </c>
      <c r="S34" t="s">
        <v>99</v>
      </c>
    </row>
    <row r="35" spans="1:19" x14ac:dyDescent="0.25">
      <c r="A35" t="s">
        <v>204</v>
      </c>
      <c r="B35">
        <v>2.7</v>
      </c>
      <c r="C35">
        <v>0.2</v>
      </c>
      <c r="D35">
        <v>0</v>
      </c>
      <c r="E35">
        <v>0</v>
      </c>
      <c r="F35" t="s">
        <v>162</v>
      </c>
      <c r="G35" t="s">
        <v>162</v>
      </c>
      <c r="H35" t="s">
        <v>162</v>
      </c>
      <c r="I35" t="s">
        <v>162</v>
      </c>
      <c r="J35" t="s">
        <v>162</v>
      </c>
      <c r="K35" t="s">
        <v>162</v>
      </c>
      <c r="L35" t="s">
        <v>162</v>
      </c>
      <c r="M35" t="s">
        <v>162</v>
      </c>
      <c r="N35" t="s">
        <v>162</v>
      </c>
      <c r="O35" t="s">
        <v>162</v>
      </c>
      <c r="P35" t="s">
        <v>162</v>
      </c>
      <c r="Q35" t="s">
        <v>162</v>
      </c>
      <c r="R35" t="s">
        <v>162</v>
      </c>
      <c r="S35" t="s">
        <v>99</v>
      </c>
    </row>
    <row r="36" spans="1:19" x14ac:dyDescent="0.25">
      <c r="A36" t="s">
        <v>166</v>
      </c>
      <c r="B36" t="s">
        <v>162</v>
      </c>
      <c r="C36" t="s">
        <v>162</v>
      </c>
      <c r="D36" t="s">
        <v>162</v>
      </c>
      <c r="E36" t="s">
        <v>162</v>
      </c>
      <c r="F36" t="s">
        <v>162</v>
      </c>
      <c r="G36" t="s">
        <v>162</v>
      </c>
      <c r="H36" t="s">
        <v>162</v>
      </c>
      <c r="I36" t="s">
        <v>162</v>
      </c>
      <c r="J36">
        <v>31.8</v>
      </c>
      <c r="K36">
        <v>30.1</v>
      </c>
      <c r="L36">
        <v>28.9</v>
      </c>
      <c r="M36">
        <v>28.7</v>
      </c>
      <c r="N36">
        <v>20.100000000000001</v>
      </c>
      <c r="O36">
        <v>19.2</v>
      </c>
      <c r="P36">
        <v>19.399999999999999</v>
      </c>
      <c r="Q36">
        <v>13.8</v>
      </c>
      <c r="R36">
        <v>0.1</v>
      </c>
      <c r="S36" t="s">
        <v>99</v>
      </c>
    </row>
    <row r="37" spans="1:19" x14ac:dyDescent="0.25">
      <c r="A37" t="s">
        <v>211</v>
      </c>
      <c r="S37" t="s">
        <v>99</v>
      </c>
    </row>
    <row r="38" spans="1:19" x14ac:dyDescent="0.25">
      <c r="A38" t="s">
        <v>212</v>
      </c>
      <c r="B38">
        <v>91.7</v>
      </c>
      <c r="C38">
        <v>0.4</v>
      </c>
      <c r="D38">
        <v>0.1</v>
      </c>
      <c r="E38">
        <v>0.1</v>
      </c>
      <c r="F38">
        <v>0.1</v>
      </c>
      <c r="G38">
        <v>0.1</v>
      </c>
      <c r="H38">
        <v>0.1</v>
      </c>
      <c r="I38">
        <v>0.1</v>
      </c>
      <c r="J38">
        <v>0.1</v>
      </c>
      <c r="K38">
        <v>0.2</v>
      </c>
      <c r="L38">
        <v>0.2</v>
      </c>
      <c r="M38">
        <v>0.3</v>
      </c>
      <c r="N38" t="s">
        <v>162</v>
      </c>
      <c r="O38" t="s">
        <v>162</v>
      </c>
      <c r="P38" t="s">
        <v>162</v>
      </c>
      <c r="Q38" t="s">
        <v>162</v>
      </c>
      <c r="R38" t="s">
        <v>162</v>
      </c>
      <c r="S38" t="s">
        <v>99</v>
      </c>
    </row>
    <row r="39" spans="1:19" x14ac:dyDescent="0.25">
      <c r="A39" t="s">
        <v>213</v>
      </c>
      <c r="B39">
        <v>2816.4</v>
      </c>
      <c r="C39" t="s">
        <v>162</v>
      </c>
      <c r="D39" t="s">
        <v>162</v>
      </c>
      <c r="E39" t="s">
        <v>162</v>
      </c>
      <c r="F39" t="s">
        <v>162</v>
      </c>
      <c r="G39" t="s">
        <v>162</v>
      </c>
      <c r="H39" t="s">
        <v>162</v>
      </c>
      <c r="I39" t="s">
        <v>162</v>
      </c>
      <c r="J39" t="s">
        <v>162</v>
      </c>
      <c r="K39" t="s">
        <v>162</v>
      </c>
      <c r="L39" t="s">
        <v>162</v>
      </c>
      <c r="M39" t="s">
        <v>162</v>
      </c>
      <c r="N39" t="s">
        <v>162</v>
      </c>
      <c r="O39" t="s">
        <v>162</v>
      </c>
      <c r="P39" t="s">
        <v>162</v>
      </c>
      <c r="Q39" t="s">
        <v>162</v>
      </c>
      <c r="R39" t="s">
        <v>162</v>
      </c>
      <c r="S39" t="s">
        <v>99</v>
      </c>
    </row>
    <row r="40" spans="1:19" x14ac:dyDescent="0.25">
      <c r="A40" t="s">
        <v>214</v>
      </c>
      <c r="S40" t="s">
        <v>99</v>
      </c>
    </row>
    <row r="41" spans="1:19" x14ac:dyDescent="0.25">
      <c r="A41" t="s">
        <v>42</v>
      </c>
      <c r="S41" t="s">
        <v>42</v>
      </c>
    </row>
    <row r="42" spans="1:19" x14ac:dyDescent="0.25">
      <c r="A42" t="s">
        <v>198</v>
      </c>
      <c r="B42" t="s">
        <v>257</v>
      </c>
      <c r="C42" t="s">
        <v>256</v>
      </c>
      <c r="D42" t="s">
        <v>181</v>
      </c>
      <c r="E42" t="s">
        <v>180</v>
      </c>
      <c r="F42" t="s">
        <v>179</v>
      </c>
      <c r="G42" t="s">
        <v>178</v>
      </c>
      <c r="H42" t="s">
        <v>177</v>
      </c>
      <c r="I42" t="s">
        <v>176</v>
      </c>
      <c r="J42" t="s">
        <v>175</v>
      </c>
      <c r="K42" t="s">
        <v>174</v>
      </c>
      <c r="L42" t="s">
        <v>173</v>
      </c>
      <c r="M42" t="s">
        <v>172</v>
      </c>
      <c r="N42" t="s">
        <v>171</v>
      </c>
      <c r="O42" t="s">
        <v>170</v>
      </c>
      <c r="P42" t="s">
        <v>169</v>
      </c>
      <c r="Q42" t="s">
        <v>168</v>
      </c>
      <c r="R42" t="s">
        <v>167</v>
      </c>
      <c r="S42" t="s">
        <v>42</v>
      </c>
    </row>
    <row r="43" spans="1:19" x14ac:dyDescent="0.25">
      <c r="A43" t="s">
        <v>199</v>
      </c>
      <c r="S43" t="s">
        <v>42</v>
      </c>
    </row>
    <row r="44" spans="1:19" x14ac:dyDescent="0.25">
      <c r="A44" t="s">
        <v>163</v>
      </c>
      <c r="B44">
        <v>3937</v>
      </c>
      <c r="C44">
        <v>91.4</v>
      </c>
      <c r="D44">
        <v>92.6</v>
      </c>
      <c r="E44">
        <v>91.7</v>
      </c>
      <c r="F44">
        <v>91.2</v>
      </c>
      <c r="G44">
        <v>92.6</v>
      </c>
      <c r="H44">
        <v>90.2</v>
      </c>
      <c r="I44">
        <v>93.8</v>
      </c>
      <c r="J44">
        <v>93.6</v>
      </c>
      <c r="K44">
        <v>94.3</v>
      </c>
      <c r="L44">
        <v>93.7</v>
      </c>
      <c r="M44">
        <v>91.1</v>
      </c>
      <c r="N44">
        <v>92.3</v>
      </c>
      <c r="O44">
        <v>90.7</v>
      </c>
      <c r="P44">
        <v>90.5</v>
      </c>
      <c r="Q44">
        <v>88.8</v>
      </c>
      <c r="R44">
        <v>84.5</v>
      </c>
      <c r="S44" t="s">
        <v>42</v>
      </c>
    </row>
    <row r="45" spans="1:19" x14ac:dyDescent="0.25">
      <c r="A45" t="s">
        <v>165</v>
      </c>
      <c r="B45">
        <v>24.7</v>
      </c>
      <c r="C45">
        <v>81.099999999999994</v>
      </c>
      <c r="D45">
        <v>85.8</v>
      </c>
      <c r="E45">
        <v>88.2</v>
      </c>
      <c r="F45">
        <v>92.8</v>
      </c>
      <c r="G45">
        <v>92.5</v>
      </c>
      <c r="H45">
        <v>84.2</v>
      </c>
      <c r="I45">
        <v>61.8</v>
      </c>
      <c r="J45">
        <v>81.400000000000006</v>
      </c>
      <c r="K45">
        <v>82</v>
      </c>
      <c r="L45">
        <v>78.599999999999994</v>
      </c>
      <c r="M45">
        <v>42.8</v>
      </c>
      <c r="N45">
        <v>79.7</v>
      </c>
      <c r="O45">
        <v>64.3</v>
      </c>
      <c r="P45">
        <v>63.1</v>
      </c>
      <c r="Q45">
        <v>57.6</v>
      </c>
      <c r="R45">
        <v>49</v>
      </c>
      <c r="S45" t="s">
        <v>42</v>
      </c>
    </row>
    <row r="46" spans="1:19" x14ac:dyDescent="0.25">
      <c r="A46" t="s">
        <v>200</v>
      </c>
      <c r="B46">
        <v>3.2</v>
      </c>
      <c r="C46">
        <v>62.7</v>
      </c>
      <c r="D46">
        <v>66.400000000000006</v>
      </c>
      <c r="E46">
        <v>69.5</v>
      </c>
      <c r="F46">
        <v>76.900000000000006</v>
      </c>
      <c r="G46">
        <v>58.3</v>
      </c>
      <c r="H46">
        <v>71.099999999999994</v>
      </c>
      <c r="I46">
        <v>73.7</v>
      </c>
      <c r="J46">
        <v>72.599999999999994</v>
      </c>
      <c r="K46">
        <v>69.3</v>
      </c>
      <c r="L46">
        <v>69.7</v>
      </c>
      <c r="M46">
        <v>78.900000000000006</v>
      </c>
      <c r="N46">
        <v>70.8</v>
      </c>
      <c r="O46">
        <v>70.599999999999994</v>
      </c>
      <c r="P46">
        <v>69.599999999999994</v>
      </c>
      <c r="Q46">
        <v>52.2</v>
      </c>
      <c r="R46">
        <v>54.1</v>
      </c>
      <c r="S46" t="s">
        <v>42</v>
      </c>
    </row>
    <row r="47" spans="1:19" x14ac:dyDescent="0.25">
      <c r="A47" t="s">
        <v>202</v>
      </c>
      <c r="B47">
        <v>10181.6</v>
      </c>
      <c r="C47">
        <v>53.4</v>
      </c>
      <c r="D47">
        <v>46</v>
      </c>
      <c r="E47">
        <v>50.5</v>
      </c>
      <c r="F47">
        <v>51.5</v>
      </c>
      <c r="G47">
        <v>47</v>
      </c>
      <c r="H47">
        <v>38.1</v>
      </c>
      <c r="I47">
        <v>31</v>
      </c>
      <c r="J47">
        <v>36.1</v>
      </c>
      <c r="K47">
        <v>37.200000000000003</v>
      </c>
      <c r="L47">
        <v>29.8</v>
      </c>
      <c r="M47">
        <v>33.299999999999997</v>
      </c>
      <c r="N47">
        <v>32.5</v>
      </c>
      <c r="O47">
        <v>25.4</v>
      </c>
      <c r="P47">
        <v>32.9</v>
      </c>
      <c r="Q47">
        <v>38.299999999999997</v>
      </c>
      <c r="R47">
        <v>43.3</v>
      </c>
      <c r="S47" t="s">
        <v>42</v>
      </c>
    </row>
    <row r="48" spans="1:19" x14ac:dyDescent="0.25">
      <c r="A48" t="s">
        <v>201</v>
      </c>
      <c r="B48">
        <v>2939</v>
      </c>
      <c r="C48">
        <v>48.9</v>
      </c>
      <c r="D48">
        <v>52.9</v>
      </c>
      <c r="E48">
        <v>57</v>
      </c>
      <c r="F48">
        <v>48.4</v>
      </c>
      <c r="G48">
        <v>51.6</v>
      </c>
      <c r="H48">
        <v>63.2</v>
      </c>
      <c r="I48">
        <v>62.5</v>
      </c>
      <c r="J48">
        <v>60.3</v>
      </c>
      <c r="K48">
        <v>68.5</v>
      </c>
      <c r="L48">
        <v>79.5</v>
      </c>
      <c r="M48">
        <v>81</v>
      </c>
      <c r="N48">
        <v>75.2</v>
      </c>
      <c r="O48">
        <v>80.3</v>
      </c>
      <c r="P48">
        <v>80.5</v>
      </c>
      <c r="Q48">
        <v>78.2</v>
      </c>
      <c r="R48">
        <v>86</v>
      </c>
      <c r="S48" t="s">
        <v>42</v>
      </c>
    </row>
    <row r="49" spans="1:19" x14ac:dyDescent="0.25">
      <c r="A49" t="s">
        <v>215</v>
      </c>
      <c r="B49">
        <v>183.6</v>
      </c>
      <c r="C49">
        <v>37</v>
      </c>
      <c r="D49">
        <v>24.3</v>
      </c>
      <c r="E49">
        <v>23.6</v>
      </c>
      <c r="F49">
        <v>32.5</v>
      </c>
      <c r="G49">
        <v>0</v>
      </c>
      <c r="H49">
        <v>0.1</v>
      </c>
      <c r="I49">
        <v>0.2</v>
      </c>
      <c r="J49">
        <v>0.2</v>
      </c>
      <c r="K49">
        <v>0.2</v>
      </c>
      <c r="L49">
        <v>0.2</v>
      </c>
      <c r="M49">
        <v>0.3</v>
      </c>
      <c r="N49">
        <v>24.7</v>
      </c>
      <c r="O49">
        <v>32.6</v>
      </c>
      <c r="P49">
        <v>31.5</v>
      </c>
      <c r="Q49">
        <v>32</v>
      </c>
      <c r="R49">
        <v>30.4</v>
      </c>
      <c r="S49" t="s">
        <v>42</v>
      </c>
    </row>
    <row r="50" spans="1:19" x14ac:dyDescent="0.25">
      <c r="A50" t="s">
        <v>218</v>
      </c>
      <c r="B50">
        <v>295.60000000000002</v>
      </c>
      <c r="C50">
        <v>29.9</v>
      </c>
      <c r="D50">
        <v>26.9</v>
      </c>
      <c r="E50">
        <v>26.8</v>
      </c>
      <c r="F50">
        <v>29.9</v>
      </c>
      <c r="G50">
        <v>30.6</v>
      </c>
      <c r="H50">
        <v>30</v>
      </c>
      <c r="I50">
        <v>28</v>
      </c>
      <c r="J50">
        <v>24.8</v>
      </c>
      <c r="K50">
        <v>27.8</v>
      </c>
      <c r="L50">
        <v>23.3</v>
      </c>
      <c r="M50">
        <v>10.199999999999999</v>
      </c>
      <c r="N50">
        <v>0</v>
      </c>
      <c r="O50">
        <v>0</v>
      </c>
      <c r="P50">
        <v>10.5</v>
      </c>
      <c r="Q50">
        <v>6</v>
      </c>
      <c r="R50">
        <v>8.8000000000000007</v>
      </c>
      <c r="S50" t="s">
        <v>42</v>
      </c>
    </row>
    <row r="51" spans="1:19" x14ac:dyDescent="0.25">
      <c r="A51" t="s">
        <v>204</v>
      </c>
      <c r="B51">
        <v>2734.9</v>
      </c>
      <c r="C51">
        <v>27.2</v>
      </c>
      <c r="D51">
        <v>28.2</v>
      </c>
      <c r="E51">
        <v>28.7</v>
      </c>
      <c r="F51">
        <v>28.5</v>
      </c>
      <c r="G51">
        <v>28.2</v>
      </c>
      <c r="H51">
        <v>28.5</v>
      </c>
      <c r="I51">
        <v>28.9</v>
      </c>
      <c r="J51">
        <v>27.8</v>
      </c>
      <c r="K51">
        <v>27.2</v>
      </c>
      <c r="L51">
        <v>27.7</v>
      </c>
      <c r="M51">
        <v>30.7</v>
      </c>
      <c r="N51">
        <v>20.8</v>
      </c>
      <c r="O51">
        <v>16.7</v>
      </c>
      <c r="P51">
        <v>8.1999999999999993</v>
      </c>
      <c r="Q51">
        <v>12.5</v>
      </c>
      <c r="R51">
        <v>19.899999999999999</v>
      </c>
      <c r="S51" t="s">
        <v>42</v>
      </c>
    </row>
    <row r="52" spans="1:19" x14ac:dyDescent="0.25">
      <c r="A52" t="s">
        <v>216</v>
      </c>
      <c r="B52">
        <v>757</v>
      </c>
      <c r="C52">
        <v>26</v>
      </c>
      <c r="D52">
        <v>28.9</v>
      </c>
      <c r="E52">
        <v>29.6</v>
      </c>
      <c r="F52">
        <v>22.7</v>
      </c>
      <c r="G52">
        <v>23.7</v>
      </c>
      <c r="H52">
        <v>22.6</v>
      </c>
      <c r="I52">
        <v>24.3</v>
      </c>
      <c r="J52" t="s">
        <v>162</v>
      </c>
      <c r="K52" t="s">
        <v>162</v>
      </c>
      <c r="L52" t="s">
        <v>162</v>
      </c>
      <c r="M52" t="s">
        <v>162</v>
      </c>
      <c r="N52" t="s">
        <v>162</v>
      </c>
      <c r="O52" t="s">
        <v>162</v>
      </c>
      <c r="P52" t="s">
        <v>162</v>
      </c>
      <c r="Q52" t="s">
        <v>162</v>
      </c>
      <c r="R52" t="s">
        <v>162</v>
      </c>
      <c r="S52" t="s">
        <v>42</v>
      </c>
    </row>
    <row r="53" spans="1:19" x14ac:dyDescent="0.25">
      <c r="A53" t="s">
        <v>203</v>
      </c>
      <c r="B53">
        <v>2721.9</v>
      </c>
      <c r="C53">
        <v>24.9</v>
      </c>
      <c r="D53">
        <v>22.2</v>
      </c>
      <c r="E53">
        <v>25.1</v>
      </c>
      <c r="F53">
        <v>26.9</v>
      </c>
      <c r="G53">
        <v>26</v>
      </c>
      <c r="H53">
        <v>29.3</v>
      </c>
      <c r="I53">
        <v>28.7</v>
      </c>
      <c r="J53">
        <v>30</v>
      </c>
      <c r="K53">
        <v>27.4</v>
      </c>
      <c r="L53">
        <v>25.7</v>
      </c>
      <c r="M53">
        <v>24.8</v>
      </c>
      <c r="N53">
        <v>28.1</v>
      </c>
      <c r="O53">
        <v>38.5</v>
      </c>
      <c r="P53">
        <v>27.8</v>
      </c>
      <c r="Q53">
        <v>27</v>
      </c>
      <c r="R53">
        <v>30.5</v>
      </c>
      <c r="S53" t="s">
        <v>42</v>
      </c>
    </row>
    <row r="54" spans="1:19" x14ac:dyDescent="0.25">
      <c r="A54" t="s">
        <v>205</v>
      </c>
      <c r="B54">
        <v>914</v>
      </c>
      <c r="C54">
        <v>20.399999999999999</v>
      </c>
      <c r="D54">
        <v>17.2</v>
      </c>
      <c r="E54">
        <v>15.9</v>
      </c>
      <c r="F54">
        <v>28.5</v>
      </c>
      <c r="G54">
        <v>28.8</v>
      </c>
      <c r="H54">
        <v>24</v>
      </c>
      <c r="I54">
        <v>12.1</v>
      </c>
      <c r="J54">
        <v>11.1</v>
      </c>
      <c r="K54">
        <v>7.2</v>
      </c>
      <c r="L54">
        <v>5.9</v>
      </c>
      <c r="M54">
        <v>6.4</v>
      </c>
      <c r="N54">
        <v>4.9000000000000004</v>
      </c>
      <c r="O54">
        <v>5.9</v>
      </c>
      <c r="P54">
        <v>5</v>
      </c>
      <c r="Q54">
        <v>7.3</v>
      </c>
      <c r="R54">
        <v>6.6</v>
      </c>
      <c r="S54" t="s">
        <v>42</v>
      </c>
    </row>
    <row r="55" spans="1:19" x14ac:dyDescent="0.25">
      <c r="A55" t="s">
        <v>206</v>
      </c>
      <c r="B55">
        <v>3061.8</v>
      </c>
      <c r="C55">
        <v>8.8000000000000007</v>
      </c>
      <c r="D55">
        <v>7.6</v>
      </c>
      <c r="E55">
        <v>6.9</v>
      </c>
      <c r="F55">
        <v>8.9</v>
      </c>
      <c r="G55">
        <v>7.8</v>
      </c>
      <c r="H55">
        <v>4.7</v>
      </c>
      <c r="I55">
        <v>4.3</v>
      </c>
      <c r="J55">
        <v>3.1</v>
      </c>
      <c r="K55">
        <v>2.2999999999999998</v>
      </c>
      <c r="L55">
        <v>2.2999999999999998</v>
      </c>
      <c r="M55">
        <v>2.9</v>
      </c>
      <c r="N55">
        <v>3.3</v>
      </c>
      <c r="O55">
        <v>2.1</v>
      </c>
      <c r="P55">
        <v>2.1</v>
      </c>
      <c r="Q55">
        <v>2.5</v>
      </c>
      <c r="R55">
        <v>2.7</v>
      </c>
      <c r="S55" t="s">
        <v>42</v>
      </c>
    </row>
    <row r="56" spans="1:19" x14ac:dyDescent="0.25">
      <c r="A56" t="s">
        <v>208</v>
      </c>
      <c r="B56">
        <v>86</v>
      </c>
      <c r="C56">
        <v>8.6999999999999993</v>
      </c>
      <c r="D56">
        <v>7.1</v>
      </c>
      <c r="E56">
        <v>5.9</v>
      </c>
      <c r="F56">
        <v>6.3</v>
      </c>
      <c r="G56">
        <v>5.5</v>
      </c>
      <c r="H56">
        <v>6.3</v>
      </c>
      <c r="I56">
        <v>5.6</v>
      </c>
      <c r="J56">
        <v>5.8</v>
      </c>
      <c r="K56">
        <v>2</v>
      </c>
      <c r="L56">
        <v>5.9</v>
      </c>
      <c r="M56">
        <v>4</v>
      </c>
      <c r="N56">
        <v>5.6</v>
      </c>
      <c r="O56">
        <v>6.5</v>
      </c>
      <c r="P56">
        <v>3.4</v>
      </c>
      <c r="Q56">
        <v>2.4</v>
      </c>
      <c r="R56">
        <v>1.8</v>
      </c>
      <c r="S56" t="s">
        <v>42</v>
      </c>
    </row>
    <row r="57" spans="1:19" x14ac:dyDescent="0.25">
      <c r="A57" t="s">
        <v>219</v>
      </c>
      <c r="B57">
        <v>181</v>
      </c>
      <c r="C57">
        <v>1.8</v>
      </c>
      <c r="D57">
        <v>3.4</v>
      </c>
      <c r="E57" t="s">
        <v>162</v>
      </c>
      <c r="F57" t="s">
        <v>162</v>
      </c>
      <c r="G57" t="s">
        <v>162</v>
      </c>
      <c r="H57" t="s">
        <v>162</v>
      </c>
      <c r="I57" t="s">
        <v>162</v>
      </c>
      <c r="J57" t="s">
        <v>162</v>
      </c>
      <c r="K57" t="s">
        <v>162</v>
      </c>
      <c r="L57" t="s">
        <v>162</v>
      </c>
      <c r="M57" t="s">
        <v>162</v>
      </c>
      <c r="N57" t="s">
        <v>162</v>
      </c>
      <c r="O57" t="s">
        <v>162</v>
      </c>
      <c r="P57" t="s">
        <v>162</v>
      </c>
      <c r="Q57" t="s">
        <v>162</v>
      </c>
      <c r="R57" t="s">
        <v>162</v>
      </c>
      <c r="S57" t="s">
        <v>42</v>
      </c>
    </row>
    <row r="58" spans="1:19" x14ac:dyDescent="0.25">
      <c r="A58" t="s">
        <v>209</v>
      </c>
      <c r="B58">
        <v>1.5</v>
      </c>
      <c r="C58">
        <v>0.4</v>
      </c>
      <c r="D58">
        <v>0.2</v>
      </c>
      <c r="E58">
        <v>0.1</v>
      </c>
      <c r="F58">
        <v>0.1</v>
      </c>
      <c r="G58">
        <v>0</v>
      </c>
      <c r="H58">
        <v>0.1</v>
      </c>
      <c r="I58">
        <v>0.1</v>
      </c>
      <c r="J58">
        <v>0.1</v>
      </c>
      <c r="K58">
        <v>0.1</v>
      </c>
      <c r="L58">
        <v>0.1</v>
      </c>
      <c r="M58">
        <v>0.1</v>
      </c>
      <c r="N58">
        <v>0.2</v>
      </c>
      <c r="O58">
        <v>0.5</v>
      </c>
      <c r="P58">
        <v>0.6</v>
      </c>
      <c r="Q58">
        <v>0.7</v>
      </c>
      <c r="R58">
        <v>0.6</v>
      </c>
      <c r="S58" t="s">
        <v>42</v>
      </c>
    </row>
    <row r="59" spans="1:19" x14ac:dyDescent="0.25">
      <c r="A59" t="s">
        <v>166</v>
      </c>
      <c r="B59" t="s">
        <v>162</v>
      </c>
      <c r="C59" t="s">
        <v>162</v>
      </c>
      <c r="D59" t="s">
        <v>162</v>
      </c>
      <c r="E59" t="s">
        <v>162</v>
      </c>
      <c r="F59" t="s">
        <v>162</v>
      </c>
      <c r="G59" t="s">
        <v>162</v>
      </c>
      <c r="H59" t="s">
        <v>162</v>
      </c>
      <c r="I59" t="s">
        <v>162</v>
      </c>
      <c r="J59">
        <v>23.1</v>
      </c>
      <c r="K59">
        <v>20.7</v>
      </c>
      <c r="L59">
        <v>22.5</v>
      </c>
      <c r="M59">
        <v>21.6</v>
      </c>
      <c r="N59">
        <v>25.1</v>
      </c>
      <c r="O59">
        <v>22.2</v>
      </c>
      <c r="P59">
        <v>21.5</v>
      </c>
      <c r="Q59">
        <v>16</v>
      </c>
      <c r="R59" t="s">
        <v>162</v>
      </c>
      <c r="S59" t="s">
        <v>42</v>
      </c>
    </row>
    <row r="60" spans="1:19" x14ac:dyDescent="0.25">
      <c r="A60" t="s">
        <v>211</v>
      </c>
      <c r="S60" t="s">
        <v>42</v>
      </c>
    </row>
    <row r="61" spans="1:19" x14ac:dyDescent="0.25">
      <c r="A61" t="s">
        <v>220</v>
      </c>
      <c r="B61">
        <v>216.3</v>
      </c>
      <c r="C61">
        <v>13</v>
      </c>
      <c r="D61">
        <v>10</v>
      </c>
      <c r="E61">
        <v>13.1</v>
      </c>
      <c r="F61">
        <v>11.2</v>
      </c>
      <c r="G61">
        <v>6.9</v>
      </c>
      <c r="H61">
        <v>13.8</v>
      </c>
      <c r="I61">
        <v>13</v>
      </c>
      <c r="J61">
        <v>12.3</v>
      </c>
      <c r="K61">
        <v>9.4</v>
      </c>
      <c r="L61">
        <v>14.6</v>
      </c>
      <c r="M61">
        <v>7.8</v>
      </c>
      <c r="N61" t="s">
        <v>162</v>
      </c>
      <c r="O61" t="s">
        <v>162</v>
      </c>
      <c r="P61" t="s">
        <v>162</v>
      </c>
      <c r="Q61" t="s">
        <v>162</v>
      </c>
      <c r="R61" t="s">
        <v>162</v>
      </c>
      <c r="S61" t="s">
        <v>42</v>
      </c>
    </row>
    <row r="62" spans="1:19" x14ac:dyDescent="0.25">
      <c r="A62" t="s">
        <v>212</v>
      </c>
      <c r="B62">
        <v>420.5</v>
      </c>
      <c r="C62">
        <v>5.5</v>
      </c>
      <c r="D62">
        <v>6.6</v>
      </c>
      <c r="E62">
        <v>6.6</v>
      </c>
      <c r="F62">
        <v>8.1</v>
      </c>
      <c r="G62">
        <v>6.4</v>
      </c>
      <c r="H62">
        <v>7.1</v>
      </c>
      <c r="I62">
        <v>1</v>
      </c>
      <c r="J62" t="s">
        <v>162</v>
      </c>
      <c r="K62" t="s">
        <v>162</v>
      </c>
      <c r="L62" t="s">
        <v>162</v>
      </c>
      <c r="M62" t="s">
        <v>162</v>
      </c>
      <c r="N62" t="s">
        <v>162</v>
      </c>
      <c r="O62" t="s">
        <v>162</v>
      </c>
      <c r="P62" t="s">
        <v>162</v>
      </c>
      <c r="Q62" t="s">
        <v>162</v>
      </c>
      <c r="R62" t="s">
        <v>162</v>
      </c>
      <c r="S62" t="s">
        <v>42</v>
      </c>
    </row>
    <row r="63" spans="1:19" x14ac:dyDescent="0.25">
      <c r="A63" t="s">
        <v>213</v>
      </c>
      <c r="B63">
        <v>28659.599999999999</v>
      </c>
      <c r="C63" t="s">
        <v>162</v>
      </c>
      <c r="D63" t="s">
        <v>162</v>
      </c>
      <c r="E63" t="s">
        <v>162</v>
      </c>
      <c r="F63" t="s">
        <v>162</v>
      </c>
      <c r="G63" t="s">
        <v>162</v>
      </c>
      <c r="H63" t="s">
        <v>162</v>
      </c>
      <c r="I63" t="s">
        <v>162</v>
      </c>
      <c r="J63" t="s">
        <v>162</v>
      </c>
      <c r="K63" t="s">
        <v>162</v>
      </c>
      <c r="L63" t="s">
        <v>162</v>
      </c>
      <c r="M63" t="s">
        <v>162</v>
      </c>
      <c r="N63" t="s">
        <v>162</v>
      </c>
      <c r="O63" t="s">
        <v>162</v>
      </c>
      <c r="P63" t="s">
        <v>162</v>
      </c>
      <c r="Q63" t="s">
        <v>162</v>
      </c>
      <c r="R63" t="s">
        <v>162</v>
      </c>
      <c r="S63" t="s">
        <v>42</v>
      </c>
    </row>
    <row r="64" spans="1:19" x14ac:dyDescent="0.25">
      <c r="A64" t="s">
        <v>214</v>
      </c>
      <c r="S64" t="s">
        <v>42</v>
      </c>
    </row>
    <row r="65" spans="1:19" x14ac:dyDescent="0.25">
      <c r="A65" t="s">
        <v>100</v>
      </c>
      <c r="S65" t="s">
        <v>100</v>
      </c>
    </row>
    <row r="66" spans="1:19" x14ac:dyDescent="0.25">
      <c r="A66" t="s">
        <v>198</v>
      </c>
      <c r="B66" t="s">
        <v>257</v>
      </c>
      <c r="C66" t="s">
        <v>256</v>
      </c>
      <c r="D66" t="s">
        <v>181</v>
      </c>
      <c r="E66" t="s">
        <v>180</v>
      </c>
      <c r="F66" t="s">
        <v>179</v>
      </c>
      <c r="G66" t="s">
        <v>178</v>
      </c>
      <c r="H66" t="s">
        <v>177</v>
      </c>
      <c r="I66" t="s">
        <v>176</v>
      </c>
      <c r="J66" t="s">
        <v>175</v>
      </c>
      <c r="K66" t="s">
        <v>174</v>
      </c>
      <c r="L66" t="s">
        <v>173</v>
      </c>
      <c r="M66" t="s">
        <v>172</v>
      </c>
      <c r="N66" t="s">
        <v>171</v>
      </c>
      <c r="O66" t="s">
        <v>170</v>
      </c>
      <c r="P66" t="s">
        <v>169</v>
      </c>
      <c r="Q66" t="s">
        <v>168</v>
      </c>
      <c r="R66" t="s">
        <v>167</v>
      </c>
      <c r="S66" t="s">
        <v>100</v>
      </c>
    </row>
    <row r="67" spans="1:19" x14ac:dyDescent="0.25">
      <c r="A67" t="s">
        <v>199</v>
      </c>
      <c r="S67" t="s">
        <v>100</v>
      </c>
    </row>
    <row r="68" spans="1:19" x14ac:dyDescent="0.25">
      <c r="A68" t="s">
        <v>163</v>
      </c>
      <c r="B68">
        <v>1825</v>
      </c>
      <c r="C68">
        <v>93.7</v>
      </c>
      <c r="D68">
        <v>89.7</v>
      </c>
      <c r="E68">
        <v>85.1</v>
      </c>
      <c r="F68">
        <v>94.3</v>
      </c>
      <c r="G68">
        <v>85.3</v>
      </c>
      <c r="H68">
        <v>79.900000000000006</v>
      </c>
      <c r="I68">
        <v>79.7</v>
      </c>
      <c r="J68">
        <v>84.1</v>
      </c>
      <c r="K68">
        <v>87.4</v>
      </c>
      <c r="L68">
        <v>90.9</v>
      </c>
      <c r="M68">
        <v>75</v>
      </c>
      <c r="N68">
        <v>96.5</v>
      </c>
      <c r="O68">
        <v>88.9</v>
      </c>
      <c r="P68">
        <v>93.5</v>
      </c>
      <c r="Q68">
        <v>94.4</v>
      </c>
      <c r="R68">
        <v>87.7</v>
      </c>
      <c r="S68" t="s">
        <v>100</v>
      </c>
    </row>
    <row r="69" spans="1:19" x14ac:dyDescent="0.25">
      <c r="A69" t="s">
        <v>202</v>
      </c>
      <c r="B69">
        <v>4605.3</v>
      </c>
      <c r="C69">
        <v>63.5</v>
      </c>
      <c r="D69">
        <v>62.3</v>
      </c>
      <c r="E69">
        <v>49.5</v>
      </c>
      <c r="F69">
        <v>43.1</v>
      </c>
      <c r="G69">
        <v>51.9</v>
      </c>
      <c r="H69">
        <v>48.9</v>
      </c>
      <c r="I69">
        <v>41.7</v>
      </c>
      <c r="J69">
        <v>42.4</v>
      </c>
      <c r="K69">
        <v>34.700000000000003</v>
      </c>
      <c r="L69">
        <v>22.5</v>
      </c>
      <c r="M69">
        <v>27.4</v>
      </c>
      <c r="N69">
        <v>37.9</v>
      </c>
      <c r="O69">
        <v>26.6</v>
      </c>
      <c r="P69">
        <v>26.2</v>
      </c>
      <c r="Q69">
        <v>23.6</v>
      </c>
      <c r="R69">
        <v>16.8</v>
      </c>
      <c r="S69" t="s">
        <v>100</v>
      </c>
    </row>
    <row r="70" spans="1:19" x14ac:dyDescent="0.25">
      <c r="A70" t="s">
        <v>200</v>
      </c>
      <c r="B70">
        <v>6.9</v>
      </c>
      <c r="C70">
        <v>55.3</v>
      </c>
      <c r="D70">
        <v>52.6</v>
      </c>
      <c r="E70">
        <v>52.6</v>
      </c>
      <c r="F70">
        <v>50.6</v>
      </c>
      <c r="G70">
        <v>58.8</v>
      </c>
      <c r="H70">
        <v>49.5</v>
      </c>
      <c r="I70">
        <v>66.3</v>
      </c>
      <c r="J70">
        <v>71.5</v>
      </c>
      <c r="K70">
        <v>57.6</v>
      </c>
      <c r="L70">
        <v>85.1</v>
      </c>
      <c r="M70">
        <v>86</v>
      </c>
      <c r="N70">
        <v>55.3</v>
      </c>
      <c r="O70">
        <v>66.8</v>
      </c>
      <c r="P70">
        <v>56.1</v>
      </c>
      <c r="Q70">
        <v>61.8</v>
      </c>
      <c r="R70">
        <v>50.1</v>
      </c>
      <c r="S70" t="s">
        <v>100</v>
      </c>
    </row>
    <row r="71" spans="1:19" x14ac:dyDescent="0.25">
      <c r="A71" t="s">
        <v>165</v>
      </c>
      <c r="B71">
        <v>216.9</v>
      </c>
      <c r="C71">
        <v>47.2</v>
      </c>
      <c r="D71">
        <v>53.1</v>
      </c>
      <c r="E71">
        <v>54.1</v>
      </c>
      <c r="F71">
        <v>55.6</v>
      </c>
      <c r="G71">
        <v>60.9</v>
      </c>
      <c r="H71">
        <v>60</v>
      </c>
      <c r="I71">
        <v>60.7</v>
      </c>
      <c r="J71">
        <v>56.3</v>
      </c>
      <c r="K71">
        <v>63.5</v>
      </c>
      <c r="L71">
        <v>63.7</v>
      </c>
      <c r="M71">
        <v>67.099999999999994</v>
      </c>
      <c r="N71">
        <v>70.5</v>
      </c>
      <c r="O71">
        <v>70.7</v>
      </c>
      <c r="P71">
        <v>70.8</v>
      </c>
      <c r="Q71">
        <v>69</v>
      </c>
      <c r="R71">
        <v>70.900000000000006</v>
      </c>
      <c r="S71" t="s">
        <v>100</v>
      </c>
    </row>
    <row r="72" spans="1:19" x14ac:dyDescent="0.25">
      <c r="A72" t="s">
        <v>201</v>
      </c>
      <c r="B72">
        <v>4734</v>
      </c>
      <c r="C72">
        <v>40.700000000000003</v>
      </c>
      <c r="D72">
        <v>45.6</v>
      </c>
      <c r="E72">
        <v>47.7</v>
      </c>
      <c r="F72">
        <v>34.299999999999997</v>
      </c>
      <c r="G72">
        <v>51.6</v>
      </c>
      <c r="H72">
        <v>67.099999999999994</v>
      </c>
      <c r="I72">
        <v>58.9</v>
      </c>
      <c r="J72">
        <v>53</v>
      </c>
      <c r="K72">
        <v>48.5</v>
      </c>
      <c r="L72">
        <v>74</v>
      </c>
      <c r="M72">
        <v>71</v>
      </c>
      <c r="N72">
        <v>70.5</v>
      </c>
      <c r="O72">
        <v>73.900000000000006</v>
      </c>
      <c r="P72">
        <v>78.3</v>
      </c>
      <c r="Q72">
        <v>73.900000000000006</v>
      </c>
      <c r="R72">
        <v>76.7</v>
      </c>
      <c r="S72" t="s">
        <v>100</v>
      </c>
    </row>
    <row r="73" spans="1:19" x14ac:dyDescent="0.25">
      <c r="A73" t="s">
        <v>203</v>
      </c>
      <c r="B73">
        <v>1265.2</v>
      </c>
      <c r="C73">
        <v>29.1</v>
      </c>
      <c r="D73">
        <v>31.3</v>
      </c>
      <c r="E73">
        <v>36.299999999999997</v>
      </c>
      <c r="F73">
        <v>40.700000000000003</v>
      </c>
      <c r="G73">
        <v>37.299999999999997</v>
      </c>
      <c r="H73">
        <v>27.1</v>
      </c>
      <c r="I73">
        <v>26.6</v>
      </c>
      <c r="J73">
        <v>32.1</v>
      </c>
      <c r="K73">
        <v>32.200000000000003</v>
      </c>
      <c r="L73">
        <v>22.8</v>
      </c>
      <c r="M73">
        <v>22.9</v>
      </c>
      <c r="N73">
        <v>18.7</v>
      </c>
      <c r="O73">
        <v>25.2</v>
      </c>
      <c r="P73">
        <v>31.2</v>
      </c>
      <c r="Q73">
        <v>35.799999999999997</v>
      </c>
      <c r="R73">
        <v>40.200000000000003</v>
      </c>
      <c r="S73" t="s">
        <v>100</v>
      </c>
    </row>
    <row r="74" spans="1:19" x14ac:dyDescent="0.25">
      <c r="A74" t="s">
        <v>204</v>
      </c>
      <c r="B74">
        <v>401.1</v>
      </c>
      <c r="C74">
        <v>20.3</v>
      </c>
      <c r="D74">
        <v>25.7</v>
      </c>
      <c r="E74">
        <v>24.1</v>
      </c>
      <c r="F74">
        <v>21.7</v>
      </c>
      <c r="G74">
        <v>22.8</v>
      </c>
      <c r="H74">
        <v>23.6</v>
      </c>
      <c r="I74">
        <v>25</v>
      </c>
      <c r="J74">
        <v>23.4</v>
      </c>
      <c r="K74" t="s">
        <v>162</v>
      </c>
      <c r="L74" t="s">
        <v>162</v>
      </c>
      <c r="M74" t="s">
        <v>162</v>
      </c>
      <c r="N74" t="s">
        <v>162</v>
      </c>
      <c r="O74" t="s">
        <v>162</v>
      </c>
      <c r="P74" t="s">
        <v>162</v>
      </c>
      <c r="Q74" t="s">
        <v>162</v>
      </c>
      <c r="R74" t="s">
        <v>162</v>
      </c>
      <c r="S74" t="s">
        <v>100</v>
      </c>
    </row>
    <row r="75" spans="1:19" x14ac:dyDescent="0.25">
      <c r="A75" t="s">
        <v>206</v>
      </c>
      <c r="B75">
        <v>702.8</v>
      </c>
      <c r="C75">
        <v>7.7</v>
      </c>
      <c r="D75">
        <v>7.2</v>
      </c>
      <c r="E75">
        <v>4.5</v>
      </c>
      <c r="F75">
        <v>2.9</v>
      </c>
      <c r="G75">
        <v>5.8</v>
      </c>
      <c r="H75">
        <v>4</v>
      </c>
      <c r="I75">
        <v>2.8</v>
      </c>
      <c r="J75">
        <v>4.4000000000000004</v>
      </c>
      <c r="K75">
        <v>3.7</v>
      </c>
      <c r="L75">
        <v>1.2</v>
      </c>
      <c r="M75">
        <v>1.2</v>
      </c>
      <c r="N75">
        <v>5.6</v>
      </c>
      <c r="O75">
        <v>7.8</v>
      </c>
      <c r="P75">
        <v>4.8</v>
      </c>
      <c r="Q75">
        <v>1.2</v>
      </c>
      <c r="R75">
        <v>2.2000000000000002</v>
      </c>
      <c r="S75" t="s">
        <v>100</v>
      </c>
    </row>
    <row r="76" spans="1:19" x14ac:dyDescent="0.25">
      <c r="A76" t="s">
        <v>205</v>
      </c>
      <c r="B76">
        <v>806</v>
      </c>
      <c r="C76">
        <v>3.1</v>
      </c>
      <c r="D76">
        <v>4.3</v>
      </c>
      <c r="E76">
        <v>3.7</v>
      </c>
      <c r="F76">
        <v>8.3000000000000007</v>
      </c>
      <c r="G76">
        <v>2.6</v>
      </c>
      <c r="H76">
        <v>5.4</v>
      </c>
      <c r="I76">
        <v>2.7</v>
      </c>
      <c r="J76">
        <v>6</v>
      </c>
      <c r="K76">
        <v>5.9</v>
      </c>
      <c r="L76">
        <v>4.8</v>
      </c>
      <c r="M76">
        <v>11.7</v>
      </c>
      <c r="N76">
        <v>4.8</v>
      </c>
      <c r="O76">
        <v>2.8</v>
      </c>
      <c r="P76">
        <v>2.6</v>
      </c>
      <c r="Q76">
        <v>1.8</v>
      </c>
      <c r="R76">
        <v>1.9</v>
      </c>
      <c r="S76" t="s">
        <v>100</v>
      </c>
    </row>
    <row r="77" spans="1:19" x14ac:dyDescent="0.25">
      <c r="A77" t="s">
        <v>215</v>
      </c>
      <c r="B77">
        <v>18</v>
      </c>
      <c r="C77">
        <v>0.4</v>
      </c>
      <c r="D77">
        <v>0.3</v>
      </c>
      <c r="E77">
        <v>0.3</v>
      </c>
      <c r="F77">
        <v>0.3</v>
      </c>
      <c r="G77">
        <v>0.3</v>
      </c>
      <c r="H77">
        <v>0.3</v>
      </c>
      <c r="I77">
        <v>0.2</v>
      </c>
      <c r="J77">
        <v>0.2</v>
      </c>
      <c r="K77">
        <v>0.3</v>
      </c>
      <c r="L77">
        <v>0.3</v>
      </c>
      <c r="M77">
        <v>0.4</v>
      </c>
      <c r="N77">
        <v>9.6999999999999993</v>
      </c>
      <c r="O77">
        <v>4.5999999999999996</v>
      </c>
      <c r="P77">
        <v>1.4</v>
      </c>
      <c r="Q77">
        <v>0.9</v>
      </c>
      <c r="R77">
        <v>0.6</v>
      </c>
      <c r="S77" t="s">
        <v>100</v>
      </c>
    </row>
    <row r="78" spans="1:19" x14ac:dyDescent="0.25">
      <c r="A78" t="s">
        <v>209</v>
      </c>
      <c r="B78">
        <v>9</v>
      </c>
      <c r="C78">
        <v>0</v>
      </c>
      <c r="D78">
        <v>0</v>
      </c>
      <c r="E78">
        <v>0.2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0.5</v>
      </c>
      <c r="R78">
        <v>0</v>
      </c>
      <c r="S78" t="s">
        <v>100</v>
      </c>
    </row>
    <row r="79" spans="1:19" x14ac:dyDescent="0.25">
      <c r="A79" t="s">
        <v>211</v>
      </c>
      <c r="S79" t="s">
        <v>100</v>
      </c>
    </row>
    <row r="80" spans="1:19" x14ac:dyDescent="0.25">
      <c r="A80" t="s">
        <v>220</v>
      </c>
      <c r="B80">
        <v>30</v>
      </c>
      <c r="C80">
        <v>38.6</v>
      </c>
      <c r="D80">
        <v>26.1</v>
      </c>
      <c r="E80">
        <v>32.200000000000003</v>
      </c>
      <c r="F80">
        <v>24.9</v>
      </c>
      <c r="G80">
        <v>20.8</v>
      </c>
      <c r="H80">
        <v>16.8</v>
      </c>
      <c r="I80">
        <v>8.6999999999999993</v>
      </c>
      <c r="J80">
        <v>16.100000000000001</v>
      </c>
      <c r="K80">
        <v>13.2</v>
      </c>
      <c r="L80">
        <v>27.8</v>
      </c>
      <c r="M80">
        <v>12.8</v>
      </c>
      <c r="N80" t="s">
        <v>162</v>
      </c>
      <c r="O80" t="s">
        <v>162</v>
      </c>
      <c r="P80" t="s">
        <v>162</v>
      </c>
      <c r="Q80" t="s">
        <v>162</v>
      </c>
      <c r="R80" t="s">
        <v>162</v>
      </c>
      <c r="S80" t="s">
        <v>100</v>
      </c>
    </row>
    <row r="81" spans="1:19" x14ac:dyDescent="0.25">
      <c r="A81" t="s">
        <v>212</v>
      </c>
      <c r="B81">
        <v>22</v>
      </c>
      <c r="C81">
        <v>0.5</v>
      </c>
      <c r="D81">
        <v>0.4</v>
      </c>
      <c r="E81">
        <v>0.6</v>
      </c>
      <c r="F81">
        <v>0.5</v>
      </c>
      <c r="G81">
        <v>1.5</v>
      </c>
      <c r="H81" t="s">
        <v>162</v>
      </c>
      <c r="I81" t="s">
        <v>162</v>
      </c>
      <c r="J81" t="s">
        <v>162</v>
      </c>
      <c r="K81" t="s">
        <v>162</v>
      </c>
      <c r="L81" t="s">
        <v>162</v>
      </c>
      <c r="M81" t="s">
        <v>162</v>
      </c>
      <c r="N81" t="s">
        <v>162</v>
      </c>
      <c r="O81" t="s">
        <v>162</v>
      </c>
      <c r="P81" t="s">
        <v>162</v>
      </c>
      <c r="Q81" t="s">
        <v>162</v>
      </c>
      <c r="R81" t="s">
        <v>162</v>
      </c>
      <c r="S81" t="s">
        <v>100</v>
      </c>
    </row>
    <row r="82" spans="1:19" x14ac:dyDescent="0.25">
      <c r="A82" t="s">
        <v>213</v>
      </c>
      <c r="B82">
        <v>14642.2</v>
      </c>
      <c r="C82" t="s">
        <v>162</v>
      </c>
      <c r="D82" t="s">
        <v>162</v>
      </c>
      <c r="E82" t="s">
        <v>162</v>
      </c>
      <c r="F82" t="s">
        <v>162</v>
      </c>
      <c r="G82" t="s">
        <v>162</v>
      </c>
      <c r="H82" t="s">
        <v>162</v>
      </c>
      <c r="I82" t="s">
        <v>162</v>
      </c>
      <c r="J82" t="s">
        <v>162</v>
      </c>
      <c r="K82" t="s">
        <v>162</v>
      </c>
      <c r="L82" t="s">
        <v>162</v>
      </c>
      <c r="M82" t="s">
        <v>162</v>
      </c>
      <c r="N82" t="s">
        <v>162</v>
      </c>
      <c r="O82" t="s">
        <v>162</v>
      </c>
      <c r="P82" t="s">
        <v>162</v>
      </c>
      <c r="Q82" t="s">
        <v>162</v>
      </c>
      <c r="R82" t="s">
        <v>162</v>
      </c>
      <c r="S82" t="s">
        <v>100</v>
      </c>
    </row>
    <row r="83" spans="1:19" x14ac:dyDescent="0.25">
      <c r="A83" t="s">
        <v>214</v>
      </c>
      <c r="S83" t="s">
        <v>100</v>
      </c>
    </row>
    <row r="84" spans="1:19" x14ac:dyDescent="0.25">
      <c r="A84" t="s">
        <v>101</v>
      </c>
      <c r="S84" t="s">
        <v>101</v>
      </c>
    </row>
    <row r="85" spans="1:19" x14ac:dyDescent="0.25">
      <c r="A85" t="s">
        <v>198</v>
      </c>
      <c r="B85" t="s">
        <v>257</v>
      </c>
      <c r="C85" t="s">
        <v>256</v>
      </c>
      <c r="D85" t="s">
        <v>181</v>
      </c>
      <c r="E85" t="s">
        <v>180</v>
      </c>
      <c r="F85" t="s">
        <v>179</v>
      </c>
      <c r="G85" t="s">
        <v>178</v>
      </c>
      <c r="H85" t="s">
        <v>177</v>
      </c>
      <c r="I85" t="s">
        <v>176</v>
      </c>
      <c r="J85" t="s">
        <v>175</v>
      </c>
      <c r="K85" t="s">
        <v>174</v>
      </c>
      <c r="L85" t="s">
        <v>173</v>
      </c>
      <c r="M85" t="s">
        <v>172</v>
      </c>
      <c r="N85" t="s">
        <v>171</v>
      </c>
      <c r="O85" t="s">
        <v>170</v>
      </c>
      <c r="P85" t="s">
        <v>169</v>
      </c>
      <c r="Q85" t="s">
        <v>168</v>
      </c>
      <c r="R85" t="s">
        <v>167</v>
      </c>
      <c r="S85" t="s">
        <v>101</v>
      </c>
    </row>
    <row r="86" spans="1:19" x14ac:dyDescent="0.25">
      <c r="A86" t="s">
        <v>199</v>
      </c>
      <c r="S86" t="s">
        <v>101</v>
      </c>
    </row>
    <row r="87" spans="1:19" x14ac:dyDescent="0.25">
      <c r="A87" t="s">
        <v>163</v>
      </c>
      <c r="B87">
        <v>2240</v>
      </c>
      <c r="C87">
        <v>90.3</v>
      </c>
      <c r="D87">
        <v>89.7</v>
      </c>
      <c r="E87">
        <v>84</v>
      </c>
      <c r="F87">
        <v>82.6</v>
      </c>
      <c r="G87">
        <v>82.4</v>
      </c>
      <c r="H87">
        <v>92.8</v>
      </c>
      <c r="I87">
        <v>91.2</v>
      </c>
      <c r="J87">
        <v>96.1</v>
      </c>
      <c r="K87">
        <v>94.3</v>
      </c>
      <c r="L87">
        <v>86.6</v>
      </c>
      <c r="M87">
        <v>91.8</v>
      </c>
      <c r="N87">
        <v>48.6</v>
      </c>
      <c r="O87">
        <v>95.4</v>
      </c>
      <c r="P87">
        <v>83.9</v>
      </c>
      <c r="Q87">
        <v>82.7</v>
      </c>
      <c r="R87">
        <v>84.3</v>
      </c>
      <c r="S87" t="s">
        <v>101</v>
      </c>
    </row>
    <row r="88" spans="1:19" x14ac:dyDescent="0.25">
      <c r="A88" t="s">
        <v>207</v>
      </c>
      <c r="B88">
        <v>213</v>
      </c>
      <c r="C88">
        <v>70.599999999999994</v>
      </c>
      <c r="D88">
        <v>76.2</v>
      </c>
      <c r="E88">
        <v>83.9</v>
      </c>
      <c r="F88">
        <v>79</v>
      </c>
      <c r="G88">
        <v>76.900000000000006</v>
      </c>
      <c r="H88">
        <v>79.8</v>
      </c>
      <c r="I88">
        <v>78</v>
      </c>
      <c r="J88">
        <v>77.3</v>
      </c>
      <c r="K88">
        <v>74.3</v>
      </c>
      <c r="L88">
        <v>71.8</v>
      </c>
      <c r="M88">
        <v>77.400000000000006</v>
      </c>
      <c r="N88">
        <v>74.400000000000006</v>
      </c>
      <c r="O88">
        <v>72.5</v>
      </c>
      <c r="P88">
        <v>70.599999999999994</v>
      </c>
      <c r="Q88">
        <v>76.7</v>
      </c>
      <c r="R88">
        <v>82.8</v>
      </c>
      <c r="S88" t="s">
        <v>101</v>
      </c>
    </row>
    <row r="89" spans="1:19" x14ac:dyDescent="0.25">
      <c r="A89" t="s">
        <v>210</v>
      </c>
      <c r="B89">
        <v>157.69999999999999</v>
      </c>
      <c r="C89">
        <v>69.3</v>
      </c>
      <c r="D89">
        <v>73.3</v>
      </c>
      <c r="E89">
        <v>71.400000000000006</v>
      </c>
      <c r="F89">
        <v>73.3</v>
      </c>
      <c r="G89">
        <v>72.5</v>
      </c>
      <c r="H89">
        <v>63.1</v>
      </c>
      <c r="I89">
        <v>63.3</v>
      </c>
      <c r="J89">
        <v>55.5</v>
      </c>
      <c r="K89">
        <v>53.6</v>
      </c>
      <c r="L89">
        <v>56.1</v>
      </c>
      <c r="M89">
        <v>53.7</v>
      </c>
      <c r="N89">
        <v>44.5</v>
      </c>
      <c r="O89">
        <v>4.5999999999999996</v>
      </c>
      <c r="P89">
        <v>6.1</v>
      </c>
      <c r="Q89">
        <v>0</v>
      </c>
      <c r="R89">
        <v>0</v>
      </c>
      <c r="S89" t="s">
        <v>101</v>
      </c>
    </row>
    <row r="90" spans="1:19" x14ac:dyDescent="0.25">
      <c r="A90" t="s">
        <v>164</v>
      </c>
      <c r="B90">
        <v>1872.3</v>
      </c>
      <c r="C90">
        <v>68.599999999999994</v>
      </c>
      <c r="D90">
        <v>68</v>
      </c>
      <c r="E90">
        <v>68.7</v>
      </c>
      <c r="F90">
        <v>68.900000000000006</v>
      </c>
      <c r="G90">
        <v>67.900000000000006</v>
      </c>
      <c r="H90">
        <v>76.8</v>
      </c>
      <c r="I90">
        <v>70.5</v>
      </c>
      <c r="J90">
        <v>68.3</v>
      </c>
      <c r="K90">
        <v>70.099999999999994</v>
      </c>
      <c r="L90">
        <v>70.7</v>
      </c>
      <c r="M90">
        <v>69.7</v>
      </c>
      <c r="N90">
        <v>68.099999999999994</v>
      </c>
      <c r="O90">
        <v>71.5</v>
      </c>
      <c r="P90">
        <v>71.8</v>
      </c>
      <c r="Q90">
        <v>74.3</v>
      </c>
      <c r="R90">
        <v>74.900000000000006</v>
      </c>
      <c r="S90" t="s">
        <v>101</v>
      </c>
    </row>
    <row r="91" spans="1:19" x14ac:dyDescent="0.25">
      <c r="A91" t="s">
        <v>200</v>
      </c>
      <c r="B91">
        <v>474</v>
      </c>
      <c r="C91">
        <v>59.7</v>
      </c>
      <c r="D91">
        <v>64.8</v>
      </c>
      <c r="E91">
        <v>66.3</v>
      </c>
      <c r="F91">
        <v>64.7</v>
      </c>
      <c r="G91">
        <v>65.599999999999994</v>
      </c>
      <c r="H91">
        <v>65.5</v>
      </c>
      <c r="I91">
        <v>65.8</v>
      </c>
      <c r="J91">
        <v>61.5</v>
      </c>
      <c r="K91">
        <v>59.5</v>
      </c>
      <c r="L91">
        <v>58.5</v>
      </c>
      <c r="M91">
        <v>58.6</v>
      </c>
      <c r="N91">
        <v>55.3</v>
      </c>
      <c r="O91">
        <v>69.099999999999994</v>
      </c>
      <c r="P91">
        <v>71.099999999999994</v>
      </c>
      <c r="Q91">
        <v>66.900000000000006</v>
      </c>
      <c r="R91">
        <v>56.3</v>
      </c>
      <c r="S91" t="s">
        <v>101</v>
      </c>
    </row>
    <row r="92" spans="1:19" x14ac:dyDescent="0.25">
      <c r="A92" t="s">
        <v>201</v>
      </c>
      <c r="B92">
        <v>57</v>
      </c>
      <c r="C92">
        <v>49</v>
      </c>
      <c r="D92">
        <v>57</v>
      </c>
      <c r="E92">
        <v>61</v>
      </c>
      <c r="F92">
        <v>63.3</v>
      </c>
      <c r="G92">
        <v>50</v>
      </c>
      <c r="H92">
        <v>59.2</v>
      </c>
      <c r="I92">
        <v>61</v>
      </c>
      <c r="J92">
        <v>65.099999999999994</v>
      </c>
      <c r="K92">
        <v>36.299999999999997</v>
      </c>
      <c r="L92">
        <v>37.4</v>
      </c>
      <c r="M92">
        <v>38.799999999999997</v>
      </c>
      <c r="N92">
        <v>54.6</v>
      </c>
      <c r="O92">
        <v>60</v>
      </c>
      <c r="P92">
        <v>70.900000000000006</v>
      </c>
      <c r="Q92">
        <v>80.2</v>
      </c>
      <c r="R92">
        <v>86.8</v>
      </c>
      <c r="S92" t="s">
        <v>101</v>
      </c>
    </row>
    <row r="93" spans="1:19" x14ac:dyDescent="0.25">
      <c r="A93" t="s">
        <v>165</v>
      </c>
      <c r="B93">
        <v>642.79999999999995</v>
      </c>
      <c r="C93">
        <v>49</v>
      </c>
      <c r="D93">
        <v>50.4</v>
      </c>
      <c r="E93">
        <v>50.3</v>
      </c>
      <c r="F93">
        <v>50.5</v>
      </c>
      <c r="G93">
        <v>53.7</v>
      </c>
      <c r="H93">
        <v>51.3</v>
      </c>
      <c r="I93">
        <v>46.4</v>
      </c>
      <c r="J93">
        <v>44.8</v>
      </c>
      <c r="K93">
        <v>55</v>
      </c>
      <c r="L93">
        <v>63.1</v>
      </c>
      <c r="M93">
        <v>59.6</v>
      </c>
      <c r="N93">
        <v>73.5</v>
      </c>
      <c r="O93">
        <v>63.2</v>
      </c>
      <c r="P93">
        <v>63.2</v>
      </c>
      <c r="Q93">
        <v>65.599999999999994</v>
      </c>
      <c r="R93">
        <v>67</v>
      </c>
      <c r="S93" t="s">
        <v>101</v>
      </c>
    </row>
    <row r="94" spans="1:19" x14ac:dyDescent="0.25">
      <c r="A94" t="s">
        <v>202</v>
      </c>
      <c r="B94">
        <v>20407.599999999999</v>
      </c>
      <c r="C94">
        <v>45.5</v>
      </c>
      <c r="D94">
        <v>45.7</v>
      </c>
      <c r="E94">
        <v>45.9</v>
      </c>
      <c r="F94">
        <v>42.5</v>
      </c>
      <c r="G94">
        <v>40.4</v>
      </c>
      <c r="H94">
        <v>41.8</v>
      </c>
      <c r="I94">
        <v>40.6</v>
      </c>
      <c r="J94">
        <v>45.3</v>
      </c>
      <c r="K94">
        <v>54.4</v>
      </c>
      <c r="L94">
        <v>55.9</v>
      </c>
      <c r="M94">
        <v>56</v>
      </c>
      <c r="N94">
        <v>57.6</v>
      </c>
      <c r="O94">
        <v>41.8</v>
      </c>
      <c r="P94">
        <v>55.6</v>
      </c>
      <c r="Q94">
        <v>54.8</v>
      </c>
      <c r="R94">
        <v>63</v>
      </c>
      <c r="S94" t="s">
        <v>101</v>
      </c>
    </row>
    <row r="95" spans="1:19" x14ac:dyDescent="0.25">
      <c r="A95" t="s">
        <v>203</v>
      </c>
      <c r="B95">
        <v>10237.200000000001</v>
      </c>
      <c r="C95">
        <v>36.1</v>
      </c>
      <c r="D95">
        <v>19.600000000000001</v>
      </c>
      <c r="E95">
        <v>16.399999999999999</v>
      </c>
      <c r="F95">
        <v>23.7</v>
      </c>
      <c r="G95">
        <v>42.8</v>
      </c>
      <c r="H95">
        <v>29.5</v>
      </c>
      <c r="I95">
        <v>47.4</v>
      </c>
      <c r="J95">
        <v>32.299999999999997</v>
      </c>
      <c r="K95">
        <v>15.5</v>
      </c>
      <c r="L95">
        <v>18.5</v>
      </c>
      <c r="M95">
        <v>26.7</v>
      </c>
      <c r="N95">
        <v>30.2</v>
      </c>
      <c r="O95">
        <v>47.9</v>
      </c>
      <c r="P95">
        <v>37.700000000000003</v>
      </c>
      <c r="Q95">
        <v>31.4</v>
      </c>
      <c r="R95">
        <v>27.1</v>
      </c>
      <c r="S95" t="s">
        <v>101</v>
      </c>
    </row>
    <row r="96" spans="1:19" x14ac:dyDescent="0.25">
      <c r="A96" t="s">
        <v>217</v>
      </c>
      <c r="B96">
        <v>94.4</v>
      </c>
      <c r="C96">
        <v>32.5</v>
      </c>
      <c r="D96">
        <v>38.299999999999997</v>
      </c>
      <c r="E96">
        <v>40.9</v>
      </c>
      <c r="F96">
        <v>41.7</v>
      </c>
      <c r="G96">
        <v>56.9</v>
      </c>
      <c r="H96">
        <v>60</v>
      </c>
      <c r="I96">
        <v>59.1</v>
      </c>
      <c r="J96">
        <v>52.2</v>
      </c>
      <c r="K96">
        <v>55.1</v>
      </c>
      <c r="L96">
        <v>57.8</v>
      </c>
      <c r="M96">
        <v>48.2</v>
      </c>
      <c r="N96">
        <v>33.6</v>
      </c>
      <c r="O96">
        <v>54</v>
      </c>
      <c r="P96">
        <v>49.6</v>
      </c>
      <c r="Q96">
        <v>41.9</v>
      </c>
      <c r="R96">
        <v>43.2</v>
      </c>
      <c r="S96" t="s">
        <v>101</v>
      </c>
    </row>
    <row r="97" spans="1:19" x14ac:dyDescent="0.25">
      <c r="A97" t="s">
        <v>216</v>
      </c>
      <c r="B97">
        <v>6201.1</v>
      </c>
      <c r="C97">
        <v>25.8</v>
      </c>
      <c r="D97">
        <v>27.1</v>
      </c>
      <c r="E97">
        <v>28.2</v>
      </c>
      <c r="F97">
        <v>25.7</v>
      </c>
      <c r="G97">
        <v>25.9</v>
      </c>
      <c r="H97">
        <v>27.3</v>
      </c>
      <c r="I97">
        <v>25.7</v>
      </c>
      <c r="J97" t="s">
        <v>162</v>
      </c>
      <c r="K97" t="s">
        <v>162</v>
      </c>
      <c r="L97" t="s">
        <v>162</v>
      </c>
      <c r="M97" t="s">
        <v>162</v>
      </c>
      <c r="N97" t="s">
        <v>162</v>
      </c>
      <c r="O97" t="s">
        <v>162</v>
      </c>
      <c r="P97" t="s">
        <v>162</v>
      </c>
      <c r="Q97" t="s">
        <v>162</v>
      </c>
      <c r="R97" t="s">
        <v>162</v>
      </c>
      <c r="S97" t="s">
        <v>101</v>
      </c>
    </row>
    <row r="98" spans="1:19" x14ac:dyDescent="0.25">
      <c r="A98" t="s">
        <v>204</v>
      </c>
      <c r="B98">
        <v>17051.599999999999</v>
      </c>
      <c r="C98">
        <v>25.6</v>
      </c>
      <c r="D98">
        <v>27.3</v>
      </c>
      <c r="E98">
        <v>27.7</v>
      </c>
      <c r="F98">
        <v>26.9</v>
      </c>
      <c r="G98">
        <v>27.5</v>
      </c>
      <c r="H98">
        <v>28.5</v>
      </c>
      <c r="I98">
        <v>28.4</v>
      </c>
      <c r="J98">
        <v>27.9</v>
      </c>
      <c r="K98">
        <v>28.5</v>
      </c>
      <c r="L98">
        <v>28.7</v>
      </c>
      <c r="M98">
        <v>25.1</v>
      </c>
      <c r="N98">
        <v>23</v>
      </c>
      <c r="O98">
        <v>20.9</v>
      </c>
      <c r="P98">
        <v>22.1</v>
      </c>
      <c r="Q98">
        <v>19.7</v>
      </c>
      <c r="R98">
        <v>6.4</v>
      </c>
      <c r="S98" t="s">
        <v>101</v>
      </c>
    </row>
    <row r="99" spans="1:19" x14ac:dyDescent="0.25">
      <c r="A99" t="s">
        <v>215</v>
      </c>
      <c r="B99">
        <v>400.3</v>
      </c>
      <c r="C99">
        <v>22</v>
      </c>
      <c r="D99">
        <v>21.4</v>
      </c>
      <c r="E99">
        <v>25.4</v>
      </c>
      <c r="F99">
        <v>23.3</v>
      </c>
      <c r="G99">
        <v>20.8</v>
      </c>
      <c r="H99">
        <v>20.2</v>
      </c>
      <c r="I99">
        <v>22.6</v>
      </c>
      <c r="J99">
        <v>20.8</v>
      </c>
      <c r="K99">
        <v>31.8</v>
      </c>
      <c r="L99">
        <v>29.2</v>
      </c>
      <c r="M99">
        <v>18.5</v>
      </c>
      <c r="N99">
        <v>20.3</v>
      </c>
      <c r="O99">
        <v>23.6</v>
      </c>
      <c r="P99">
        <v>18</v>
      </c>
      <c r="Q99">
        <v>17.899999999999999</v>
      </c>
      <c r="R99">
        <v>20.2</v>
      </c>
      <c r="S99" t="s">
        <v>101</v>
      </c>
    </row>
    <row r="100" spans="1:19" x14ac:dyDescent="0.25">
      <c r="A100" t="s">
        <v>218</v>
      </c>
      <c r="B100">
        <v>1005.8</v>
      </c>
      <c r="C100">
        <v>21.8</v>
      </c>
      <c r="D100">
        <v>23.8</v>
      </c>
      <c r="E100">
        <v>20.399999999999999</v>
      </c>
      <c r="F100">
        <v>20.399999999999999</v>
      </c>
      <c r="G100">
        <v>20.5</v>
      </c>
      <c r="H100">
        <v>22.6</v>
      </c>
      <c r="I100">
        <v>21.9</v>
      </c>
      <c r="J100">
        <v>22.4</v>
      </c>
      <c r="K100">
        <v>20.6</v>
      </c>
      <c r="L100">
        <v>16.8</v>
      </c>
      <c r="M100">
        <v>18.7</v>
      </c>
      <c r="N100">
        <v>24</v>
      </c>
      <c r="O100">
        <v>24.1</v>
      </c>
      <c r="P100">
        <v>24.7</v>
      </c>
      <c r="Q100">
        <v>23.9</v>
      </c>
      <c r="R100">
        <v>21.2</v>
      </c>
      <c r="S100" t="s">
        <v>101</v>
      </c>
    </row>
    <row r="101" spans="1:19" x14ac:dyDescent="0.25">
      <c r="A101" t="s">
        <v>206</v>
      </c>
      <c r="B101">
        <v>11472.7</v>
      </c>
      <c r="C101">
        <v>9.4</v>
      </c>
      <c r="D101">
        <v>10.8</v>
      </c>
      <c r="E101">
        <v>11.6</v>
      </c>
      <c r="F101">
        <v>12.5</v>
      </c>
      <c r="G101">
        <v>12.4</v>
      </c>
      <c r="H101">
        <v>13.7</v>
      </c>
      <c r="I101">
        <v>13.3</v>
      </c>
      <c r="J101">
        <v>14.6</v>
      </c>
      <c r="K101">
        <v>16.600000000000001</v>
      </c>
      <c r="L101">
        <v>17.5</v>
      </c>
      <c r="M101">
        <v>19.7</v>
      </c>
      <c r="N101">
        <v>22.6</v>
      </c>
      <c r="O101">
        <v>23.3</v>
      </c>
      <c r="P101">
        <v>25.3</v>
      </c>
      <c r="Q101">
        <v>28.8</v>
      </c>
      <c r="R101">
        <v>30.8</v>
      </c>
      <c r="S101" t="s">
        <v>101</v>
      </c>
    </row>
    <row r="102" spans="1:19" x14ac:dyDescent="0.25">
      <c r="A102" t="s">
        <v>205</v>
      </c>
      <c r="B102">
        <v>4539.3999999999996</v>
      </c>
      <c r="C102">
        <v>4.5</v>
      </c>
      <c r="D102">
        <v>4</v>
      </c>
      <c r="E102">
        <v>4.0999999999999996</v>
      </c>
      <c r="F102">
        <v>5.5</v>
      </c>
      <c r="G102">
        <v>2.9</v>
      </c>
      <c r="H102">
        <v>3.7</v>
      </c>
      <c r="I102">
        <v>4.5</v>
      </c>
      <c r="J102">
        <v>4.0999999999999996</v>
      </c>
      <c r="K102">
        <v>6.1</v>
      </c>
      <c r="L102">
        <v>5.6</v>
      </c>
      <c r="M102">
        <v>6.2</v>
      </c>
      <c r="N102">
        <v>7.8</v>
      </c>
      <c r="O102">
        <v>4.7</v>
      </c>
      <c r="P102">
        <v>4.5999999999999996</v>
      </c>
      <c r="Q102">
        <v>8.1</v>
      </c>
      <c r="R102">
        <v>10.8</v>
      </c>
      <c r="S102" t="s">
        <v>101</v>
      </c>
    </row>
    <row r="103" spans="1:19" x14ac:dyDescent="0.25">
      <c r="A103" t="s">
        <v>209</v>
      </c>
      <c r="B103">
        <v>228.3</v>
      </c>
      <c r="C103">
        <v>1.4</v>
      </c>
      <c r="D103">
        <v>1.5</v>
      </c>
      <c r="E103">
        <v>1.5</v>
      </c>
      <c r="F103">
        <v>1.4</v>
      </c>
      <c r="G103">
        <v>1.6</v>
      </c>
      <c r="H103">
        <v>1.6</v>
      </c>
      <c r="I103">
        <v>1.7</v>
      </c>
      <c r="J103">
        <v>2.8</v>
      </c>
      <c r="K103">
        <v>2.9</v>
      </c>
      <c r="L103">
        <v>3.4</v>
      </c>
      <c r="M103">
        <v>3.4</v>
      </c>
      <c r="N103">
        <v>9</v>
      </c>
      <c r="O103">
        <v>6.8</v>
      </c>
      <c r="P103">
        <v>7.5</v>
      </c>
      <c r="Q103">
        <v>7.6</v>
      </c>
      <c r="R103">
        <v>10.4</v>
      </c>
      <c r="S103" t="s">
        <v>101</v>
      </c>
    </row>
    <row r="104" spans="1:19" x14ac:dyDescent="0.25">
      <c r="A104" t="s">
        <v>208</v>
      </c>
      <c r="B104">
        <v>186.9</v>
      </c>
      <c r="C104">
        <v>0.6</v>
      </c>
      <c r="D104">
        <v>2.2999999999999998</v>
      </c>
      <c r="E104">
        <v>0.7</v>
      </c>
      <c r="F104">
        <v>0.3</v>
      </c>
      <c r="G104">
        <v>0.3</v>
      </c>
      <c r="H104">
        <v>0.3</v>
      </c>
      <c r="I104">
        <v>0.3</v>
      </c>
      <c r="J104">
        <v>0.3</v>
      </c>
      <c r="K104">
        <v>1.1000000000000001</v>
      </c>
      <c r="L104">
        <v>0.4</v>
      </c>
      <c r="M104">
        <v>0.2</v>
      </c>
      <c r="N104">
        <v>0.6</v>
      </c>
      <c r="O104">
        <v>0.4</v>
      </c>
      <c r="P104">
        <v>0.4</v>
      </c>
      <c r="Q104">
        <v>0.7</v>
      </c>
      <c r="R104">
        <v>1.2</v>
      </c>
      <c r="S104" t="s">
        <v>101</v>
      </c>
    </row>
    <row r="105" spans="1:19" x14ac:dyDescent="0.25">
      <c r="A105" t="s">
        <v>219</v>
      </c>
      <c r="B105" t="s">
        <v>162</v>
      </c>
      <c r="C105" t="s">
        <v>162</v>
      </c>
      <c r="D105">
        <v>54.3</v>
      </c>
      <c r="E105">
        <v>64.2</v>
      </c>
      <c r="F105">
        <v>55.1</v>
      </c>
      <c r="G105">
        <v>48.8</v>
      </c>
      <c r="H105">
        <v>85.1</v>
      </c>
      <c r="I105">
        <v>56.9</v>
      </c>
      <c r="J105">
        <v>60.8</v>
      </c>
      <c r="K105">
        <v>62.3</v>
      </c>
      <c r="L105" t="s">
        <v>162</v>
      </c>
      <c r="M105">
        <v>47.3</v>
      </c>
      <c r="N105" t="s">
        <v>162</v>
      </c>
      <c r="O105">
        <v>74.599999999999994</v>
      </c>
      <c r="P105">
        <v>87.1</v>
      </c>
      <c r="Q105">
        <v>88.3</v>
      </c>
      <c r="R105">
        <v>88.5</v>
      </c>
      <c r="S105" t="s">
        <v>101</v>
      </c>
    </row>
    <row r="106" spans="1:19" x14ac:dyDescent="0.25">
      <c r="A106" t="s">
        <v>166</v>
      </c>
      <c r="B106" t="s">
        <v>162</v>
      </c>
      <c r="C106" t="s">
        <v>162</v>
      </c>
      <c r="D106" t="s">
        <v>162</v>
      </c>
      <c r="E106" t="s">
        <v>162</v>
      </c>
      <c r="F106" t="s">
        <v>162</v>
      </c>
      <c r="G106" t="s">
        <v>162</v>
      </c>
      <c r="H106" t="s">
        <v>162</v>
      </c>
      <c r="I106" t="s">
        <v>162</v>
      </c>
      <c r="J106">
        <v>27</v>
      </c>
      <c r="K106">
        <v>23.6</v>
      </c>
      <c r="L106">
        <v>25.5</v>
      </c>
      <c r="M106">
        <v>26.1</v>
      </c>
      <c r="N106">
        <v>23.9</v>
      </c>
      <c r="O106">
        <v>25</v>
      </c>
      <c r="P106">
        <v>25.1</v>
      </c>
      <c r="Q106">
        <v>25.1</v>
      </c>
      <c r="R106">
        <v>25.5</v>
      </c>
      <c r="S106" t="s">
        <v>101</v>
      </c>
    </row>
    <row r="107" spans="1:19" x14ac:dyDescent="0.25">
      <c r="A107" t="s">
        <v>211</v>
      </c>
      <c r="S107" t="s">
        <v>101</v>
      </c>
    </row>
    <row r="108" spans="1:19" x14ac:dyDescent="0.25">
      <c r="A108" t="s">
        <v>212</v>
      </c>
      <c r="B108">
        <v>5815.9</v>
      </c>
      <c r="C108">
        <v>9.1999999999999993</v>
      </c>
      <c r="D108">
        <v>8.8000000000000007</v>
      </c>
      <c r="E108">
        <v>8</v>
      </c>
      <c r="F108">
        <v>5</v>
      </c>
      <c r="G108">
        <v>5.3</v>
      </c>
      <c r="H108">
        <v>4.7</v>
      </c>
      <c r="I108">
        <v>5.3</v>
      </c>
      <c r="J108">
        <v>2.6</v>
      </c>
      <c r="K108">
        <v>2.2999999999999998</v>
      </c>
      <c r="L108">
        <v>1.6</v>
      </c>
      <c r="M108">
        <v>10.7</v>
      </c>
      <c r="N108" t="s">
        <v>162</v>
      </c>
      <c r="O108" t="s">
        <v>162</v>
      </c>
      <c r="P108" t="s">
        <v>162</v>
      </c>
      <c r="Q108" t="s">
        <v>162</v>
      </c>
      <c r="R108" t="s">
        <v>162</v>
      </c>
      <c r="S108" t="s">
        <v>101</v>
      </c>
    </row>
    <row r="109" spans="1:19" x14ac:dyDescent="0.25">
      <c r="A109" t="s">
        <v>220</v>
      </c>
      <c r="B109">
        <v>3911.9</v>
      </c>
      <c r="C109">
        <v>6.3</v>
      </c>
      <c r="D109">
        <v>4.5</v>
      </c>
      <c r="E109">
        <v>5.9</v>
      </c>
      <c r="F109">
        <v>4.4000000000000004</v>
      </c>
      <c r="G109">
        <v>5.3</v>
      </c>
      <c r="H109">
        <v>5.4</v>
      </c>
      <c r="I109">
        <v>6.7</v>
      </c>
      <c r="J109">
        <v>5.0999999999999996</v>
      </c>
      <c r="K109">
        <v>3.7</v>
      </c>
      <c r="L109">
        <v>3.1</v>
      </c>
      <c r="M109">
        <v>5.0999999999999996</v>
      </c>
      <c r="N109" t="s">
        <v>162</v>
      </c>
      <c r="O109" t="s">
        <v>162</v>
      </c>
      <c r="P109" t="s">
        <v>162</v>
      </c>
      <c r="Q109" t="s">
        <v>162</v>
      </c>
      <c r="R109" t="s">
        <v>162</v>
      </c>
      <c r="S109" t="s">
        <v>101</v>
      </c>
    </row>
    <row r="110" spans="1:19" x14ac:dyDescent="0.25">
      <c r="A110" t="s">
        <v>213</v>
      </c>
      <c r="B110">
        <v>87210</v>
      </c>
      <c r="C110" t="s">
        <v>162</v>
      </c>
      <c r="D110" t="s">
        <v>162</v>
      </c>
      <c r="E110" t="s">
        <v>162</v>
      </c>
      <c r="F110" t="s">
        <v>162</v>
      </c>
      <c r="G110" t="s">
        <v>162</v>
      </c>
      <c r="H110" t="s">
        <v>162</v>
      </c>
      <c r="I110" t="s">
        <v>162</v>
      </c>
      <c r="J110" t="s">
        <v>162</v>
      </c>
      <c r="K110" t="s">
        <v>162</v>
      </c>
      <c r="L110" t="s">
        <v>162</v>
      </c>
      <c r="M110" t="s">
        <v>162</v>
      </c>
      <c r="N110" t="s">
        <v>162</v>
      </c>
      <c r="O110" t="s">
        <v>162</v>
      </c>
      <c r="P110" t="s">
        <v>162</v>
      </c>
      <c r="Q110" t="s">
        <v>162</v>
      </c>
      <c r="R110" t="s">
        <v>162</v>
      </c>
      <c r="S110" t="s">
        <v>101</v>
      </c>
    </row>
    <row r="111" spans="1:19" x14ac:dyDescent="0.25">
      <c r="A111" t="s">
        <v>214</v>
      </c>
      <c r="S111" t="s">
        <v>101</v>
      </c>
    </row>
    <row r="112" spans="1:19" x14ac:dyDescent="0.25">
      <c r="A112" t="s">
        <v>102</v>
      </c>
      <c r="S112" t="s">
        <v>102</v>
      </c>
    </row>
    <row r="113" spans="1:19" x14ac:dyDescent="0.25">
      <c r="A113" t="s">
        <v>198</v>
      </c>
      <c r="B113" t="s">
        <v>257</v>
      </c>
      <c r="C113" t="s">
        <v>256</v>
      </c>
      <c r="D113" t="s">
        <v>181</v>
      </c>
      <c r="E113" t="s">
        <v>180</v>
      </c>
      <c r="F113" t="s">
        <v>179</v>
      </c>
      <c r="G113" t="s">
        <v>178</v>
      </c>
      <c r="H113" t="s">
        <v>177</v>
      </c>
      <c r="I113" t="s">
        <v>176</v>
      </c>
      <c r="J113" t="s">
        <v>175</v>
      </c>
      <c r="K113" t="s">
        <v>174</v>
      </c>
      <c r="L113" t="s">
        <v>173</v>
      </c>
      <c r="M113" t="s">
        <v>172</v>
      </c>
      <c r="N113" t="s">
        <v>171</v>
      </c>
      <c r="O113" t="s">
        <v>170</v>
      </c>
      <c r="P113" t="s">
        <v>169</v>
      </c>
      <c r="Q113" t="s">
        <v>168</v>
      </c>
      <c r="R113" t="s">
        <v>167</v>
      </c>
      <c r="S113" t="s">
        <v>102</v>
      </c>
    </row>
    <row r="114" spans="1:19" x14ac:dyDescent="0.25">
      <c r="A114" t="s">
        <v>199</v>
      </c>
      <c r="S114" t="s">
        <v>102</v>
      </c>
    </row>
    <row r="115" spans="1:19" x14ac:dyDescent="0.25">
      <c r="A115" t="s">
        <v>217</v>
      </c>
      <c r="B115">
        <v>9.1</v>
      </c>
      <c r="C115">
        <v>58.7</v>
      </c>
      <c r="D115">
        <v>61.2</v>
      </c>
      <c r="E115">
        <v>69.2</v>
      </c>
      <c r="F115">
        <v>74.3</v>
      </c>
      <c r="G115">
        <v>77.2</v>
      </c>
      <c r="H115">
        <v>74.400000000000006</v>
      </c>
      <c r="I115">
        <v>69.900000000000006</v>
      </c>
      <c r="J115">
        <v>65.400000000000006</v>
      </c>
      <c r="K115">
        <v>64.2</v>
      </c>
      <c r="L115">
        <v>34.700000000000003</v>
      </c>
      <c r="M115">
        <v>34.200000000000003</v>
      </c>
      <c r="N115">
        <v>41.7</v>
      </c>
      <c r="O115">
        <v>45.3</v>
      </c>
      <c r="P115">
        <v>44.4</v>
      </c>
      <c r="Q115">
        <v>33.6</v>
      </c>
      <c r="R115" t="s">
        <v>162</v>
      </c>
      <c r="S115" t="s">
        <v>102</v>
      </c>
    </row>
    <row r="116" spans="1:19" x14ac:dyDescent="0.25">
      <c r="A116" t="s">
        <v>165</v>
      </c>
      <c r="B116">
        <v>12.6</v>
      </c>
      <c r="C116">
        <v>58.1</v>
      </c>
      <c r="D116">
        <v>81.900000000000006</v>
      </c>
      <c r="E116">
        <v>85.9</v>
      </c>
      <c r="F116">
        <v>83.3</v>
      </c>
      <c r="G116">
        <v>80.2</v>
      </c>
      <c r="H116">
        <v>80.3</v>
      </c>
      <c r="I116">
        <v>82.4</v>
      </c>
      <c r="J116">
        <v>77.5</v>
      </c>
      <c r="K116">
        <v>0.8</v>
      </c>
      <c r="L116">
        <v>44.1</v>
      </c>
      <c r="M116" t="s">
        <v>162</v>
      </c>
      <c r="N116" t="s">
        <v>162</v>
      </c>
      <c r="O116" t="s">
        <v>162</v>
      </c>
      <c r="P116" t="s">
        <v>162</v>
      </c>
      <c r="Q116" t="s">
        <v>162</v>
      </c>
      <c r="R116" t="s">
        <v>162</v>
      </c>
      <c r="S116" t="s">
        <v>102</v>
      </c>
    </row>
    <row r="117" spans="1:19" x14ac:dyDescent="0.25">
      <c r="A117" t="s">
        <v>201</v>
      </c>
      <c r="B117">
        <v>3804</v>
      </c>
      <c r="C117">
        <v>56.9</v>
      </c>
      <c r="D117">
        <v>60.2</v>
      </c>
      <c r="E117">
        <v>65.400000000000006</v>
      </c>
      <c r="F117">
        <v>53.4</v>
      </c>
      <c r="G117">
        <v>66.2</v>
      </c>
      <c r="H117">
        <v>68.5</v>
      </c>
      <c r="I117">
        <v>70</v>
      </c>
      <c r="J117">
        <v>67.599999999999994</v>
      </c>
      <c r="K117">
        <v>69.8</v>
      </c>
      <c r="L117">
        <v>71</v>
      </c>
      <c r="M117">
        <v>71.900000000000006</v>
      </c>
      <c r="N117">
        <v>72.5</v>
      </c>
      <c r="O117">
        <v>68.900000000000006</v>
      </c>
      <c r="P117">
        <v>74.3</v>
      </c>
      <c r="Q117">
        <v>72.7</v>
      </c>
      <c r="R117">
        <v>80.3</v>
      </c>
      <c r="S117" t="s">
        <v>102</v>
      </c>
    </row>
    <row r="118" spans="1:19" x14ac:dyDescent="0.25">
      <c r="A118" t="s">
        <v>202</v>
      </c>
      <c r="B118">
        <v>3193.6</v>
      </c>
      <c r="C118">
        <v>49.5</v>
      </c>
      <c r="D118">
        <v>41.2</v>
      </c>
      <c r="E118">
        <v>40</v>
      </c>
      <c r="F118">
        <v>51.6</v>
      </c>
      <c r="G118">
        <v>49.4</v>
      </c>
      <c r="H118">
        <v>47.1</v>
      </c>
      <c r="I118">
        <v>38.700000000000003</v>
      </c>
      <c r="J118">
        <v>40</v>
      </c>
      <c r="K118">
        <v>39.200000000000003</v>
      </c>
      <c r="L118">
        <v>43</v>
      </c>
      <c r="M118">
        <v>34.700000000000003</v>
      </c>
      <c r="N118">
        <v>36.799999999999997</v>
      </c>
      <c r="O118">
        <v>36.799999999999997</v>
      </c>
      <c r="P118">
        <v>38.200000000000003</v>
      </c>
      <c r="Q118">
        <v>44.1</v>
      </c>
      <c r="R118">
        <v>46.7</v>
      </c>
      <c r="S118" t="s">
        <v>102</v>
      </c>
    </row>
    <row r="119" spans="1:19" x14ac:dyDescent="0.25">
      <c r="A119" t="s">
        <v>200</v>
      </c>
      <c r="B119">
        <v>16.100000000000001</v>
      </c>
      <c r="C119">
        <v>49.2</v>
      </c>
      <c r="D119">
        <v>51.5</v>
      </c>
      <c r="E119">
        <v>53.1</v>
      </c>
      <c r="F119">
        <v>54.3</v>
      </c>
      <c r="G119">
        <v>53</v>
      </c>
      <c r="H119">
        <v>53.9</v>
      </c>
      <c r="I119">
        <v>54.5</v>
      </c>
      <c r="J119">
        <v>54.1</v>
      </c>
      <c r="K119">
        <v>57.5</v>
      </c>
      <c r="L119">
        <v>56.6</v>
      </c>
      <c r="M119">
        <v>58</v>
      </c>
      <c r="N119">
        <v>50.8</v>
      </c>
      <c r="O119">
        <v>54</v>
      </c>
      <c r="P119">
        <v>50.9</v>
      </c>
      <c r="Q119">
        <v>49.3</v>
      </c>
      <c r="R119">
        <v>44.6</v>
      </c>
      <c r="S119" t="s">
        <v>102</v>
      </c>
    </row>
    <row r="120" spans="1:19" x14ac:dyDescent="0.25">
      <c r="A120" t="s">
        <v>216</v>
      </c>
      <c r="B120">
        <v>5137.7</v>
      </c>
      <c r="C120">
        <v>35.700000000000003</v>
      </c>
      <c r="D120">
        <v>38</v>
      </c>
      <c r="E120">
        <v>35.700000000000003</v>
      </c>
      <c r="F120">
        <v>36.5</v>
      </c>
      <c r="G120">
        <v>33.4</v>
      </c>
      <c r="H120">
        <v>35.1</v>
      </c>
      <c r="I120">
        <v>35</v>
      </c>
      <c r="J120" t="s">
        <v>162</v>
      </c>
      <c r="K120" t="s">
        <v>162</v>
      </c>
      <c r="L120" t="s">
        <v>162</v>
      </c>
      <c r="M120" t="s">
        <v>162</v>
      </c>
      <c r="N120" t="s">
        <v>162</v>
      </c>
      <c r="O120" t="s">
        <v>162</v>
      </c>
      <c r="P120" t="s">
        <v>162</v>
      </c>
      <c r="Q120" t="s">
        <v>162</v>
      </c>
      <c r="R120" t="s">
        <v>162</v>
      </c>
      <c r="S120" t="s">
        <v>102</v>
      </c>
    </row>
    <row r="121" spans="1:19" x14ac:dyDescent="0.25">
      <c r="A121" t="s">
        <v>203</v>
      </c>
      <c r="B121">
        <v>689.7</v>
      </c>
      <c r="C121">
        <v>26.5</v>
      </c>
      <c r="D121">
        <v>22.3</v>
      </c>
      <c r="E121">
        <v>26.4</v>
      </c>
      <c r="F121">
        <v>27.5</v>
      </c>
      <c r="G121">
        <v>30.2</v>
      </c>
      <c r="H121">
        <v>30.3</v>
      </c>
      <c r="I121">
        <v>31.5</v>
      </c>
      <c r="J121">
        <v>31.6</v>
      </c>
      <c r="K121">
        <v>27.3</v>
      </c>
      <c r="L121">
        <v>29.9</v>
      </c>
      <c r="M121">
        <v>20.7</v>
      </c>
      <c r="N121">
        <v>25.9</v>
      </c>
      <c r="O121">
        <v>35.700000000000003</v>
      </c>
      <c r="P121">
        <v>27.2</v>
      </c>
      <c r="Q121">
        <v>32.299999999999997</v>
      </c>
      <c r="R121">
        <v>34.799999999999997</v>
      </c>
      <c r="S121" t="s">
        <v>102</v>
      </c>
    </row>
    <row r="122" spans="1:19" x14ac:dyDescent="0.25">
      <c r="A122" t="s">
        <v>204</v>
      </c>
      <c r="B122">
        <v>1603.4</v>
      </c>
      <c r="C122">
        <v>24.7</v>
      </c>
      <c r="D122">
        <v>25</v>
      </c>
      <c r="E122">
        <v>24.5</v>
      </c>
      <c r="F122">
        <v>26</v>
      </c>
      <c r="G122">
        <v>25</v>
      </c>
      <c r="H122">
        <v>26</v>
      </c>
      <c r="I122">
        <v>25.5</v>
      </c>
      <c r="J122">
        <v>23.7</v>
      </c>
      <c r="K122">
        <v>21.7</v>
      </c>
      <c r="L122">
        <v>23.6</v>
      </c>
      <c r="M122">
        <v>23.7</v>
      </c>
      <c r="N122">
        <v>17.100000000000001</v>
      </c>
      <c r="O122">
        <v>24.1</v>
      </c>
      <c r="P122">
        <v>20.3</v>
      </c>
      <c r="Q122">
        <v>23.6</v>
      </c>
      <c r="R122">
        <v>24.6</v>
      </c>
      <c r="S122" t="s">
        <v>102</v>
      </c>
    </row>
    <row r="123" spans="1:19" x14ac:dyDescent="0.25">
      <c r="A123" t="s">
        <v>205</v>
      </c>
      <c r="B123">
        <v>408</v>
      </c>
      <c r="C123">
        <v>20.399999999999999</v>
      </c>
      <c r="D123">
        <v>38</v>
      </c>
      <c r="E123">
        <v>28.5</v>
      </c>
      <c r="F123">
        <v>24</v>
      </c>
      <c r="G123">
        <v>31.5</v>
      </c>
      <c r="H123">
        <v>35.799999999999997</v>
      </c>
      <c r="I123">
        <v>35</v>
      </c>
      <c r="J123">
        <v>21.2</v>
      </c>
      <c r="K123">
        <v>13.3</v>
      </c>
      <c r="L123">
        <v>0.8</v>
      </c>
      <c r="M123">
        <v>0.4</v>
      </c>
      <c r="N123">
        <v>1</v>
      </c>
      <c r="O123">
        <v>0.7</v>
      </c>
      <c r="P123">
        <v>0.7</v>
      </c>
      <c r="Q123">
        <v>1</v>
      </c>
      <c r="R123">
        <v>2.9</v>
      </c>
      <c r="S123" t="s">
        <v>102</v>
      </c>
    </row>
    <row r="124" spans="1:19" x14ac:dyDescent="0.25">
      <c r="A124" t="s">
        <v>206</v>
      </c>
      <c r="B124">
        <v>2586.6</v>
      </c>
      <c r="C124">
        <v>10.8</v>
      </c>
      <c r="D124">
        <v>8.1</v>
      </c>
      <c r="E124">
        <v>7.2</v>
      </c>
      <c r="F124">
        <v>9.3000000000000007</v>
      </c>
      <c r="G124">
        <v>7.6</v>
      </c>
      <c r="H124">
        <v>6.5</v>
      </c>
      <c r="I124">
        <v>4.8</v>
      </c>
      <c r="J124">
        <v>4</v>
      </c>
      <c r="K124">
        <v>6.3</v>
      </c>
      <c r="L124">
        <v>7.3</v>
      </c>
      <c r="M124">
        <v>8.8000000000000007</v>
      </c>
      <c r="N124">
        <v>5.6</v>
      </c>
      <c r="O124">
        <v>7.4</v>
      </c>
      <c r="P124">
        <v>9.1</v>
      </c>
      <c r="Q124">
        <v>13.7</v>
      </c>
      <c r="R124">
        <v>8.6</v>
      </c>
      <c r="S124" t="s">
        <v>102</v>
      </c>
    </row>
    <row r="125" spans="1:19" x14ac:dyDescent="0.25">
      <c r="A125" t="s">
        <v>215</v>
      </c>
      <c r="B125">
        <v>225.4</v>
      </c>
      <c r="C125">
        <v>2.4</v>
      </c>
      <c r="D125">
        <v>2.5</v>
      </c>
      <c r="E125">
        <v>1.1000000000000001</v>
      </c>
      <c r="F125">
        <v>0.7</v>
      </c>
      <c r="G125">
        <v>0.5</v>
      </c>
      <c r="H125">
        <v>0.8</v>
      </c>
      <c r="I125">
        <v>0.8</v>
      </c>
      <c r="J125">
        <v>1.1000000000000001</v>
      </c>
      <c r="K125">
        <v>2.2999999999999998</v>
      </c>
      <c r="L125">
        <v>3.7</v>
      </c>
      <c r="M125">
        <v>6.9</v>
      </c>
      <c r="N125">
        <v>4.5999999999999996</v>
      </c>
      <c r="O125">
        <v>9.1999999999999993</v>
      </c>
      <c r="P125">
        <v>8.5</v>
      </c>
      <c r="Q125">
        <v>11.2</v>
      </c>
      <c r="R125">
        <v>18.5</v>
      </c>
      <c r="S125" t="s">
        <v>102</v>
      </c>
    </row>
    <row r="126" spans="1:19" x14ac:dyDescent="0.25">
      <c r="A126" t="s">
        <v>208</v>
      </c>
      <c r="B126">
        <v>127</v>
      </c>
      <c r="C126">
        <v>1.1000000000000001</v>
      </c>
      <c r="D126">
        <v>0.4</v>
      </c>
      <c r="E126">
        <v>0.5</v>
      </c>
      <c r="F126">
        <v>0.4</v>
      </c>
      <c r="G126">
        <v>0.3</v>
      </c>
      <c r="H126">
        <v>0.4</v>
      </c>
      <c r="I126">
        <v>0.3</v>
      </c>
      <c r="J126">
        <v>0.2</v>
      </c>
      <c r="K126">
        <v>0.2</v>
      </c>
      <c r="L126">
        <v>0.3</v>
      </c>
      <c r="M126">
        <v>0.4</v>
      </c>
      <c r="N126">
        <v>0.3</v>
      </c>
      <c r="O126">
        <v>0.5</v>
      </c>
      <c r="P126">
        <v>0.5</v>
      </c>
      <c r="Q126">
        <v>0.4</v>
      </c>
      <c r="R126">
        <v>0.7</v>
      </c>
      <c r="S126" t="s">
        <v>102</v>
      </c>
    </row>
    <row r="127" spans="1:19" x14ac:dyDescent="0.25">
      <c r="A127" t="s">
        <v>209</v>
      </c>
      <c r="B127">
        <v>50.5</v>
      </c>
      <c r="C127">
        <v>0.1</v>
      </c>
      <c r="D127">
        <v>0</v>
      </c>
      <c r="E127">
        <v>0.3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0.2</v>
      </c>
      <c r="O127">
        <v>0.3</v>
      </c>
      <c r="P127">
        <v>0.2</v>
      </c>
      <c r="Q127">
        <v>0.2</v>
      </c>
      <c r="R127">
        <v>0.2</v>
      </c>
      <c r="S127" t="s">
        <v>102</v>
      </c>
    </row>
    <row r="128" spans="1:19" x14ac:dyDescent="0.25">
      <c r="A128" t="s">
        <v>207</v>
      </c>
      <c r="B128">
        <v>3</v>
      </c>
      <c r="C128">
        <v>0</v>
      </c>
      <c r="D128">
        <v>9.9</v>
      </c>
      <c r="E128">
        <v>24.6</v>
      </c>
      <c r="F128">
        <v>79.599999999999994</v>
      </c>
      <c r="G128" t="s">
        <v>162</v>
      </c>
      <c r="H128" t="s">
        <v>162</v>
      </c>
      <c r="I128" t="s">
        <v>162</v>
      </c>
      <c r="J128" t="s">
        <v>162</v>
      </c>
      <c r="K128" t="s">
        <v>162</v>
      </c>
      <c r="L128" t="s">
        <v>162</v>
      </c>
      <c r="M128" t="s">
        <v>162</v>
      </c>
      <c r="N128" t="s">
        <v>162</v>
      </c>
      <c r="O128" t="s">
        <v>162</v>
      </c>
      <c r="P128" t="s">
        <v>162</v>
      </c>
      <c r="Q128" t="s">
        <v>162</v>
      </c>
      <c r="R128" t="s">
        <v>162</v>
      </c>
      <c r="S128" t="s">
        <v>102</v>
      </c>
    </row>
    <row r="129" spans="1:19" x14ac:dyDescent="0.25">
      <c r="A129" t="s">
        <v>166</v>
      </c>
      <c r="B129" t="s">
        <v>162</v>
      </c>
      <c r="C129" t="s">
        <v>162</v>
      </c>
      <c r="D129" t="s">
        <v>162</v>
      </c>
      <c r="E129" t="s">
        <v>162</v>
      </c>
      <c r="F129" t="s">
        <v>162</v>
      </c>
      <c r="G129" t="s">
        <v>162</v>
      </c>
      <c r="H129" t="s">
        <v>162</v>
      </c>
      <c r="I129" t="s">
        <v>162</v>
      </c>
      <c r="J129">
        <v>36.1</v>
      </c>
      <c r="K129">
        <v>31.9</v>
      </c>
      <c r="L129">
        <v>35.6</v>
      </c>
      <c r="M129">
        <v>36</v>
      </c>
      <c r="N129">
        <v>35.799999999999997</v>
      </c>
      <c r="O129">
        <v>32.4</v>
      </c>
      <c r="P129">
        <v>31.5</v>
      </c>
      <c r="Q129">
        <v>31.9</v>
      </c>
      <c r="R129">
        <v>34.5</v>
      </c>
      <c r="S129" t="s">
        <v>102</v>
      </c>
    </row>
    <row r="130" spans="1:19" x14ac:dyDescent="0.25">
      <c r="A130" t="s">
        <v>211</v>
      </c>
      <c r="S130" t="s">
        <v>102</v>
      </c>
    </row>
    <row r="131" spans="1:19" x14ac:dyDescent="0.25">
      <c r="A131" t="s">
        <v>212</v>
      </c>
      <c r="B131">
        <v>125.6</v>
      </c>
      <c r="C131">
        <v>9.8000000000000007</v>
      </c>
      <c r="D131">
        <v>1.9</v>
      </c>
      <c r="E131">
        <v>1.3</v>
      </c>
      <c r="F131">
        <v>2.9</v>
      </c>
      <c r="G131">
        <v>1.3</v>
      </c>
      <c r="H131">
        <v>1.9</v>
      </c>
      <c r="I131">
        <v>0.8</v>
      </c>
      <c r="J131" t="s">
        <v>162</v>
      </c>
      <c r="K131" t="s">
        <v>162</v>
      </c>
      <c r="L131" t="s">
        <v>162</v>
      </c>
      <c r="M131" t="s">
        <v>162</v>
      </c>
      <c r="N131" t="s">
        <v>162</v>
      </c>
      <c r="O131" t="s">
        <v>162</v>
      </c>
      <c r="P131" t="s">
        <v>162</v>
      </c>
      <c r="Q131" t="s">
        <v>162</v>
      </c>
      <c r="R131" t="s">
        <v>162</v>
      </c>
      <c r="S131" t="s">
        <v>102</v>
      </c>
    </row>
    <row r="132" spans="1:19" x14ac:dyDescent="0.25">
      <c r="A132" t="s">
        <v>220</v>
      </c>
      <c r="B132">
        <v>588</v>
      </c>
      <c r="C132">
        <v>4.4000000000000004</v>
      </c>
      <c r="D132">
        <v>6.9</v>
      </c>
      <c r="E132">
        <v>4.2</v>
      </c>
      <c r="F132">
        <v>7</v>
      </c>
      <c r="G132">
        <v>8.6999999999999993</v>
      </c>
      <c r="H132">
        <v>10.1</v>
      </c>
      <c r="I132">
        <v>12.5</v>
      </c>
      <c r="J132">
        <v>11</v>
      </c>
      <c r="K132">
        <v>11.8</v>
      </c>
      <c r="L132">
        <v>10.8</v>
      </c>
      <c r="M132">
        <v>12.6</v>
      </c>
      <c r="N132" t="s">
        <v>162</v>
      </c>
      <c r="O132" t="s">
        <v>162</v>
      </c>
      <c r="P132" t="s">
        <v>162</v>
      </c>
      <c r="Q132" t="s">
        <v>162</v>
      </c>
      <c r="R132" t="s">
        <v>162</v>
      </c>
      <c r="S132" t="s">
        <v>102</v>
      </c>
    </row>
    <row r="133" spans="1:19" x14ac:dyDescent="0.25">
      <c r="A133" t="s">
        <v>213</v>
      </c>
      <c r="B133">
        <v>18580.3</v>
      </c>
      <c r="C133" t="s">
        <v>162</v>
      </c>
      <c r="D133" t="s">
        <v>162</v>
      </c>
      <c r="E133" t="s">
        <v>162</v>
      </c>
      <c r="F133" t="s">
        <v>162</v>
      </c>
      <c r="G133" t="s">
        <v>162</v>
      </c>
      <c r="H133" t="s">
        <v>162</v>
      </c>
      <c r="I133" t="s">
        <v>162</v>
      </c>
      <c r="J133" t="s">
        <v>162</v>
      </c>
      <c r="K133" t="s">
        <v>162</v>
      </c>
      <c r="L133" t="s">
        <v>162</v>
      </c>
      <c r="M133" t="s">
        <v>162</v>
      </c>
      <c r="N133" t="s">
        <v>162</v>
      </c>
      <c r="O133" t="s">
        <v>162</v>
      </c>
      <c r="P133" t="s">
        <v>162</v>
      </c>
      <c r="Q133" t="s">
        <v>162</v>
      </c>
      <c r="R133" t="s">
        <v>162</v>
      </c>
      <c r="S133" t="s">
        <v>102</v>
      </c>
    </row>
    <row r="134" spans="1:19" x14ac:dyDescent="0.25">
      <c r="A134" t="s">
        <v>214</v>
      </c>
      <c r="S134" t="s">
        <v>102</v>
      </c>
    </row>
    <row r="135" spans="1:19" x14ac:dyDescent="0.25">
      <c r="A135" t="s">
        <v>103</v>
      </c>
      <c r="S135" t="s">
        <v>103</v>
      </c>
    </row>
    <row r="136" spans="1:19" x14ac:dyDescent="0.25">
      <c r="A136" t="s">
        <v>198</v>
      </c>
      <c r="B136" t="s">
        <v>257</v>
      </c>
      <c r="C136" t="s">
        <v>256</v>
      </c>
      <c r="D136" t="s">
        <v>181</v>
      </c>
      <c r="E136" t="s">
        <v>180</v>
      </c>
      <c r="F136" t="s">
        <v>179</v>
      </c>
      <c r="G136" t="s">
        <v>178</v>
      </c>
      <c r="H136" t="s">
        <v>177</v>
      </c>
      <c r="I136" t="s">
        <v>176</v>
      </c>
      <c r="J136" t="s">
        <v>175</v>
      </c>
      <c r="K136" t="s">
        <v>174</v>
      </c>
      <c r="L136" t="s">
        <v>173</v>
      </c>
      <c r="M136" t="s">
        <v>172</v>
      </c>
      <c r="N136" t="s">
        <v>171</v>
      </c>
      <c r="O136" t="s">
        <v>170</v>
      </c>
      <c r="P136" t="s">
        <v>169</v>
      </c>
      <c r="Q136" t="s">
        <v>168</v>
      </c>
      <c r="R136" t="s">
        <v>167</v>
      </c>
      <c r="S136" t="s">
        <v>103</v>
      </c>
    </row>
    <row r="137" spans="1:19" x14ac:dyDescent="0.25">
      <c r="A137" t="s">
        <v>199</v>
      </c>
      <c r="S137" t="s">
        <v>103</v>
      </c>
    </row>
    <row r="138" spans="1:19" x14ac:dyDescent="0.25">
      <c r="A138" t="s">
        <v>200</v>
      </c>
      <c r="B138">
        <v>102.1</v>
      </c>
      <c r="C138">
        <v>88.1</v>
      </c>
      <c r="D138">
        <v>78.599999999999994</v>
      </c>
      <c r="E138">
        <v>74</v>
      </c>
      <c r="F138">
        <v>75.900000000000006</v>
      </c>
      <c r="G138">
        <v>74.7</v>
      </c>
      <c r="H138">
        <v>66.8</v>
      </c>
      <c r="I138">
        <v>77.900000000000006</v>
      </c>
      <c r="J138">
        <v>82.1</v>
      </c>
      <c r="K138">
        <v>80.599999999999994</v>
      </c>
      <c r="L138">
        <v>86</v>
      </c>
      <c r="M138">
        <v>85.7</v>
      </c>
      <c r="N138">
        <v>84.8</v>
      </c>
      <c r="O138">
        <v>81.3</v>
      </c>
      <c r="P138">
        <v>93.4</v>
      </c>
      <c r="Q138">
        <v>91.8</v>
      </c>
      <c r="R138">
        <v>88.5</v>
      </c>
      <c r="S138" t="s">
        <v>103</v>
      </c>
    </row>
    <row r="139" spans="1:19" x14ac:dyDescent="0.25">
      <c r="A139" t="s">
        <v>163</v>
      </c>
      <c r="B139">
        <v>2081.1999999999998</v>
      </c>
      <c r="C139">
        <v>75</v>
      </c>
      <c r="D139">
        <v>89.5</v>
      </c>
      <c r="E139">
        <v>93.7</v>
      </c>
      <c r="F139">
        <v>86.3</v>
      </c>
      <c r="G139">
        <v>92.1</v>
      </c>
      <c r="H139">
        <v>93</v>
      </c>
      <c r="I139">
        <v>90.2</v>
      </c>
      <c r="J139">
        <v>90.4</v>
      </c>
      <c r="K139">
        <v>95.2</v>
      </c>
      <c r="L139">
        <v>85.2</v>
      </c>
      <c r="M139">
        <v>92.7</v>
      </c>
      <c r="N139">
        <v>92.5</v>
      </c>
      <c r="O139">
        <v>86.5</v>
      </c>
      <c r="P139">
        <v>90.9</v>
      </c>
      <c r="Q139">
        <v>90.4</v>
      </c>
      <c r="R139">
        <v>87.2</v>
      </c>
      <c r="S139" t="s">
        <v>103</v>
      </c>
    </row>
    <row r="140" spans="1:19" x14ac:dyDescent="0.25">
      <c r="A140" t="s">
        <v>210</v>
      </c>
      <c r="B140">
        <v>83.8</v>
      </c>
      <c r="C140">
        <v>74.400000000000006</v>
      </c>
      <c r="D140">
        <v>81.5</v>
      </c>
      <c r="E140">
        <v>69.400000000000006</v>
      </c>
      <c r="F140">
        <v>66.900000000000006</v>
      </c>
      <c r="G140">
        <v>81</v>
      </c>
      <c r="H140">
        <v>85.8</v>
      </c>
      <c r="I140">
        <v>89.3</v>
      </c>
      <c r="J140">
        <v>78.099999999999994</v>
      </c>
      <c r="K140">
        <v>84.4</v>
      </c>
      <c r="L140">
        <v>78.3</v>
      </c>
      <c r="M140">
        <v>61.1</v>
      </c>
      <c r="N140">
        <v>55</v>
      </c>
      <c r="O140" t="s">
        <v>162</v>
      </c>
      <c r="P140" t="s">
        <v>162</v>
      </c>
      <c r="Q140" t="s">
        <v>162</v>
      </c>
      <c r="R140" t="s">
        <v>162</v>
      </c>
      <c r="S140" t="s">
        <v>103</v>
      </c>
    </row>
    <row r="141" spans="1:19" x14ac:dyDescent="0.25">
      <c r="A141" t="s">
        <v>165</v>
      </c>
      <c r="B141">
        <v>37.5</v>
      </c>
      <c r="C141">
        <v>71.2</v>
      </c>
      <c r="D141">
        <v>32.200000000000003</v>
      </c>
      <c r="E141">
        <v>86.3</v>
      </c>
      <c r="F141">
        <v>88.7</v>
      </c>
      <c r="G141">
        <v>81.900000000000006</v>
      </c>
      <c r="H141">
        <v>79.7</v>
      </c>
      <c r="I141">
        <v>63.6</v>
      </c>
      <c r="J141">
        <v>72.3</v>
      </c>
      <c r="K141">
        <v>58.1</v>
      </c>
      <c r="L141">
        <v>32.4</v>
      </c>
      <c r="M141" t="s">
        <v>162</v>
      </c>
      <c r="N141" t="s">
        <v>162</v>
      </c>
      <c r="O141" t="s">
        <v>162</v>
      </c>
      <c r="P141" t="s">
        <v>162</v>
      </c>
      <c r="Q141" t="s">
        <v>162</v>
      </c>
      <c r="R141" t="s">
        <v>162</v>
      </c>
      <c r="S141" t="s">
        <v>103</v>
      </c>
    </row>
    <row r="142" spans="1:19" x14ac:dyDescent="0.25">
      <c r="A142" t="s">
        <v>202</v>
      </c>
      <c r="B142">
        <v>3923</v>
      </c>
      <c r="C142">
        <v>68.2</v>
      </c>
      <c r="D142">
        <v>67.7</v>
      </c>
      <c r="E142">
        <v>67.599999999999994</v>
      </c>
      <c r="F142">
        <v>64</v>
      </c>
      <c r="G142">
        <v>61.3</v>
      </c>
      <c r="H142">
        <v>68.400000000000006</v>
      </c>
      <c r="I142">
        <v>64.5</v>
      </c>
      <c r="J142">
        <v>74.7</v>
      </c>
      <c r="K142">
        <v>71.8</v>
      </c>
      <c r="L142">
        <v>62.8</v>
      </c>
      <c r="M142">
        <v>68</v>
      </c>
      <c r="N142">
        <v>70.599999999999994</v>
      </c>
      <c r="O142">
        <v>77</v>
      </c>
      <c r="P142">
        <v>67.099999999999994</v>
      </c>
      <c r="Q142">
        <v>58.2</v>
      </c>
      <c r="R142">
        <v>47.4</v>
      </c>
      <c r="S142" t="s">
        <v>103</v>
      </c>
    </row>
    <row r="143" spans="1:19" x14ac:dyDescent="0.25">
      <c r="A143" t="s">
        <v>203</v>
      </c>
      <c r="B143">
        <v>119.2</v>
      </c>
      <c r="C143">
        <v>44.6</v>
      </c>
      <c r="D143">
        <v>29.9</v>
      </c>
      <c r="E143">
        <v>45.7</v>
      </c>
      <c r="F143">
        <v>31.1</v>
      </c>
      <c r="G143">
        <v>40.5</v>
      </c>
      <c r="H143">
        <v>51.9</v>
      </c>
      <c r="I143">
        <v>31</v>
      </c>
      <c r="J143">
        <v>20.9</v>
      </c>
      <c r="K143">
        <v>28.3</v>
      </c>
      <c r="L143">
        <v>40.5</v>
      </c>
      <c r="M143">
        <v>37.5</v>
      </c>
      <c r="N143">
        <v>29.1</v>
      </c>
      <c r="O143">
        <v>53.2</v>
      </c>
      <c r="P143">
        <v>36.6</v>
      </c>
      <c r="Q143">
        <v>47.8</v>
      </c>
      <c r="R143">
        <v>52</v>
      </c>
      <c r="S143" t="s">
        <v>103</v>
      </c>
    </row>
    <row r="144" spans="1:19" x14ac:dyDescent="0.25">
      <c r="A144" t="s">
        <v>215</v>
      </c>
      <c r="B144">
        <v>15.7</v>
      </c>
      <c r="C144">
        <v>26.6</v>
      </c>
      <c r="D144">
        <v>28.6</v>
      </c>
      <c r="E144">
        <v>37.299999999999997</v>
      </c>
      <c r="F144">
        <v>47.4</v>
      </c>
      <c r="G144">
        <v>36.200000000000003</v>
      </c>
      <c r="H144">
        <v>44.3</v>
      </c>
      <c r="I144">
        <v>45.1</v>
      </c>
      <c r="J144">
        <v>37.9</v>
      </c>
      <c r="K144">
        <v>33.1</v>
      </c>
      <c r="L144">
        <v>37.5</v>
      </c>
      <c r="M144">
        <v>36</v>
      </c>
      <c r="N144">
        <v>43.7</v>
      </c>
      <c r="O144" t="s">
        <v>162</v>
      </c>
      <c r="P144" t="s">
        <v>162</v>
      </c>
      <c r="Q144" t="s">
        <v>162</v>
      </c>
      <c r="R144" t="s">
        <v>162</v>
      </c>
      <c r="S144" t="s">
        <v>103</v>
      </c>
    </row>
    <row r="145" spans="1:19" x14ac:dyDescent="0.25">
      <c r="A145" t="s">
        <v>216</v>
      </c>
      <c r="B145">
        <v>5</v>
      </c>
      <c r="C145">
        <v>22.6</v>
      </c>
      <c r="D145">
        <v>29.3</v>
      </c>
      <c r="E145">
        <v>29.1</v>
      </c>
      <c r="F145">
        <v>138.69999999999999</v>
      </c>
      <c r="G145">
        <v>139.4</v>
      </c>
      <c r="H145">
        <v>140.4</v>
      </c>
      <c r="I145">
        <v>145</v>
      </c>
      <c r="J145" t="s">
        <v>162</v>
      </c>
      <c r="K145" t="s">
        <v>162</v>
      </c>
      <c r="L145" t="s">
        <v>162</v>
      </c>
      <c r="M145" t="s">
        <v>162</v>
      </c>
      <c r="N145" t="s">
        <v>162</v>
      </c>
      <c r="O145" t="s">
        <v>162</v>
      </c>
      <c r="P145" t="s">
        <v>162</v>
      </c>
      <c r="Q145" t="s">
        <v>162</v>
      </c>
      <c r="R145" t="s">
        <v>162</v>
      </c>
      <c r="S145" t="s">
        <v>103</v>
      </c>
    </row>
    <row r="146" spans="1:19" x14ac:dyDescent="0.25">
      <c r="A146" t="s">
        <v>204</v>
      </c>
      <c r="B146">
        <v>285.39999999999998</v>
      </c>
      <c r="C146">
        <v>16.8</v>
      </c>
      <c r="D146">
        <v>18.2</v>
      </c>
      <c r="E146">
        <v>16.8</v>
      </c>
      <c r="F146">
        <v>17.100000000000001</v>
      </c>
      <c r="G146">
        <v>16.399999999999999</v>
      </c>
      <c r="H146">
        <v>15.6</v>
      </c>
      <c r="I146">
        <v>15.4</v>
      </c>
      <c r="J146">
        <v>20.2</v>
      </c>
      <c r="K146">
        <v>19.899999999999999</v>
      </c>
      <c r="L146">
        <v>17.899999999999999</v>
      </c>
      <c r="M146" t="s">
        <v>162</v>
      </c>
      <c r="N146" t="s">
        <v>162</v>
      </c>
      <c r="O146" t="s">
        <v>162</v>
      </c>
      <c r="P146" t="s">
        <v>162</v>
      </c>
      <c r="Q146" t="s">
        <v>162</v>
      </c>
      <c r="R146" t="s">
        <v>162</v>
      </c>
      <c r="S146" t="s">
        <v>103</v>
      </c>
    </row>
    <row r="147" spans="1:19" x14ac:dyDescent="0.25">
      <c r="A147" t="s">
        <v>206</v>
      </c>
      <c r="B147">
        <v>584</v>
      </c>
      <c r="C147">
        <v>15</v>
      </c>
      <c r="D147">
        <v>12.5</v>
      </c>
      <c r="E147">
        <v>13.6</v>
      </c>
      <c r="F147">
        <v>14.2</v>
      </c>
      <c r="G147">
        <v>13.3</v>
      </c>
      <c r="H147">
        <v>15.5</v>
      </c>
      <c r="I147">
        <v>17.399999999999999</v>
      </c>
      <c r="J147">
        <v>16.2</v>
      </c>
      <c r="K147">
        <v>16.8</v>
      </c>
      <c r="L147">
        <v>14.2</v>
      </c>
      <c r="M147">
        <v>16.100000000000001</v>
      </c>
      <c r="N147">
        <v>13.8</v>
      </c>
      <c r="O147">
        <v>14.6</v>
      </c>
      <c r="P147">
        <v>16.399999999999999</v>
      </c>
      <c r="Q147">
        <v>10.8</v>
      </c>
      <c r="R147">
        <v>11.2</v>
      </c>
      <c r="S147" t="s">
        <v>103</v>
      </c>
    </row>
    <row r="148" spans="1:19" x14ac:dyDescent="0.25">
      <c r="A148" t="s">
        <v>205</v>
      </c>
      <c r="B148">
        <v>457.1</v>
      </c>
      <c r="C148">
        <v>4.9000000000000004</v>
      </c>
      <c r="D148">
        <v>5.0999999999999996</v>
      </c>
      <c r="E148">
        <v>2.7</v>
      </c>
      <c r="F148">
        <v>4.3</v>
      </c>
      <c r="G148">
        <v>3.4</v>
      </c>
      <c r="H148">
        <v>5.8</v>
      </c>
      <c r="I148">
        <v>3.6</v>
      </c>
      <c r="J148">
        <v>8.9</v>
      </c>
      <c r="K148">
        <v>13.8</v>
      </c>
      <c r="L148">
        <v>13.5</v>
      </c>
      <c r="M148">
        <v>25.1</v>
      </c>
      <c r="N148">
        <v>25.3</v>
      </c>
      <c r="O148">
        <v>24.6</v>
      </c>
      <c r="P148">
        <v>25.2</v>
      </c>
      <c r="Q148">
        <v>26.6</v>
      </c>
      <c r="R148">
        <v>20.6</v>
      </c>
      <c r="S148" t="s">
        <v>103</v>
      </c>
    </row>
    <row r="149" spans="1:19" x14ac:dyDescent="0.25">
      <c r="A149" t="s">
        <v>209</v>
      </c>
      <c r="B149">
        <v>70.400000000000006</v>
      </c>
      <c r="C149">
        <v>0.8</v>
      </c>
      <c r="D149">
        <v>0.7</v>
      </c>
      <c r="E149">
        <v>0.7</v>
      </c>
      <c r="F149">
        <v>1.1000000000000001</v>
      </c>
      <c r="G149">
        <v>0.9</v>
      </c>
      <c r="H149">
        <v>0.9</v>
      </c>
      <c r="I149">
        <v>0.8</v>
      </c>
      <c r="J149">
        <v>0.9</v>
      </c>
      <c r="K149">
        <v>1.2</v>
      </c>
      <c r="L149">
        <v>1.3</v>
      </c>
      <c r="M149">
        <v>1</v>
      </c>
      <c r="N149">
        <v>0.7</v>
      </c>
      <c r="O149">
        <v>0.8</v>
      </c>
      <c r="P149">
        <v>0.4</v>
      </c>
      <c r="Q149">
        <v>0.9</v>
      </c>
      <c r="R149">
        <v>0.8</v>
      </c>
      <c r="S149" t="s">
        <v>103</v>
      </c>
    </row>
    <row r="150" spans="1:19" x14ac:dyDescent="0.25">
      <c r="A150" t="s">
        <v>219</v>
      </c>
      <c r="B150">
        <v>1242.5999999999999</v>
      </c>
      <c r="C150">
        <v>0.6</v>
      </c>
      <c r="D150">
        <v>1.7</v>
      </c>
      <c r="E150">
        <v>0.3</v>
      </c>
      <c r="F150">
        <v>0.3</v>
      </c>
      <c r="G150">
        <v>0.1</v>
      </c>
      <c r="H150">
        <v>1.6</v>
      </c>
      <c r="I150">
        <v>0.8</v>
      </c>
      <c r="J150">
        <v>0.5</v>
      </c>
      <c r="K150">
        <v>1.4</v>
      </c>
      <c r="L150">
        <v>3.5</v>
      </c>
      <c r="M150">
        <v>1.7</v>
      </c>
      <c r="N150">
        <v>1.9</v>
      </c>
      <c r="O150">
        <v>1.2</v>
      </c>
      <c r="P150">
        <v>3.3</v>
      </c>
      <c r="Q150">
        <v>1.9</v>
      </c>
      <c r="R150">
        <v>2.9</v>
      </c>
      <c r="S150" t="s">
        <v>103</v>
      </c>
    </row>
    <row r="151" spans="1:19" x14ac:dyDescent="0.25">
      <c r="A151" t="s">
        <v>208</v>
      </c>
      <c r="B151">
        <v>962.1</v>
      </c>
      <c r="C151">
        <v>0.2</v>
      </c>
      <c r="D151">
        <v>0.2</v>
      </c>
      <c r="E151">
        <v>0.1</v>
      </c>
      <c r="F151">
        <v>0.1</v>
      </c>
      <c r="G151">
        <v>0.1</v>
      </c>
      <c r="H151">
        <v>0.4</v>
      </c>
      <c r="I151">
        <v>0.5</v>
      </c>
      <c r="J151">
        <v>0.4</v>
      </c>
      <c r="K151">
        <v>0.5</v>
      </c>
      <c r="L151">
        <v>0.7</v>
      </c>
      <c r="M151">
        <v>0.4</v>
      </c>
      <c r="N151">
        <v>0.3</v>
      </c>
      <c r="O151">
        <v>0.4</v>
      </c>
      <c r="P151">
        <v>0.9</v>
      </c>
      <c r="Q151">
        <v>0.4</v>
      </c>
      <c r="R151">
        <v>0.2</v>
      </c>
      <c r="S151" t="s">
        <v>103</v>
      </c>
    </row>
    <row r="152" spans="1:19" x14ac:dyDescent="0.25">
      <c r="A152" t="s">
        <v>201</v>
      </c>
      <c r="B152" t="s">
        <v>162</v>
      </c>
      <c r="C152" t="s">
        <v>162</v>
      </c>
      <c r="D152" t="s">
        <v>162</v>
      </c>
      <c r="E152">
        <v>26.8</v>
      </c>
      <c r="F152">
        <v>0</v>
      </c>
      <c r="G152">
        <v>2</v>
      </c>
      <c r="H152">
        <v>10.199999999999999</v>
      </c>
      <c r="I152">
        <v>6.2</v>
      </c>
      <c r="J152">
        <v>5.8</v>
      </c>
      <c r="K152">
        <v>18.3</v>
      </c>
      <c r="L152">
        <v>25</v>
      </c>
      <c r="M152">
        <v>20.8</v>
      </c>
      <c r="N152">
        <v>3.2</v>
      </c>
      <c r="O152">
        <v>11</v>
      </c>
      <c r="P152">
        <v>53.1</v>
      </c>
      <c r="Q152">
        <v>50</v>
      </c>
      <c r="R152">
        <v>90.7</v>
      </c>
      <c r="S152" t="s">
        <v>103</v>
      </c>
    </row>
    <row r="153" spans="1:19" x14ac:dyDescent="0.25">
      <c r="A153" t="s">
        <v>217</v>
      </c>
      <c r="B153" t="s">
        <v>162</v>
      </c>
      <c r="C153" t="s">
        <v>162</v>
      </c>
      <c r="D153" t="s">
        <v>162</v>
      </c>
      <c r="E153" t="s">
        <v>162</v>
      </c>
      <c r="F153" t="s">
        <v>162</v>
      </c>
      <c r="G153">
        <v>0</v>
      </c>
      <c r="H153">
        <v>0</v>
      </c>
      <c r="I153">
        <v>59.8</v>
      </c>
      <c r="J153">
        <v>0</v>
      </c>
      <c r="K153">
        <v>0</v>
      </c>
      <c r="L153">
        <v>3.4</v>
      </c>
      <c r="M153">
        <v>41.4</v>
      </c>
      <c r="N153" t="s">
        <v>162</v>
      </c>
      <c r="O153" t="s">
        <v>162</v>
      </c>
      <c r="P153">
        <v>114.9</v>
      </c>
      <c r="Q153">
        <v>76.599999999999994</v>
      </c>
      <c r="R153">
        <v>114.4</v>
      </c>
      <c r="S153" t="s">
        <v>103</v>
      </c>
    </row>
    <row r="154" spans="1:19" x14ac:dyDescent="0.25">
      <c r="A154" t="s">
        <v>166</v>
      </c>
      <c r="B154" t="s">
        <v>162</v>
      </c>
      <c r="C154" t="s">
        <v>162</v>
      </c>
      <c r="D154" t="s">
        <v>162</v>
      </c>
      <c r="E154" t="s">
        <v>162</v>
      </c>
      <c r="F154" t="s">
        <v>162</v>
      </c>
      <c r="G154" t="s">
        <v>162</v>
      </c>
      <c r="H154" t="s">
        <v>162</v>
      </c>
      <c r="I154" t="s">
        <v>162</v>
      </c>
      <c r="J154">
        <v>131.9</v>
      </c>
      <c r="K154" t="s">
        <v>162</v>
      </c>
      <c r="L154" t="s">
        <v>162</v>
      </c>
      <c r="M154" t="s">
        <v>162</v>
      </c>
      <c r="N154" t="s">
        <v>162</v>
      </c>
      <c r="O154" t="s">
        <v>162</v>
      </c>
      <c r="P154" t="s">
        <v>162</v>
      </c>
      <c r="Q154" t="s">
        <v>162</v>
      </c>
      <c r="R154" t="s">
        <v>162</v>
      </c>
      <c r="S154" t="s">
        <v>103</v>
      </c>
    </row>
    <row r="155" spans="1:19" x14ac:dyDescent="0.25">
      <c r="A155" t="s">
        <v>211</v>
      </c>
      <c r="S155" t="s">
        <v>103</v>
      </c>
    </row>
    <row r="156" spans="1:19" x14ac:dyDescent="0.25">
      <c r="A156" t="s">
        <v>220</v>
      </c>
      <c r="B156">
        <v>29.4</v>
      </c>
      <c r="C156">
        <v>8.6</v>
      </c>
      <c r="D156">
        <v>6.3</v>
      </c>
      <c r="E156">
        <v>7.1</v>
      </c>
      <c r="F156">
        <v>5.5</v>
      </c>
      <c r="G156">
        <v>7.3</v>
      </c>
      <c r="H156">
        <v>5.5</v>
      </c>
      <c r="I156">
        <v>4.7</v>
      </c>
      <c r="J156">
        <v>4.2</v>
      </c>
      <c r="K156">
        <v>2.2000000000000002</v>
      </c>
      <c r="L156">
        <v>6.5</v>
      </c>
      <c r="M156">
        <v>5.6</v>
      </c>
      <c r="N156" t="s">
        <v>162</v>
      </c>
      <c r="O156" t="s">
        <v>162</v>
      </c>
      <c r="P156" t="s">
        <v>162</v>
      </c>
      <c r="Q156" t="s">
        <v>162</v>
      </c>
      <c r="R156" t="s">
        <v>162</v>
      </c>
      <c r="S156" t="s">
        <v>103</v>
      </c>
    </row>
    <row r="157" spans="1:19" x14ac:dyDescent="0.25">
      <c r="A157" t="s">
        <v>212</v>
      </c>
      <c r="B157">
        <v>1.6</v>
      </c>
      <c r="C157">
        <v>1</v>
      </c>
      <c r="D157">
        <v>0.8</v>
      </c>
      <c r="E157">
        <v>1.2</v>
      </c>
      <c r="F157">
        <v>0</v>
      </c>
      <c r="G157">
        <v>0</v>
      </c>
      <c r="H157">
        <v>0</v>
      </c>
      <c r="I157">
        <v>0</v>
      </c>
      <c r="J157" t="s">
        <v>162</v>
      </c>
      <c r="K157" t="s">
        <v>162</v>
      </c>
      <c r="L157" t="s">
        <v>162</v>
      </c>
      <c r="M157" t="s">
        <v>162</v>
      </c>
      <c r="N157" t="s">
        <v>162</v>
      </c>
      <c r="O157" t="s">
        <v>162</v>
      </c>
      <c r="P157" t="s">
        <v>162</v>
      </c>
      <c r="Q157" t="s">
        <v>162</v>
      </c>
      <c r="R157" t="s">
        <v>162</v>
      </c>
      <c r="S157" t="s">
        <v>103</v>
      </c>
    </row>
    <row r="158" spans="1:19" x14ac:dyDescent="0.25">
      <c r="A158" t="s">
        <v>213</v>
      </c>
      <c r="B158">
        <v>10000.1</v>
      </c>
      <c r="C158" t="s">
        <v>162</v>
      </c>
      <c r="D158" t="s">
        <v>162</v>
      </c>
      <c r="E158" t="s">
        <v>162</v>
      </c>
      <c r="F158" t="s">
        <v>162</v>
      </c>
      <c r="G158" t="s">
        <v>162</v>
      </c>
      <c r="H158" t="s">
        <v>162</v>
      </c>
      <c r="I158" t="s">
        <v>162</v>
      </c>
      <c r="J158" t="s">
        <v>162</v>
      </c>
      <c r="K158" t="s">
        <v>162</v>
      </c>
      <c r="L158" t="s">
        <v>162</v>
      </c>
      <c r="M158" t="s">
        <v>162</v>
      </c>
      <c r="N158" t="s">
        <v>162</v>
      </c>
      <c r="O158" t="s">
        <v>162</v>
      </c>
      <c r="P158" t="s">
        <v>162</v>
      </c>
      <c r="Q158" t="s">
        <v>162</v>
      </c>
      <c r="R158" t="s">
        <v>162</v>
      </c>
      <c r="S158" t="s">
        <v>103</v>
      </c>
    </row>
    <row r="159" spans="1:19" x14ac:dyDescent="0.25">
      <c r="A159" t="s">
        <v>214</v>
      </c>
      <c r="S159" t="s">
        <v>103</v>
      </c>
    </row>
    <row r="160" spans="1:19" x14ac:dyDescent="0.25">
      <c r="A160" t="s">
        <v>104</v>
      </c>
      <c r="S160" t="s">
        <v>104</v>
      </c>
    </row>
    <row r="161" spans="1:19" x14ac:dyDescent="0.25">
      <c r="A161" t="s">
        <v>198</v>
      </c>
      <c r="B161" t="s">
        <v>257</v>
      </c>
      <c r="C161" t="s">
        <v>256</v>
      </c>
      <c r="D161" t="s">
        <v>181</v>
      </c>
      <c r="E161" t="s">
        <v>180</v>
      </c>
      <c r="F161" t="s">
        <v>179</v>
      </c>
      <c r="G161" t="s">
        <v>178</v>
      </c>
      <c r="H161" t="s">
        <v>177</v>
      </c>
      <c r="I161" t="s">
        <v>176</v>
      </c>
      <c r="J161" t="s">
        <v>175</v>
      </c>
      <c r="K161" t="s">
        <v>174</v>
      </c>
      <c r="L161" t="s">
        <v>173</v>
      </c>
      <c r="M161" t="s">
        <v>172</v>
      </c>
      <c r="N161" t="s">
        <v>171</v>
      </c>
      <c r="O161" t="s">
        <v>170</v>
      </c>
      <c r="P161" t="s">
        <v>169</v>
      </c>
      <c r="Q161" t="s">
        <v>168</v>
      </c>
      <c r="R161" t="s">
        <v>167</v>
      </c>
      <c r="S161" t="s">
        <v>104</v>
      </c>
    </row>
    <row r="162" spans="1:19" x14ac:dyDescent="0.25">
      <c r="A162" t="s">
        <v>199</v>
      </c>
      <c r="S162" t="s">
        <v>104</v>
      </c>
    </row>
    <row r="163" spans="1:19" x14ac:dyDescent="0.25">
      <c r="A163" t="s">
        <v>210</v>
      </c>
      <c r="B163">
        <v>28.8</v>
      </c>
      <c r="C163">
        <v>82.5</v>
      </c>
      <c r="D163">
        <v>85.7</v>
      </c>
      <c r="E163">
        <v>91.5</v>
      </c>
      <c r="F163">
        <v>93.4</v>
      </c>
      <c r="G163">
        <v>88.7</v>
      </c>
      <c r="H163">
        <v>85.7</v>
      </c>
      <c r="I163">
        <v>86.6</v>
      </c>
      <c r="J163">
        <v>86.4</v>
      </c>
      <c r="K163">
        <v>86.4</v>
      </c>
      <c r="L163">
        <v>40.1</v>
      </c>
      <c r="M163">
        <v>71.8</v>
      </c>
      <c r="N163" t="s">
        <v>162</v>
      </c>
      <c r="O163" t="s">
        <v>162</v>
      </c>
      <c r="P163" t="s">
        <v>162</v>
      </c>
      <c r="Q163" t="s">
        <v>162</v>
      </c>
      <c r="R163" t="s">
        <v>162</v>
      </c>
      <c r="S163" t="s">
        <v>104</v>
      </c>
    </row>
    <row r="164" spans="1:19" x14ac:dyDescent="0.25">
      <c r="A164" t="s">
        <v>200</v>
      </c>
      <c r="B164">
        <v>14.2</v>
      </c>
      <c r="C164">
        <v>53.3</v>
      </c>
      <c r="D164">
        <v>63.5</v>
      </c>
      <c r="E164">
        <v>63.3</v>
      </c>
      <c r="F164">
        <v>67.2</v>
      </c>
      <c r="G164">
        <v>57.5</v>
      </c>
      <c r="H164">
        <v>55.3</v>
      </c>
      <c r="I164">
        <v>58.8</v>
      </c>
      <c r="J164">
        <v>63.4</v>
      </c>
      <c r="K164">
        <v>71.400000000000006</v>
      </c>
      <c r="L164">
        <v>73.599999999999994</v>
      </c>
      <c r="M164">
        <v>81.8</v>
      </c>
      <c r="N164">
        <v>87.6</v>
      </c>
      <c r="O164">
        <v>87.4</v>
      </c>
      <c r="P164">
        <v>63.5</v>
      </c>
      <c r="Q164">
        <v>58.8</v>
      </c>
      <c r="R164">
        <v>87.5</v>
      </c>
      <c r="S164" t="s">
        <v>104</v>
      </c>
    </row>
    <row r="165" spans="1:19" x14ac:dyDescent="0.25">
      <c r="A165" t="s">
        <v>206</v>
      </c>
      <c r="B165">
        <v>314</v>
      </c>
      <c r="C165">
        <v>37.1</v>
      </c>
      <c r="D165">
        <v>33.4</v>
      </c>
      <c r="E165">
        <v>25.9</v>
      </c>
      <c r="F165">
        <v>34.5</v>
      </c>
      <c r="G165">
        <v>44.1</v>
      </c>
      <c r="H165">
        <v>29.1</v>
      </c>
      <c r="I165">
        <v>30.1</v>
      </c>
      <c r="J165">
        <v>36.299999999999997</v>
      </c>
      <c r="K165">
        <v>34.700000000000003</v>
      </c>
      <c r="L165">
        <v>21.9</v>
      </c>
      <c r="M165">
        <v>2.9</v>
      </c>
      <c r="N165">
        <v>19.2</v>
      </c>
      <c r="O165">
        <v>8.5</v>
      </c>
      <c r="P165">
        <v>3.7</v>
      </c>
      <c r="Q165">
        <v>2.2000000000000002</v>
      </c>
      <c r="R165">
        <v>2</v>
      </c>
      <c r="S165" t="s">
        <v>104</v>
      </c>
    </row>
    <row r="166" spans="1:19" x14ac:dyDescent="0.25">
      <c r="A166" t="s">
        <v>216</v>
      </c>
      <c r="B166">
        <v>2</v>
      </c>
      <c r="C166">
        <v>23.8</v>
      </c>
      <c r="D166">
        <v>25</v>
      </c>
      <c r="E166">
        <v>27.7</v>
      </c>
      <c r="F166">
        <v>29.5</v>
      </c>
      <c r="G166">
        <v>30.1</v>
      </c>
      <c r="H166">
        <v>29.7</v>
      </c>
      <c r="I166">
        <v>28.3</v>
      </c>
      <c r="J166" t="s">
        <v>162</v>
      </c>
      <c r="K166" t="s">
        <v>162</v>
      </c>
      <c r="L166" t="s">
        <v>162</v>
      </c>
      <c r="M166" t="s">
        <v>162</v>
      </c>
      <c r="N166" t="s">
        <v>162</v>
      </c>
      <c r="O166" t="s">
        <v>162</v>
      </c>
      <c r="P166" t="s">
        <v>162</v>
      </c>
      <c r="Q166" t="s">
        <v>162</v>
      </c>
      <c r="R166" t="s">
        <v>162</v>
      </c>
      <c r="S166" t="s">
        <v>104</v>
      </c>
    </row>
    <row r="167" spans="1:19" x14ac:dyDescent="0.25">
      <c r="A167" t="s">
        <v>207</v>
      </c>
      <c r="B167">
        <v>135</v>
      </c>
      <c r="C167">
        <v>23</v>
      </c>
      <c r="D167">
        <v>20.9</v>
      </c>
      <c r="E167">
        <v>20.5</v>
      </c>
      <c r="F167">
        <v>21.1</v>
      </c>
      <c r="G167">
        <v>27.2</v>
      </c>
      <c r="H167">
        <v>26</v>
      </c>
      <c r="I167">
        <v>29.2</v>
      </c>
      <c r="J167">
        <v>31.9</v>
      </c>
      <c r="K167">
        <v>27.7</v>
      </c>
      <c r="L167">
        <v>28.6</v>
      </c>
      <c r="M167">
        <v>41.3</v>
      </c>
      <c r="N167">
        <v>24.4</v>
      </c>
      <c r="O167">
        <v>17.600000000000001</v>
      </c>
      <c r="P167">
        <v>0</v>
      </c>
      <c r="Q167">
        <v>16.399999999999999</v>
      </c>
      <c r="R167">
        <v>22.8</v>
      </c>
      <c r="S167" t="s">
        <v>104</v>
      </c>
    </row>
    <row r="168" spans="1:19" x14ac:dyDescent="0.25">
      <c r="A168" t="s">
        <v>202</v>
      </c>
      <c r="B168">
        <v>1496</v>
      </c>
      <c r="C168">
        <v>21.7</v>
      </c>
      <c r="D168">
        <v>25.3</v>
      </c>
      <c r="E168">
        <v>18.2</v>
      </c>
      <c r="F168">
        <v>25.3</v>
      </c>
      <c r="G168">
        <v>24.9</v>
      </c>
      <c r="H168">
        <v>31.4</v>
      </c>
      <c r="I168">
        <v>40.5</v>
      </c>
      <c r="J168">
        <v>42.3</v>
      </c>
      <c r="K168">
        <v>41.2</v>
      </c>
      <c r="L168">
        <v>45.5</v>
      </c>
      <c r="M168">
        <v>43.9</v>
      </c>
      <c r="N168">
        <v>52.2</v>
      </c>
      <c r="O168">
        <v>39.6</v>
      </c>
      <c r="P168">
        <v>24.7</v>
      </c>
      <c r="Q168">
        <v>13.4</v>
      </c>
      <c r="R168">
        <v>13.6</v>
      </c>
      <c r="S168" t="s">
        <v>104</v>
      </c>
    </row>
    <row r="169" spans="1:19" x14ac:dyDescent="0.25">
      <c r="A169" t="s">
        <v>204</v>
      </c>
      <c r="B169">
        <v>89.4</v>
      </c>
      <c r="C169">
        <v>19.8</v>
      </c>
      <c r="D169">
        <v>18.399999999999999</v>
      </c>
      <c r="E169">
        <v>17.399999999999999</v>
      </c>
      <c r="F169">
        <v>16.8</v>
      </c>
      <c r="G169">
        <v>18.399999999999999</v>
      </c>
      <c r="H169">
        <v>17.399999999999999</v>
      </c>
      <c r="I169">
        <v>18.2</v>
      </c>
      <c r="J169">
        <v>18.899999999999999</v>
      </c>
      <c r="K169">
        <v>18.3</v>
      </c>
      <c r="L169">
        <v>19.100000000000001</v>
      </c>
      <c r="M169">
        <v>19.7</v>
      </c>
      <c r="N169">
        <v>20.3</v>
      </c>
      <c r="O169">
        <v>13.8</v>
      </c>
      <c r="P169" t="s">
        <v>162</v>
      </c>
      <c r="Q169" t="s">
        <v>162</v>
      </c>
      <c r="R169" t="s">
        <v>162</v>
      </c>
      <c r="S169" t="s">
        <v>104</v>
      </c>
    </row>
    <row r="170" spans="1:19" x14ac:dyDescent="0.25">
      <c r="A170" t="s">
        <v>205</v>
      </c>
      <c r="B170">
        <v>695</v>
      </c>
      <c r="C170">
        <v>3.8</v>
      </c>
      <c r="D170">
        <v>5.5</v>
      </c>
      <c r="E170">
        <v>4.5</v>
      </c>
      <c r="F170">
        <v>2.5</v>
      </c>
      <c r="G170">
        <v>2.1</v>
      </c>
      <c r="H170">
        <v>4.9000000000000004</v>
      </c>
      <c r="I170">
        <v>3.5</v>
      </c>
      <c r="J170">
        <v>12.2</v>
      </c>
      <c r="K170">
        <v>8.1999999999999993</v>
      </c>
      <c r="L170">
        <v>12</v>
      </c>
      <c r="M170">
        <v>5.6</v>
      </c>
      <c r="N170">
        <v>14.8</v>
      </c>
      <c r="O170">
        <v>9.1</v>
      </c>
      <c r="P170">
        <v>3.4</v>
      </c>
      <c r="Q170">
        <v>0.7</v>
      </c>
      <c r="R170">
        <v>1.5</v>
      </c>
      <c r="S170" t="s">
        <v>104</v>
      </c>
    </row>
    <row r="171" spans="1:19" x14ac:dyDescent="0.25">
      <c r="A171" t="s">
        <v>201</v>
      </c>
      <c r="B171">
        <v>410</v>
      </c>
      <c r="C171">
        <v>0.4</v>
      </c>
      <c r="D171">
        <v>3.5</v>
      </c>
      <c r="E171">
        <v>8.1</v>
      </c>
      <c r="F171">
        <v>3.4</v>
      </c>
      <c r="G171">
        <v>3.8</v>
      </c>
      <c r="H171">
        <v>8.1</v>
      </c>
      <c r="I171">
        <v>10.199999999999999</v>
      </c>
      <c r="J171">
        <v>13.5</v>
      </c>
      <c r="K171">
        <v>16.899999999999999</v>
      </c>
      <c r="L171">
        <v>24.5</v>
      </c>
      <c r="M171">
        <v>31</v>
      </c>
      <c r="N171">
        <v>22.2</v>
      </c>
      <c r="O171">
        <v>21.2</v>
      </c>
      <c r="P171">
        <v>32.1</v>
      </c>
      <c r="Q171">
        <v>31.7</v>
      </c>
      <c r="R171">
        <v>57.1</v>
      </c>
      <c r="S171" t="s">
        <v>104</v>
      </c>
    </row>
    <row r="172" spans="1:19" x14ac:dyDescent="0.25">
      <c r="A172" t="s">
        <v>208</v>
      </c>
      <c r="B172">
        <v>111.1</v>
      </c>
      <c r="C172">
        <v>0.1</v>
      </c>
      <c r="D172">
        <v>0.2</v>
      </c>
      <c r="E172">
        <v>0.1</v>
      </c>
      <c r="F172">
        <v>0.1</v>
      </c>
      <c r="G172">
        <v>0.3</v>
      </c>
      <c r="H172">
        <v>0.3</v>
      </c>
      <c r="I172">
        <v>0.1</v>
      </c>
      <c r="J172">
        <v>0.1</v>
      </c>
      <c r="K172">
        <v>0.2</v>
      </c>
      <c r="L172">
        <v>0.4</v>
      </c>
      <c r="M172">
        <v>0.1</v>
      </c>
      <c r="N172">
        <v>0</v>
      </c>
      <c r="O172">
        <v>0</v>
      </c>
      <c r="P172">
        <v>0.1</v>
      </c>
      <c r="Q172">
        <v>0.1</v>
      </c>
      <c r="R172">
        <v>0.1</v>
      </c>
      <c r="S172" t="s">
        <v>104</v>
      </c>
    </row>
    <row r="173" spans="1:19" x14ac:dyDescent="0.25">
      <c r="A173" t="s">
        <v>209</v>
      </c>
      <c r="B173" t="s">
        <v>162</v>
      </c>
      <c r="C173" t="s">
        <v>162</v>
      </c>
      <c r="D173" t="s">
        <v>162</v>
      </c>
      <c r="E173" t="s">
        <v>162</v>
      </c>
      <c r="F173" t="s">
        <v>162</v>
      </c>
      <c r="G173" t="s">
        <v>162</v>
      </c>
      <c r="H173" t="s">
        <v>162</v>
      </c>
      <c r="I173" t="s">
        <v>162</v>
      </c>
      <c r="J173" t="s">
        <v>162</v>
      </c>
      <c r="K173" t="s">
        <v>162</v>
      </c>
      <c r="L173" t="s">
        <v>162</v>
      </c>
      <c r="M173" t="s">
        <v>162</v>
      </c>
      <c r="N173" t="s">
        <v>162</v>
      </c>
      <c r="O173">
        <v>0</v>
      </c>
      <c r="P173">
        <v>0</v>
      </c>
      <c r="Q173">
        <v>0</v>
      </c>
      <c r="R173">
        <v>0</v>
      </c>
      <c r="S173" t="s">
        <v>104</v>
      </c>
    </row>
    <row r="174" spans="1:19" x14ac:dyDescent="0.25">
      <c r="A174" t="s">
        <v>219</v>
      </c>
      <c r="B174" t="s">
        <v>162</v>
      </c>
      <c r="C174" t="s">
        <v>162</v>
      </c>
      <c r="D174" t="s">
        <v>162</v>
      </c>
      <c r="E174" t="s">
        <v>162</v>
      </c>
      <c r="F174" t="s">
        <v>162</v>
      </c>
      <c r="G174" t="s">
        <v>162</v>
      </c>
      <c r="H174" t="s">
        <v>162</v>
      </c>
      <c r="I174" t="s">
        <v>162</v>
      </c>
      <c r="J174" t="s">
        <v>162</v>
      </c>
      <c r="K174" t="s">
        <v>162</v>
      </c>
      <c r="L174" t="s">
        <v>162</v>
      </c>
      <c r="M174" t="s">
        <v>162</v>
      </c>
      <c r="N174" t="s">
        <v>162</v>
      </c>
      <c r="O174" t="s">
        <v>162</v>
      </c>
      <c r="P174">
        <v>1.7</v>
      </c>
      <c r="Q174">
        <v>1.2</v>
      </c>
      <c r="R174">
        <v>2</v>
      </c>
      <c r="S174" t="s">
        <v>104</v>
      </c>
    </row>
    <row r="175" spans="1:19" x14ac:dyDescent="0.25">
      <c r="A175" t="s">
        <v>166</v>
      </c>
      <c r="B175" t="s">
        <v>162</v>
      </c>
      <c r="C175" t="s">
        <v>162</v>
      </c>
      <c r="D175" t="s">
        <v>162</v>
      </c>
      <c r="E175" t="s">
        <v>162</v>
      </c>
      <c r="F175" t="s">
        <v>162</v>
      </c>
      <c r="G175" t="s">
        <v>162</v>
      </c>
      <c r="H175" t="s">
        <v>162</v>
      </c>
      <c r="I175" t="s">
        <v>162</v>
      </c>
      <c r="J175">
        <v>30.3</v>
      </c>
      <c r="K175">
        <v>29.3</v>
      </c>
      <c r="L175">
        <v>28.8</v>
      </c>
      <c r="M175">
        <v>25.5</v>
      </c>
      <c r="N175">
        <v>20.7</v>
      </c>
      <c r="O175">
        <v>27.5</v>
      </c>
      <c r="P175">
        <v>31.2</v>
      </c>
      <c r="Q175" t="s">
        <v>162</v>
      </c>
      <c r="R175" t="s">
        <v>162</v>
      </c>
      <c r="S175" t="s">
        <v>104</v>
      </c>
    </row>
    <row r="176" spans="1:19" x14ac:dyDescent="0.25">
      <c r="A176" t="s">
        <v>211</v>
      </c>
      <c r="S176" t="s">
        <v>104</v>
      </c>
    </row>
    <row r="177" spans="1:19" x14ac:dyDescent="0.25">
      <c r="A177" t="s">
        <v>213</v>
      </c>
      <c r="B177">
        <v>3295.5</v>
      </c>
      <c r="C177" t="s">
        <v>162</v>
      </c>
      <c r="D177" t="s">
        <v>162</v>
      </c>
      <c r="E177" t="s">
        <v>162</v>
      </c>
      <c r="F177" t="s">
        <v>162</v>
      </c>
      <c r="G177" t="s">
        <v>162</v>
      </c>
      <c r="H177" t="s">
        <v>162</v>
      </c>
      <c r="I177" t="s">
        <v>162</v>
      </c>
      <c r="J177" t="s">
        <v>162</v>
      </c>
      <c r="K177" t="s">
        <v>162</v>
      </c>
      <c r="L177" t="s">
        <v>162</v>
      </c>
      <c r="M177" t="s">
        <v>162</v>
      </c>
      <c r="N177" t="s">
        <v>162</v>
      </c>
      <c r="O177" t="s">
        <v>162</v>
      </c>
      <c r="P177" t="s">
        <v>162</v>
      </c>
      <c r="Q177" t="s">
        <v>162</v>
      </c>
      <c r="R177" t="s">
        <v>162</v>
      </c>
      <c r="S177" t="s">
        <v>104</v>
      </c>
    </row>
    <row r="178" spans="1:19" x14ac:dyDescent="0.25">
      <c r="A178" t="s">
        <v>214</v>
      </c>
      <c r="S178" t="s">
        <v>104</v>
      </c>
    </row>
    <row r="179" spans="1:19" x14ac:dyDescent="0.25">
      <c r="A179" t="s">
        <v>105</v>
      </c>
      <c r="S179" t="s">
        <v>105</v>
      </c>
    </row>
    <row r="180" spans="1:19" x14ac:dyDescent="0.25">
      <c r="A180" t="s">
        <v>198</v>
      </c>
      <c r="B180" t="s">
        <v>257</v>
      </c>
      <c r="C180" t="s">
        <v>256</v>
      </c>
      <c r="D180" t="s">
        <v>181</v>
      </c>
      <c r="E180" t="s">
        <v>180</v>
      </c>
      <c r="F180" t="s">
        <v>179</v>
      </c>
      <c r="G180" t="s">
        <v>178</v>
      </c>
      <c r="H180" t="s">
        <v>177</v>
      </c>
      <c r="I180" t="s">
        <v>176</v>
      </c>
      <c r="J180" t="s">
        <v>175</v>
      </c>
      <c r="K180" t="s">
        <v>174</v>
      </c>
      <c r="L180" t="s">
        <v>173</v>
      </c>
      <c r="M180" t="s">
        <v>172</v>
      </c>
      <c r="N180" t="s">
        <v>171</v>
      </c>
      <c r="O180" t="s">
        <v>170</v>
      </c>
      <c r="P180" t="s">
        <v>169</v>
      </c>
      <c r="Q180" t="s">
        <v>168</v>
      </c>
      <c r="R180" t="s">
        <v>167</v>
      </c>
      <c r="S180" t="s">
        <v>105</v>
      </c>
    </row>
    <row r="181" spans="1:19" x14ac:dyDescent="0.25">
      <c r="A181" t="s">
        <v>199</v>
      </c>
      <c r="S181" t="s">
        <v>105</v>
      </c>
    </row>
    <row r="182" spans="1:19" x14ac:dyDescent="0.25">
      <c r="A182" t="s">
        <v>163</v>
      </c>
      <c r="B182">
        <v>3666</v>
      </c>
      <c r="C182">
        <v>93.2</v>
      </c>
      <c r="D182">
        <v>95.8</v>
      </c>
      <c r="E182">
        <v>91.9</v>
      </c>
      <c r="F182">
        <v>91.7</v>
      </c>
      <c r="G182">
        <v>91.7</v>
      </c>
      <c r="H182">
        <v>92.3</v>
      </c>
      <c r="I182">
        <v>93.1</v>
      </c>
      <c r="J182">
        <v>93.5</v>
      </c>
      <c r="K182">
        <v>89.9</v>
      </c>
      <c r="L182">
        <v>89.1</v>
      </c>
      <c r="M182">
        <v>86.1</v>
      </c>
      <c r="N182">
        <v>59</v>
      </c>
      <c r="O182">
        <v>64.099999999999994</v>
      </c>
      <c r="P182">
        <v>69.7</v>
      </c>
      <c r="Q182">
        <v>84.7</v>
      </c>
      <c r="R182">
        <v>93.2</v>
      </c>
      <c r="S182" t="s">
        <v>105</v>
      </c>
    </row>
    <row r="183" spans="1:19" x14ac:dyDescent="0.25">
      <c r="A183" t="s">
        <v>202</v>
      </c>
      <c r="B183">
        <v>35380</v>
      </c>
      <c r="C183">
        <v>59</v>
      </c>
      <c r="D183">
        <v>59.5</v>
      </c>
      <c r="E183">
        <v>59</v>
      </c>
      <c r="F183">
        <v>61.9</v>
      </c>
      <c r="G183">
        <v>62.6</v>
      </c>
      <c r="H183">
        <v>61.3</v>
      </c>
      <c r="I183">
        <v>56.9</v>
      </c>
      <c r="J183">
        <v>60.4</v>
      </c>
      <c r="K183">
        <v>61</v>
      </c>
      <c r="L183">
        <v>56.7</v>
      </c>
      <c r="M183">
        <v>57.3</v>
      </c>
      <c r="N183">
        <v>60.7</v>
      </c>
      <c r="O183">
        <v>56.2</v>
      </c>
      <c r="P183">
        <v>55.9</v>
      </c>
      <c r="Q183">
        <v>72.599999999999994</v>
      </c>
      <c r="R183">
        <v>53.7</v>
      </c>
      <c r="S183" t="s">
        <v>105</v>
      </c>
    </row>
    <row r="184" spans="1:19" x14ac:dyDescent="0.25">
      <c r="A184" t="s">
        <v>203</v>
      </c>
      <c r="B184">
        <v>43.5</v>
      </c>
      <c r="C184">
        <v>58.8</v>
      </c>
      <c r="D184">
        <v>60.6</v>
      </c>
      <c r="E184">
        <v>66</v>
      </c>
      <c r="F184">
        <v>60.6</v>
      </c>
      <c r="G184">
        <v>53.2</v>
      </c>
      <c r="H184">
        <v>48.7</v>
      </c>
      <c r="I184">
        <v>45.7</v>
      </c>
      <c r="J184">
        <v>36.5</v>
      </c>
      <c r="K184">
        <v>51.2</v>
      </c>
      <c r="L184">
        <v>44.3</v>
      </c>
      <c r="M184">
        <v>53.2</v>
      </c>
      <c r="N184">
        <v>19.100000000000001</v>
      </c>
      <c r="O184">
        <v>23</v>
      </c>
      <c r="P184">
        <v>23.7</v>
      </c>
      <c r="Q184">
        <v>27.6</v>
      </c>
      <c r="R184">
        <v>26.9</v>
      </c>
      <c r="S184" t="s">
        <v>105</v>
      </c>
    </row>
    <row r="185" spans="1:19" x14ac:dyDescent="0.25">
      <c r="A185" t="s">
        <v>200</v>
      </c>
      <c r="B185">
        <v>637.5</v>
      </c>
      <c r="C185">
        <v>58.5</v>
      </c>
      <c r="D185">
        <v>56.7</v>
      </c>
      <c r="E185">
        <v>59.4</v>
      </c>
      <c r="F185">
        <v>57.6</v>
      </c>
      <c r="G185">
        <v>59.9</v>
      </c>
      <c r="H185">
        <v>61.1</v>
      </c>
      <c r="I185">
        <v>58.3</v>
      </c>
      <c r="J185">
        <v>59</v>
      </c>
      <c r="K185">
        <v>56.8</v>
      </c>
      <c r="L185">
        <v>53.1</v>
      </c>
      <c r="M185">
        <v>55.4</v>
      </c>
      <c r="N185">
        <v>63</v>
      </c>
      <c r="O185">
        <v>64.8</v>
      </c>
      <c r="P185">
        <v>62.3</v>
      </c>
      <c r="Q185">
        <v>62.2</v>
      </c>
      <c r="R185">
        <v>63.7</v>
      </c>
      <c r="S185" t="s">
        <v>105</v>
      </c>
    </row>
    <row r="186" spans="1:19" x14ac:dyDescent="0.25">
      <c r="A186" t="s">
        <v>165</v>
      </c>
      <c r="B186">
        <v>391.6</v>
      </c>
      <c r="C186">
        <v>49.4</v>
      </c>
      <c r="D186">
        <v>66.900000000000006</v>
      </c>
      <c r="E186">
        <v>70.599999999999994</v>
      </c>
      <c r="F186">
        <v>63.3</v>
      </c>
      <c r="G186">
        <v>69.3</v>
      </c>
      <c r="H186">
        <v>69.599999999999994</v>
      </c>
      <c r="I186">
        <v>64.3</v>
      </c>
      <c r="J186">
        <v>58.4</v>
      </c>
      <c r="K186">
        <v>65.900000000000006</v>
      </c>
      <c r="L186">
        <v>64.7</v>
      </c>
      <c r="M186">
        <v>71.3</v>
      </c>
      <c r="N186">
        <v>73.7</v>
      </c>
      <c r="O186">
        <v>73.5</v>
      </c>
      <c r="P186">
        <v>70.099999999999994</v>
      </c>
      <c r="Q186">
        <v>65.5</v>
      </c>
      <c r="R186">
        <v>64</v>
      </c>
      <c r="S186" t="s">
        <v>105</v>
      </c>
    </row>
    <row r="187" spans="1:19" x14ac:dyDescent="0.25">
      <c r="A187" t="s">
        <v>201</v>
      </c>
      <c r="B187">
        <v>4562.5</v>
      </c>
      <c r="C187">
        <v>34.799999999999997</v>
      </c>
      <c r="D187">
        <v>43.9</v>
      </c>
      <c r="E187">
        <v>45</v>
      </c>
      <c r="F187">
        <v>34.4</v>
      </c>
      <c r="G187">
        <v>39</v>
      </c>
      <c r="H187">
        <v>45.8</v>
      </c>
      <c r="I187">
        <v>45.9</v>
      </c>
      <c r="J187">
        <v>48.5</v>
      </c>
      <c r="K187">
        <v>49.2</v>
      </c>
      <c r="L187">
        <v>57.6</v>
      </c>
      <c r="M187">
        <v>53.3</v>
      </c>
      <c r="N187">
        <v>50.3</v>
      </c>
      <c r="O187">
        <v>58.5</v>
      </c>
      <c r="P187">
        <v>67</v>
      </c>
      <c r="Q187">
        <v>60.2</v>
      </c>
      <c r="R187">
        <v>71.599999999999994</v>
      </c>
      <c r="S187" t="s">
        <v>105</v>
      </c>
    </row>
    <row r="188" spans="1:19" x14ac:dyDescent="0.25">
      <c r="A188" t="s">
        <v>217</v>
      </c>
      <c r="B188">
        <v>312.89999999999998</v>
      </c>
      <c r="C188">
        <v>34.6</v>
      </c>
      <c r="D188">
        <v>32.9</v>
      </c>
      <c r="E188">
        <v>39.1</v>
      </c>
      <c r="F188">
        <v>48.1</v>
      </c>
      <c r="G188">
        <v>50.7</v>
      </c>
      <c r="H188">
        <v>48</v>
      </c>
      <c r="I188">
        <v>53.3</v>
      </c>
      <c r="J188">
        <v>54.8</v>
      </c>
      <c r="K188">
        <v>53.9</v>
      </c>
      <c r="L188">
        <v>45.6</v>
      </c>
      <c r="M188">
        <v>48.1</v>
      </c>
      <c r="N188">
        <v>52.6</v>
      </c>
      <c r="O188">
        <v>57</v>
      </c>
      <c r="P188">
        <v>47.5</v>
      </c>
      <c r="Q188">
        <v>42</v>
      </c>
      <c r="R188">
        <v>43.3</v>
      </c>
      <c r="S188" t="s">
        <v>105</v>
      </c>
    </row>
    <row r="189" spans="1:19" x14ac:dyDescent="0.25">
      <c r="A189" t="s">
        <v>204</v>
      </c>
      <c r="B189">
        <v>7242.8</v>
      </c>
      <c r="C189">
        <v>22</v>
      </c>
      <c r="D189">
        <v>22.8</v>
      </c>
      <c r="E189">
        <v>23.1</v>
      </c>
      <c r="F189">
        <v>23.1</v>
      </c>
      <c r="G189">
        <v>22.8</v>
      </c>
      <c r="H189">
        <v>23.1</v>
      </c>
      <c r="I189">
        <v>22.7</v>
      </c>
      <c r="J189">
        <v>18.100000000000001</v>
      </c>
      <c r="K189">
        <v>17.600000000000001</v>
      </c>
      <c r="L189">
        <v>18.399999999999999</v>
      </c>
      <c r="M189">
        <v>18.600000000000001</v>
      </c>
      <c r="N189">
        <v>18.5</v>
      </c>
      <c r="O189">
        <v>20.3</v>
      </c>
      <c r="P189">
        <v>21.9</v>
      </c>
      <c r="Q189">
        <v>15.3</v>
      </c>
      <c r="R189" t="s">
        <v>162</v>
      </c>
      <c r="S189" t="s">
        <v>105</v>
      </c>
    </row>
    <row r="190" spans="1:19" x14ac:dyDescent="0.25">
      <c r="A190" t="s">
        <v>215</v>
      </c>
      <c r="B190">
        <v>175.2</v>
      </c>
      <c r="C190">
        <v>17.8</v>
      </c>
      <c r="D190">
        <v>21.5</v>
      </c>
      <c r="E190">
        <v>22.3</v>
      </c>
      <c r="F190">
        <v>21.7</v>
      </c>
      <c r="G190">
        <v>13.5</v>
      </c>
      <c r="H190">
        <v>7.2</v>
      </c>
      <c r="I190">
        <v>2.2999999999999998</v>
      </c>
      <c r="J190">
        <v>3.4</v>
      </c>
      <c r="K190">
        <v>3.1</v>
      </c>
      <c r="L190">
        <v>5.0999999999999996</v>
      </c>
      <c r="M190">
        <v>4.9000000000000004</v>
      </c>
      <c r="N190">
        <v>3.7</v>
      </c>
      <c r="O190">
        <v>3</v>
      </c>
      <c r="P190">
        <v>3.9</v>
      </c>
      <c r="Q190">
        <v>5.0999999999999996</v>
      </c>
      <c r="R190">
        <v>2.1</v>
      </c>
      <c r="S190" t="s">
        <v>105</v>
      </c>
    </row>
    <row r="191" spans="1:19" x14ac:dyDescent="0.25">
      <c r="A191" t="s">
        <v>205</v>
      </c>
      <c r="B191">
        <v>5123.3</v>
      </c>
      <c r="C191">
        <v>14.3</v>
      </c>
      <c r="D191">
        <v>14.4</v>
      </c>
      <c r="E191">
        <v>18.7</v>
      </c>
      <c r="F191">
        <v>20.7</v>
      </c>
      <c r="G191">
        <v>21.2</v>
      </c>
      <c r="H191">
        <v>23.5</v>
      </c>
      <c r="I191">
        <v>21.8</v>
      </c>
      <c r="J191">
        <v>24.3</v>
      </c>
      <c r="K191">
        <v>18.600000000000001</v>
      </c>
      <c r="L191">
        <v>15.2</v>
      </c>
      <c r="M191">
        <v>10</v>
      </c>
      <c r="N191">
        <v>14.4</v>
      </c>
      <c r="O191">
        <v>12.8</v>
      </c>
      <c r="P191">
        <v>11.7</v>
      </c>
      <c r="Q191">
        <v>8.1999999999999993</v>
      </c>
      <c r="R191">
        <v>17.3</v>
      </c>
      <c r="S191" t="s">
        <v>105</v>
      </c>
    </row>
    <row r="192" spans="1:19" x14ac:dyDescent="0.25">
      <c r="A192" t="s">
        <v>206</v>
      </c>
      <c r="B192">
        <v>8791</v>
      </c>
      <c r="C192">
        <v>7.1</v>
      </c>
      <c r="D192">
        <v>8.6</v>
      </c>
      <c r="E192">
        <v>8</v>
      </c>
      <c r="F192">
        <v>6.2</v>
      </c>
      <c r="G192">
        <v>7.4</v>
      </c>
      <c r="H192">
        <v>8</v>
      </c>
      <c r="I192">
        <v>7.5</v>
      </c>
      <c r="J192">
        <v>9.4</v>
      </c>
      <c r="K192">
        <v>5.8</v>
      </c>
      <c r="L192">
        <v>4.5999999999999996</v>
      </c>
      <c r="M192">
        <v>5</v>
      </c>
      <c r="N192">
        <v>6.3</v>
      </c>
      <c r="O192">
        <v>6.5</v>
      </c>
      <c r="P192">
        <v>6.7</v>
      </c>
      <c r="Q192">
        <v>6.4</v>
      </c>
      <c r="R192">
        <v>6</v>
      </c>
      <c r="S192" t="s">
        <v>105</v>
      </c>
    </row>
    <row r="193" spans="1:19" x14ac:dyDescent="0.25">
      <c r="A193" t="s">
        <v>208</v>
      </c>
      <c r="B193">
        <v>1513.5</v>
      </c>
      <c r="C193">
        <v>1.9</v>
      </c>
      <c r="D193">
        <v>2.4</v>
      </c>
      <c r="E193">
        <v>2.5</v>
      </c>
      <c r="F193">
        <v>2</v>
      </c>
      <c r="G193">
        <v>2.2999999999999998</v>
      </c>
      <c r="H193">
        <v>2.4</v>
      </c>
      <c r="I193">
        <v>1.9</v>
      </c>
      <c r="J193">
        <v>2.2999999999999998</v>
      </c>
      <c r="K193">
        <v>2.5</v>
      </c>
      <c r="L193">
        <v>1.7</v>
      </c>
      <c r="M193">
        <v>1.9</v>
      </c>
      <c r="N193">
        <v>2</v>
      </c>
      <c r="O193">
        <v>2.4</v>
      </c>
      <c r="P193">
        <v>3.9</v>
      </c>
      <c r="Q193">
        <v>4</v>
      </c>
      <c r="R193">
        <v>2.6</v>
      </c>
      <c r="S193" t="s">
        <v>105</v>
      </c>
    </row>
    <row r="194" spans="1:19" x14ac:dyDescent="0.25">
      <c r="A194" t="s">
        <v>209</v>
      </c>
      <c r="B194">
        <v>97.4</v>
      </c>
      <c r="C194">
        <v>0.2</v>
      </c>
      <c r="D194">
        <v>0</v>
      </c>
      <c r="E194">
        <v>0.1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0.1</v>
      </c>
      <c r="L194">
        <v>0</v>
      </c>
      <c r="M194">
        <v>0</v>
      </c>
      <c r="N194">
        <v>0</v>
      </c>
      <c r="O194">
        <v>0.1</v>
      </c>
      <c r="P194">
        <v>0.2</v>
      </c>
      <c r="Q194">
        <v>2.6</v>
      </c>
      <c r="R194">
        <v>1.6</v>
      </c>
      <c r="S194" t="s">
        <v>105</v>
      </c>
    </row>
    <row r="195" spans="1:19" x14ac:dyDescent="0.25">
      <c r="A195" t="s">
        <v>219</v>
      </c>
      <c r="B195" t="s">
        <v>162</v>
      </c>
      <c r="C195" t="s">
        <v>162</v>
      </c>
      <c r="D195" t="s">
        <v>162</v>
      </c>
      <c r="E195" t="s">
        <v>162</v>
      </c>
      <c r="F195" t="s">
        <v>162</v>
      </c>
      <c r="G195">
        <v>18</v>
      </c>
      <c r="H195">
        <v>13</v>
      </c>
      <c r="I195">
        <v>12.6</v>
      </c>
      <c r="J195">
        <v>7.7</v>
      </c>
      <c r="K195">
        <v>13.9</v>
      </c>
      <c r="L195">
        <v>13.5</v>
      </c>
      <c r="M195">
        <v>13.1</v>
      </c>
      <c r="N195">
        <v>15.7</v>
      </c>
      <c r="O195">
        <v>15.3</v>
      </c>
      <c r="P195">
        <v>19.399999999999999</v>
      </c>
      <c r="Q195">
        <v>24.1</v>
      </c>
      <c r="R195">
        <v>24.4</v>
      </c>
      <c r="S195" t="s">
        <v>105</v>
      </c>
    </row>
    <row r="196" spans="1:19" x14ac:dyDescent="0.25">
      <c r="A196" t="s">
        <v>211</v>
      </c>
      <c r="S196" t="s">
        <v>105</v>
      </c>
    </row>
    <row r="197" spans="1:19" x14ac:dyDescent="0.25">
      <c r="A197" t="s">
        <v>212</v>
      </c>
      <c r="B197">
        <v>555.6</v>
      </c>
      <c r="C197">
        <v>1</v>
      </c>
      <c r="D197">
        <v>1.2</v>
      </c>
      <c r="E197">
        <v>1.4</v>
      </c>
      <c r="F197">
        <v>3.2</v>
      </c>
      <c r="G197">
        <v>5.4</v>
      </c>
      <c r="H197">
        <v>1.8</v>
      </c>
      <c r="I197" t="s">
        <v>162</v>
      </c>
      <c r="J197" t="s">
        <v>162</v>
      </c>
      <c r="K197" t="s">
        <v>162</v>
      </c>
      <c r="L197" t="s">
        <v>162</v>
      </c>
      <c r="M197" t="s">
        <v>162</v>
      </c>
      <c r="N197" t="s">
        <v>162</v>
      </c>
      <c r="O197" t="s">
        <v>162</v>
      </c>
      <c r="P197" t="s">
        <v>162</v>
      </c>
      <c r="Q197" t="s">
        <v>162</v>
      </c>
      <c r="R197" t="s">
        <v>162</v>
      </c>
      <c r="S197" t="s">
        <v>105</v>
      </c>
    </row>
    <row r="198" spans="1:19" x14ac:dyDescent="0.25">
      <c r="A198" t="s">
        <v>213</v>
      </c>
      <c r="B198">
        <v>68492.899999999994</v>
      </c>
      <c r="C198" t="s">
        <v>162</v>
      </c>
      <c r="D198" t="s">
        <v>162</v>
      </c>
      <c r="E198" t="s">
        <v>162</v>
      </c>
      <c r="F198" t="s">
        <v>162</v>
      </c>
      <c r="G198" t="s">
        <v>162</v>
      </c>
      <c r="H198" t="s">
        <v>162</v>
      </c>
      <c r="I198" t="s">
        <v>162</v>
      </c>
      <c r="J198" t="s">
        <v>162</v>
      </c>
      <c r="K198" t="s">
        <v>162</v>
      </c>
      <c r="L198" t="s">
        <v>162</v>
      </c>
      <c r="M198" t="s">
        <v>162</v>
      </c>
      <c r="N198" t="s">
        <v>162</v>
      </c>
      <c r="O198" t="s">
        <v>162</v>
      </c>
      <c r="P198" t="s">
        <v>162</v>
      </c>
      <c r="Q198" t="s">
        <v>162</v>
      </c>
      <c r="R198" t="s">
        <v>162</v>
      </c>
      <c r="S198" t="s">
        <v>105</v>
      </c>
    </row>
    <row r="199" spans="1:19" x14ac:dyDescent="0.25">
      <c r="A199" t="s">
        <v>214</v>
      </c>
      <c r="S199" t="s">
        <v>105</v>
      </c>
    </row>
    <row r="200" spans="1:19" x14ac:dyDescent="0.25">
      <c r="A200" t="s">
        <v>106</v>
      </c>
      <c r="S200" t="s">
        <v>106</v>
      </c>
    </row>
    <row r="201" spans="1:19" x14ac:dyDescent="0.25">
      <c r="A201" t="s">
        <v>198</v>
      </c>
      <c r="B201" t="s">
        <v>257</v>
      </c>
      <c r="C201" t="s">
        <v>256</v>
      </c>
      <c r="D201" t="s">
        <v>181</v>
      </c>
      <c r="E201" t="s">
        <v>180</v>
      </c>
      <c r="F201" t="s">
        <v>179</v>
      </c>
      <c r="G201" t="s">
        <v>178</v>
      </c>
      <c r="H201" t="s">
        <v>177</v>
      </c>
      <c r="I201" t="s">
        <v>176</v>
      </c>
      <c r="J201" t="s">
        <v>175</v>
      </c>
      <c r="K201" t="s">
        <v>174</v>
      </c>
      <c r="L201" t="s">
        <v>173</v>
      </c>
      <c r="M201" t="s">
        <v>172</v>
      </c>
      <c r="N201" t="s">
        <v>171</v>
      </c>
      <c r="O201" t="s">
        <v>170</v>
      </c>
      <c r="P201" t="s">
        <v>169</v>
      </c>
      <c r="Q201" t="s">
        <v>168</v>
      </c>
      <c r="R201" t="s">
        <v>167</v>
      </c>
      <c r="S201" t="s">
        <v>106</v>
      </c>
    </row>
    <row r="202" spans="1:19" x14ac:dyDescent="0.25">
      <c r="A202" t="s">
        <v>199</v>
      </c>
      <c r="S202" t="s">
        <v>106</v>
      </c>
    </row>
    <row r="203" spans="1:19" x14ac:dyDescent="0.25">
      <c r="A203" t="s">
        <v>163</v>
      </c>
      <c r="B203">
        <v>4528</v>
      </c>
      <c r="C203">
        <v>93.9</v>
      </c>
      <c r="D203">
        <v>95.8</v>
      </c>
      <c r="E203">
        <v>95.4</v>
      </c>
      <c r="F203">
        <v>92</v>
      </c>
      <c r="G203">
        <v>94.4</v>
      </c>
      <c r="H203">
        <v>96.6</v>
      </c>
      <c r="I203">
        <v>94.8</v>
      </c>
      <c r="J203">
        <v>96.7</v>
      </c>
      <c r="K203">
        <v>95.1</v>
      </c>
      <c r="L203">
        <v>91.6</v>
      </c>
      <c r="M203">
        <v>92.5</v>
      </c>
      <c r="N203">
        <v>95.1</v>
      </c>
      <c r="O203">
        <v>90.8</v>
      </c>
      <c r="P203">
        <v>94.2</v>
      </c>
      <c r="Q203">
        <v>89.1</v>
      </c>
      <c r="R203">
        <v>88.8</v>
      </c>
      <c r="S203" t="s">
        <v>106</v>
      </c>
    </row>
    <row r="204" spans="1:19" x14ac:dyDescent="0.25">
      <c r="A204" t="s">
        <v>210</v>
      </c>
      <c r="B204">
        <v>0.2</v>
      </c>
      <c r="C204">
        <v>77.900000000000006</v>
      </c>
      <c r="D204">
        <v>95.7</v>
      </c>
      <c r="E204">
        <v>101.8</v>
      </c>
      <c r="F204">
        <v>0</v>
      </c>
      <c r="G204" t="s">
        <v>162</v>
      </c>
      <c r="H204" t="s">
        <v>162</v>
      </c>
      <c r="I204" t="s">
        <v>162</v>
      </c>
      <c r="J204" t="s">
        <v>162</v>
      </c>
      <c r="K204" t="s">
        <v>162</v>
      </c>
      <c r="L204" t="s">
        <v>162</v>
      </c>
      <c r="M204" t="s">
        <v>162</v>
      </c>
      <c r="N204" t="s">
        <v>162</v>
      </c>
      <c r="O204" t="s">
        <v>162</v>
      </c>
      <c r="P204" t="s">
        <v>162</v>
      </c>
      <c r="Q204" t="s">
        <v>162</v>
      </c>
      <c r="R204" t="s">
        <v>162</v>
      </c>
      <c r="S204" t="s">
        <v>106</v>
      </c>
    </row>
    <row r="205" spans="1:19" x14ac:dyDescent="0.25">
      <c r="A205" t="s">
        <v>202</v>
      </c>
      <c r="B205">
        <v>8067</v>
      </c>
      <c r="C205">
        <v>76.2</v>
      </c>
      <c r="D205">
        <v>73.400000000000006</v>
      </c>
      <c r="E205">
        <v>72.900000000000006</v>
      </c>
      <c r="F205">
        <v>74.599999999999994</v>
      </c>
      <c r="G205">
        <v>73.3</v>
      </c>
      <c r="H205">
        <v>66.599999999999994</v>
      </c>
      <c r="I205">
        <v>70.3</v>
      </c>
      <c r="J205">
        <v>68.2</v>
      </c>
      <c r="K205">
        <v>66.900000000000006</v>
      </c>
      <c r="L205">
        <v>55.2</v>
      </c>
      <c r="M205">
        <v>55.1</v>
      </c>
      <c r="N205">
        <v>57.5</v>
      </c>
      <c r="O205">
        <v>47.8</v>
      </c>
      <c r="P205">
        <v>43.6</v>
      </c>
      <c r="Q205">
        <v>39.4</v>
      </c>
      <c r="R205">
        <v>25.7</v>
      </c>
      <c r="S205" t="s">
        <v>106</v>
      </c>
    </row>
    <row r="206" spans="1:19" x14ac:dyDescent="0.25">
      <c r="A206" t="s">
        <v>215</v>
      </c>
      <c r="B206">
        <v>7</v>
      </c>
      <c r="C206">
        <v>67.7</v>
      </c>
      <c r="D206">
        <v>66.5</v>
      </c>
      <c r="E206">
        <v>77.2</v>
      </c>
      <c r="F206">
        <v>66.2</v>
      </c>
      <c r="G206" t="s">
        <v>162</v>
      </c>
      <c r="H206" t="s">
        <v>162</v>
      </c>
      <c r="I206" t="s">
        <v>162</v>
      </c>
      <c r="J206" t="s">
        <v>162</v>
      </c>
      <c r="K206" t="s">
        <v>162</v>
      </c>
      <c r="L206" t="s">
        <v>162</v>
      </c>
      <c r="M206" t="s">
        <v>162</v>
      </c>
      <c r="N206" t="s">
        <v>162</v>
      </c>
      <c r="O206" t="s">
        <v>162</v>
      </c>
      <c r="P206" t="s">
        <v>162</v>
      </c>
      <c r="Q206" t="s">
        <v>162</v>
      </c>
      <c r="R206">
        <v>0</v>
      </c>
      <c r="S206" t="s">
        <v>106</v>
      </c>
    </row>
    <row r="207" spans="1:19" x14ac:dyDescent="0.25">
      <c r="A207" t="s">
        <v>200</v>
      </c>
      <c r="B207">
        <v>55.8</v>
      </c>
      <c r="C207">
        <v>60.2</v>
      </c>
      <c r="D207">
        <v>48.2</v>
      </c>
      <c r="E207">
        <v>61.5</v>
      </c>
      <c r="F207">
        <v>60.6</v>
      </c>
      <c r="G207">
        <v>62.5</v>
      </c>
      <c r="H207">
        <v>63.4</v>
      </c>
      <c r="I207">
        <v>64.400000000000006</v>
      </c>
      <c r="J207">
        <v>57.5</v>
      </c>
      <c r="K207">
        <v>66.7</v>
      </c>
      <c r="L207">
        <v>65.099999999999994</v>
      </c>
      <c r="M207">
        <v>66.3</v>
      </c>
      <c r="N207">
        <v>43.1</v>
      </c>
      <c r="O207">
        <v>36.200000000000003</v>
      </c>
      <c r="P207">
        <v>45.9</v>
      </c>
      <c r="Q207">
        <v>40.5</v>
      </c>
      <c r="R207">
        <v>30.8</v>
      </c>
      <c r="S207" t="s">
        <v>106</v>
      </c>
    </row>
    <row r="208" spans="1:19" x14ac:dyDescent="0.25">
      <c r="A208" t="s">
        <v>165</v>
      </c>
      <c r="B208">
        <v>1014.2</v>
      </c>
      <c r="C208">
        <v>58.7</v>
      </c>
      <c r="D208">
        <v>67.400000000000006</v>
      </c>
      <c r="E208">
        <v>70.599999999999994</v>
      </c>
      <c r="F208">
        <v>68.5</v>
      </c>
      <c r="G208">
        <v>69.5</v>
      </c>
      <c r="H208">
        <v>65.8</v>
      </c>
      <c r="I208">
        <v>68.7</v>
      </c>
      <c r="J208">
        <v>63.3</v>
      </c>
      <c r="K208">
        <v>67.599999999999994</v>
      </c>
      <c r="L208">
        <v>67.900000000000006</v>
      </c>
      <c r="M208">
        <v>67.3</v>
      </c>
      <c r="N208">
        <v>65.3</v>
      </c>
      <c r="O208">
        <v>68.599999999999994</v>
      </c>
      <c r="P208">
        <v>70.7</v>
      </c>
      <c r="Q208">
        <v>65.099999999999994</v>
      </c>
      <c r="R208">
        <v>61.2</v>
      </c>
      <c r="S208" t="s">
        <v>106</v>
      </c>
    </row>
    <row r="209" spans="1:19" x14ac:dyDescent="0.25">
      <c r="A209" t="s">
        <v>205</v>
      </c>
      <c r="B209">
        <v>842.9</v>
      </c>
      <c r="C209">
        <v>36.4</v>
      </c>
      <c r="D209">
        <v>24.8</v>
      </c>
      <c r="E209">
        <v>22.8</v>
      </c>
      <c r="F209">
        <v>36</v>
      </c>
      <c r="G209">
        <v>32.700000000000003</v>
      </c>
      <c r="H209">
        <v>21.8</v>
      </c>
      <c r="I209">
        <v>12.2</v>
      </c>
      <c r="J209">
        <v>10.6</v>
      </c>
      <c r="K209">
        <v>10.9</v>
      </c>
      <c r="L209">
        <v>0.1</v>
      </c>
      <c r="M209">
        <v>21</v>
      </c>
      <c r="N209">
        <v>0</v>
      </c>
      <c r="O209">
        <v>0</v>
      </c>
      <c r="P209">
        <v>0.3</v>
      </c>
      <c r="Q209">
        <v>13.2</v>
      </c>
      <c r="R209">
        <v>10.4</v>
      </c>
      <c r="S209" t="s">
        <v>106</v>
      </c>
    </row>
    <row r="210" spans="1:19" x14ac:dyDescent="0.25">
      <c r="A210" t="s">
        <v>201</v>
      </c>
      <c r="B210">
        <v>5780</v>
      </c>
      <c r="C210">
        <v>33.1</v>
      </c>
      <c r="D210">
        <v>27.5</v>
      </c>
      <c r="E210">
        <v>25.9</v>
      </c>
      <c r="F210">
        <v>18.8</v>
      </c>
      <c r="G210">
        <v>32.299999999999997</v>
      </c>
      <c r="H210">
        <v>39</v>
      </c>
      <c r="I210">
        <v>39.6</v>
      </c>
      <c r="J210">
        <v>45.5</v>
      </c>
      <c r="K210">
        <v>41.7</v>
      </c>
      <c r="L210">
        <v>42.1</v>
      </c>
      <c r="M210">
        <v>37.200000000000003</v>
      </c>
      <c r="N210">
        <v>37.200000000000003</v>
      </c>
      <c r="O210">
        <v>52.6</v>
      </c>
      <c r="P210">
        <v>63.3</v>
      </c>
      <c r="Q210">
        <v>59.9</v>
      </c>
      <c r="R210">
        <v>73.099999999999994</v>
      </c>
      <c r="S210" t="s">
        <v>106</v>
      </c>
    </row>
    <row r="211" spans="1:19" x14ac:dyDescent="0.25">
      <c r="A211" t="s">
        <v>204</v>
      </c>
      <c r="B211">
        <v>3758.1</v>
      </c>
      <c r="C211">
        <v>22.8</v>
      </c>
      <c r="D211">
        <v>24.7</v>
      </c>
      <c r="E211">
        <v>23.5</v>
      </c>
      <c r="F211">
        <v>23.1</v>
      </c>
      <c r="G211">
        <v>23</v>
      </c>
      <c r="H211">
        <v>22.5</v>
      </c>
      <c r="I211">
        <v>23.4</v>
      </c>
      <c r="J211">
        <v>24</v>
      </c>
      <c r="K211">
        <v>19.2</v>
      </c>
      <c r="L211">
        <v>21.8</v>
      </c>
      <c r="M211">
        <v>14.7</v>
      </c>
      <c r="N211">
        <v>16.600000000000001</v>
      </c>
      <c r="O211" t="s">
        <v>162</v>
      </c>
      <c r="P211" t="s">
        <v>162</v>
      </c>
      <c r="Q211" t="s">
        <v>162</v>
      </c>
      <c r="R211" t="s">
        <v>162</v>
      </c>
      <c r="S211" t="s">
        <v>106</v>
      </c>
    </row>
    <row r="212" spans="1:19" x14ac:dyDescent="0.25">
      <c r="A212" t="s">
        <v>203</v>
      </c>
      <c r="B212">
        <v>1985</v>
      </c>
      <c r="C212">
        <v>16.5</v>
      </c>
      <c r="D212">
        <v>18.3</v>
      </c>
      <c r="E212">
        <v>21.1</v>
      </c>
      <c r="F212">
        <v>26.7</v>
      </c>
      <c r="G212">
        <v>22.2</v>
      </c>
      <c r="H212">
        <v>20.6</v>
      </c>
      <c r="I212">
        <v>13.4</v>
      </c>
      <c r="J212">
        <v>16.899999999999999</v>
      </c>
      <c r="K212">
        <v>16.600000000000001</v>
      </c>
      <c r="L212">
        <v>17.100000000000001</v>
      </c>
      <c r="M212">
        <v>20.7</v>
      </c>
      <c r="N212">
        <v>12.2</v>
      </c>
      <c r="O212">
        <v>14.7</v>
      </c>
      <c r="P212">
        <v>18</v>
      </c>
      <c r="Q212">
        <v>17.899999999999999</v>
      </c>
      <c r="R212">
        <v>11.8</v>
      </c>
      <c r="S212" t="s">
        <v>106</v>
      </c>
    </row>
    <row r="213" spans="1:19" x14ac:dyDescent="0.25">
      <c r="A213" t="s">
        <v>219</v>
      </c>
      <c r="B213">
        <v>83.8</v>
      </c>
      <c r="C213">
        <v>9.9</v>
      </c>
      <c r="D213">
        <v>46.9</v>
      </c>
      <c r="E213">
        <v>17.7</v>
      </c>
      <c r="F213">
        <v>25.2</v>
      </c>
      <c r="G213">
        <v>25.8</v>
      </c>
      <c r="H213">
        <v>28</v>
      </c>
      <c r="I213">
        <v>24.3</v>
      </c>
      <c r="J213">
        <v>19.399999999999999</v>
      </c>
      <c r="K213">
        <v>17.5</v>
      </c>
      <c r="L213">
        <v>15.1</v>
      </c>
      <c r="M213">
        <v>15.8</v>
      </c>
      <c r="N213">
        <v>21.3</v>
      </c>
      <c r="O213">
        <v>29.3</v>
      </c>
      <c r="P213">
        <v>31.6</v>
      </c>
      <c r="Q213">
        <v>30.9</v>
      </c>
      <c r="R213">
        <v>29.2</v>
      </c>
      <c r="S213" t="s">
        <v>106</v>
      </c>
    </row>
    <row r="214" spans="1:19" x14ac:dyDescent="0.25">
      <c r="A214" t="s">
        <v>206</v>
      </c>
      <c r="B214">
        <v>7566.6</v>
      </c>
      <c r="C214">
        <v>4.9000000000000004</v>
      </c>
      <c r="D214">
        <v>9.4</v>
      </c>
      <c r="E214">
        <v>4.7</v>
      </c>
      <c r="F214">
        <v>5.7</v>
      </c>
      <c r="G214">
        <v>6.7</v>
      </c>
      <c r="H214">
        <v>5.4</v>
      </c>
      <c r="I214">
        <v>3.9</v>
      </c>
      <c r="J214">
        <v>6.3</v>
      </c>
      <c r="K214">
        <v>4.4000000000000004</v>
      </c>
      <c r="L214">
        <v>3.1</v>
      </c>
      <c r="M214">
        <v>1.9</v>
      </c>
      <c r="N214">
        <v>5.3</v>
      </c>
      <c r="O214">
        <v>3.6</v>
      </c>
      <c r="P214">
        <v>4</v>
      </c>
      <c r="Q214">
        <v>1.4</v>
      </c>
      <c r="R214">
        <v>1.1000000000000001</v>
      </c>
      <c r="S214" t="s">
        <v>106</v>
      </c>
    </row>
    <row r="215" spans="1:19" x14ac:dyDescent="0.25">
      <c r="A215" t="s">
        <v>209</v>
      </c>
      <c r="B215">
        <v>100</v>
      </c>
      <c r="C215">
        <v>0.1</v>
      </c>
      <c r="D215">
        <v>0.5</v>
      </c>
      <c r="E215">
        <v>0.1</v>
      </c>
      <c r="F215">
        <v>0.1</v>
      </c>
      <c r="G215">
        <v>0.4</v>
      </c>
      <c r="H215">
        <v>0.5</v>
      </c>
      <c r="I215">
        <v>0.3</v>
      </c>
      <c r="J215">
        <v>0.2</v>
      </c>
      <c r="K215">
        <v>0.3</v>
      </c>
      <c r="L215">
        <v>0.3</v>
      </c>
      <c r="M215">
        <v>0.2</v>
      </c>
      <c r="N215">
        <v>0.2</v>
      </c>
      <c r="O215">
        <v>0.2</v>
      </c>
      <c r="P215">
        <v>0.4</v>
      </c>
      <c r="Q215">
        <v>0.4</v>
      </c>
      <c r="R215">
        <v>0.3</v>
      </c>
      <c r="S215" t="s">
        <v>106</v>
      </c>
    </row>
    <row r="216" spans="1:19" x14ac:dyDescent="0.25">
      <c r="A216" t="s">
        <v>208</v>
      </c>
      <c r="B216">
        <v>1007</v>
      </c>
      <c r="C216">
        <v>0</v>
      </c>
      <c r="D216">
        <v>0.9</v>
      </c>
      <c r="E216">
        <v>0</v>
      </c>
      <c r="F216">
        <v>0</v>
      </c>
      <c r="G216">
        <v>0.1</v>
      </c>
      <c r="H216">
        <v>0.2</v>
      </c>
      <c r="I216">
        <v>0.2</v>
      </c>
      <c r="J216">
        <v>0.1</v>
      </c>
      <c r="K216">
        <v>0.1</v>
      </c>
      <c r="L216">
        <v>0.1</v>
      </c>
      <c r="M216">
        <v>0</v>
      </c>
      <c r="N216">
        <v>0</v>
      </c>
      <c r="O216">
        <v>0</v>
      </c>
      <c r="P216">
        <v>0.8</v>
      </c>
      <c r="Q216">
        <v>0.1</v>
      </c>
      <c r="R216">
        <v>0.1</v>
      </c>
      <c r="S216" t="s">
        <v>106</v>
      </c>
    </row>
    <row r="217" spans="1:19" x14ac:dyDescent="0.25">
      <c r="A217" t="s">
        <v>217</v>
      </c>
      <c r="B217" t="s">
        <v>162</v>
      </c>
      <c r="C217" t="s">
        <v>162</v>
      </c>
      <c r="D217" t="s">
        <v>162</v>
      </c>
      <c r="E217">
        <v>39</v>
      </c>
      <c r="F217" t="s">
        <v>162</v>
      </c>
      <c r="G217" t="s">
        <v>162</v>
      </c>
      <c r="H217" t="s">
        <v>162</v>
      </c>
      <c r="I217">
        <v>44.5</v>
      </c>
      <c r="J217">
        <v>47.1</v>
      </c>
      <c r="K217" t="s">
        <v>162</v>
      </c>
      <c r="L217">
        <v>32.5</v>
      </c>
      <c r="M217" t="s">
        <v>162</v>
      </c>
      <c r="N217" t="s">
        <v>162</v>
      </c>
      <c r="O217" t="s">
        <v>162</v>
      </c>
      <c r="P217" t="s">
        <v>162</v>
      </c>
      <c r="Q217" t="s">
        <v>162</v>
      </c>
      <c r="R217" t="s">
        <v>162</v>
      </c>
      <c r="S217" t="s">
        <v>106</v>
      </c>
    </row>
    <row r="218" spans="1:19" x14ac:dyDescent="0.25">
      <c r="A218" t="s">
        <v>211</v>
      </c>
      <c r="S218" t="s">
        <v>106</v>
      </c>
    </row>
    <row r="219" spans="1:19" x14ac:dyDescent="0.25">
      <c r="A219" t="s">
        <v>220</v>
      </c>
      <c r="B219">
        <v>1897.4</v>
      </c>
      <c r="C219">
        <v>11</v>
      </c>
      <c r="D219">
        <v>11</v>
      </c>
      <c r="E219">
        <v>11.6</v>
      </c>
      <c r="F219">
        <v>13.2</v>
      </c>
      <c r="G219">
        <v>15.2</v>
      </c>
      <c r="H219">
        <v>12.9</v>
      </c>
      <c r="I219">
        <v>14.2</v>
      </c>
      <c r="J219">
        <v>14</v>
      </c>
      <c r="K219">
        <v>14</v>
      </c>
      <c r="L219">
        <v>13.1</v>
      </c>
      <c r="M219">
        <v>13</v>
      </c>
      <c r="N219" t="s">
        <v>162</v>
      </c>
      <c r="O219" t="s">
        <v>162</v>
      </c>
      <c r="P219" t="s">
        <v>162</v>
      </c>
      <c r="Q219" t="s">
        <v>162</v>
      </c>
      <c r="R219" t="s">
        <v>162</v>
      </c>
      <c r="S219" t="s">
        <v>106</v>
      </c>
    </row>
    <row r="220" spans="1:19" x14ac:dyDescent="0.25">
      <c r="A220" t="s">
        <v>212</v>
      </c>
      <c r="B220">
        <v>81.2</v>
      </c>
      <c r="C220">
        <v>7.1</v>
      </c>
      <c r="D220">
        <v>6</v>
      </c>
      <c r="E220">
        <v>3.6</v>
      </c>
      <c r="F220">
        <v>0.1</v>
      </c>
      <c r="G220">
        <v>0.3</v>
      </c>
      <c r="H220">
        <v>0.9</v>
      </c>
      <c r="I220">
        <v>0.6</v>
      </c>
      <c r="J220">
        <v>0.3</v>
      </c>
      <c r="K220" t="s">
        <v>162</v>
      </c>
      <c r="L220" t="s">
        <v>162</v>
      </c>
      <c r="M220" t="s">
        <v>162</v>
      </c>
      <c r="N220" t="s">
        <v>162</v>
      </c>
      <c r="O220" t="s">
        <v>162</v>
      </c>
      <c r="P220" t="s">
        <v>162</v>
      </c>
      <c r="Q220" t="s">
        <v>162</v>
      </c>
      <c r="R220" t="s">
        <v>162</v>
      </c>
      <c r="S220" t="s">
        <v>106</v>
      </c>
    </row>
    <row r="221" spans="1:19" x14ac:dyDescent="0.25">
      <c r="A221" t="s">
        <v>213</v>
      </c>
      <c r="B221">
        <v>36774.199999999997</v>
      </c>
      <c r="C221" t="s">
        <v>162</v>
      </c>
      <c r="D221" t="s">
        <v>162</v>
      </c>
      <c r="E221" t="s">
        <v>162</v>
      </c>
      <c r="F221" t="s">
        <v>162</v>
      </c>
      <c r="G221" t="s">
        <v>162</v>
      </c>
      <c r="H221" t="s">
        <v>162</v>
      </c>
      <c r="I221" t="s">
        <v>162</v>
      </c>
      <c r="J221" t="s">
        <v>162</v>
      </c>
      <c r="K221" t="s">
        <v>162</v>
      </c>
      <c r="L221" t="s">
        <v>162</v>
      </c>
      <c r="M221" t="s">
        <v>162</v>
      </c>
      <c r="N221" t="s">
        <v>162</v>
      </c>
      <c r="O221" t="s">
        <v>162</v>
      </c>
      <c r="P221" t="s">
        <v>162</v>
      </c>
      <c r="Q221" t="s">
        <v>162</v>
      </c>
      <c r="R221" t="s">
        <v>162</v>
      </c>
      <c r="S221" t="s">
        <v>106</v>
      </c>
    </row>
    <row r="222" spans="1:19" x14ac:dyDescent="0.25">
      <c r="A222" t="s">
        <v>214</v>
      </c>
      <c r="S222" t="s">
        <v>106</v>
      </c>
    </row>
    <row r="223" spans="1:19" x14ac:dyDescent="0.25">
      <c r="A223" t="s">
        <v>107</v>
      </c>
      <c r="S223" t="s">
        <v>107</v>
      </c>
    </row>
    <row r="224" spans="1:19" x14ac:dyDescent="0.25">
      <c r="A224" t="s">
        <v>198</v>
      </c>
      <c r="B224" t="s">
        <v>257</v>
      </c>
      <c r="C224" t="s">
        <v>256</v>
      </c>
      <c r="D224" t="s">
        <v>181</v>
      </c>
      <c r="E224" t="s">
        <v>180</v>
      </c>
      <c r="F224" t="s">
        <v>179</v>
      </c>
      <c r="G224" t="s">
        <v>178</v>
      </c>
      <c r="H224" t="s">
        <v>177</v>
      </c>
      <c r="I224" t="s">
        <v>176</v>
      </c>
      <c r="J224" t="s">
        <v>175</v>
      </c>
      <c r="K224" t="s">
        <v>174</v>
      </c>
      <c r="L224" t="s">
        <v>173</v>
      </c>
      <c r="M224" t="s">
        <v>172</v>
      </c>
      <c r="N224" t="s">
        <v>171</v>
      </c>
      <c r="O224" t="s">
        <v>170</v>
      </c>
      <c r="P224" t="s">
        <v>169</v>
      </c>
      <c r="Q224" t="s">
        <v>168</v>
      </c>
      <c r="R224" t="s">
        <v>167</v>
      </c>
      <c r="S224" t="s">
        <v>107</v>
      </c>
    </row>
    <row r="225" spans="1:19" x14ac:dyDescent="0.25">
      <c r="A225" t="s">
        <v>199</v>
      </c>
      <c r="S225" t="s">
        <v>107</v>
      </c>
    </row>
    <row r="226" spans="1:19" x14ac:dyDescent="0.25">
      <c r="A226" t="s">
        <v>217</v>
      </c>
      <c r="B226">
        <v>27.5</v>
      </c>
      <c r="C226">
        <v>74.3</v>
      </c>
      <c r="D226">
        <v>70</v>
      </c>
      <c r="E226" t="s">
        <v>162</v>
      </c>
      <c r="F226">
        <v>59.7</v>
      </c>
      <c r="G226">
        <v>74.8</v>
      </c>
      <c r="H226">
        <v>82.5</v>
      </c>
      <c r="I226">
        <v>79.5</v>
      </c>
      <c r="J226">
        <v>77.900000000000006</v>
      </c>
      <c r="K226">
        <v>77.2</v>
      </c>
      <c r="L226">
        <v>90.5</v>
      </c>
      <c r="M226">
        <v>88.5</v>
      </c>
      <c r="N226" t="s">
        <v>162</v>
      </c>
      <c r="O226" t="s">
        <v>162</v>
      </c>
      <c r="P226" t="s">
        <v>162</v>
      </c>
      <c r="Q226" t="s">
        <v>162</v>
      </c>
      <c r="R226" t="s">
        <v>162</v>
      </c>
      <c r="S226" t="s">
        <v>107</v>
      </c>
    </row>
    <row r="227" spans="1:19" x14ac:dyDescent="0.25">
      <c r="A227" t="s">
        <v>165</v>
      </c>
      <c r="B227">
        <v>7.5</v>
      </c>
      <c r="C227">
        <v>64.099999999999994</v>
      </c>
      <c r="D227">
        <v>78.5</v>
      </c>
      <c r="E227" t="s">
        <v>162</v>
      </c>
      <c r="F227" t="s">
        <v>162</v>
      </c>
      <c r="G227" t="s">
        <v>162</v>
      </c>
      <c r="H227" t="s">
        <v>162</v>
      </c>
      <c r="I227" t="s">
        <v>162</v>
      </c>
      <c r="J227" t="s">
        <v>162</v>
      </c>
      <c r="K227" t="s">
        <v>162</v>
      </c>
      <c r="L227" t="s">
        <v>162</v>
      </c>
      <c r="M227" t="s">
        <v>162</v>
      </c>
      <c r="N227" t="s">
        <v>162</v>
      </c>
      <c r="O227" t="s">
        <v>162</v>
      </c>
      <c r="P227" t="s">
        <v>162</v>
      </c>
      <c r="Q227" t="s">
        <v>162</v>
      </c>
      <c r="R227" t="s">
        <v>162</v>
      </c>
      <c r="S227" t="s">
        <v>107</v>
      </c>
    </row>
    <row r="228" spans="1:19" x14ac:dyDescent="0.25">
      <c r="A228" t="s">
        <v>164</v>
      </c>
      <c r="B228">
        <v>43</v>
      </c>
      <c r="C228">
        <v>51.1</v>
      </c>
      <c r="D228">
        <v>55.3</v>
      </c>
      <c r="E228">
        <v>48.8</v>
      </c>
      <c r="F228">
        <v>2.6</v>
      </c>
      <c r="G228">
        <v>0</v>
      </c>
      <c r="H228">
        <v>29.2</v>
      </c>
      <c r="I228">
        <v>85.6</v>
      </c>
      <c r="J228">
        <v>68.900000000000006</v>
      </c>
      <c r="K228">
        <v>61.2</v>
      </c>
      <c r="L228">
        <v>67.400000000000006</v>
      </c>
      <c r="M228">
        <v>73</v>
      </c>
      <c r="N228">
        <v>72.400000000000006</v>
      </c>
      <c r="O228">
        <v>82.4</v>
      </c>
      <c r="P228">
        <v>73.900000000000006</v>
      </c>
      <c r="Q228">
        <v>61.7</v>
      </c>
      <c r="R228">
        <v>86.1</v>
      </c>
      <c r="S228" t="s">
        <v>107</v>
      </c>
    </row>
    <row r="229" spans="1:19" x14ac:dyDescent="0.25">
      <c r="A229" t="s">
        <v>219</v>
      </c>
      <c r="B229">
        <v>1018.2</v>
      </c>
      <c r="C229">
        <v>45.5</v>
      </c>
      <c r="D229">
        <v>41.5</v>
      </c>
      <c r="E229">
        <v>36.9</v>
      </c>
      <c r="F229">
        <v>38.4</v>
      </c>
      <c r="G229">
        <v>41.1</v>
      </c>
      <c r="H229">
        <v>41.6</v>
      </c>
      <c r="I229">
        <v>41.2</v>
      </c>
      <c r="J229">
        <v>42.1</v>
      </c>
      <c r="K229">
        <v>43.4</v>
      </c>
      <c r="L229">
        <v>44.4</v>
      </c>
      <c r="M229">
        <v>42.8</v>
      </c>
      <c r="N229">
        <v>45.3</v>
      </c>
      <c r="O229">
        <v>48.5</v>
      </c>
      <c r="P229">
        <v>49.1</v>
      </c>
      <c r="Q229">
        <v>50.1</v>
      </c>
      <c r="R229">
        <v>52.2</v>
      </c>
      <c r="S229" t="s">
        <v>107</v>
      </c>
    </row>
    <row r="230" spans="1:19" x14ac:dyDescent="0.25">
      <c r="A230" t="s">
        <v>203</v>
      </c>
      <c r="B230">
        <v>32.4</v>
      </c>
      <c r="C230">
        <v>33</v>
      </c>
      <c r="D230">
        <v>38.799999999999997</v>
      </c>
      <c r="E230">
        <v>40.5</v>
      </c>
      <c r="F230">
        <v>34.700000000000003</v>
      </c>
      <c r="G230">
        <v>33</v>
      </c>
      <c r="H230">
        <v>42.5</v>
      </c>
      <c r="I230">
        <v>29.1</v>
      </c>
      <c r="J230">
        <v>42</v>
      </c>
      <c r="K230">
        <v>55.3</v>
      </c>
      <c r="L230">
        <v>43</v>
      </c>
      <c r="M230">
        <v>35.799999999999997</v>
      </c>
      <c r="N230">
        <v>48.8</v>
      </c>
      <c r="O230">
        <v>42.2</v>
      </c>
      <c r="P230">
        <v>31.9</v>
      </c>
      <c r="Q230">
        <v>50.8</v>
      </c>
      <c r="R230">
        <v>38.5</v>
      </c>
      <c r="S230" t="s">
        <v>107</v>
      </c>
    </row>
    <row r="231" spans="1:19" x14ac:dyDescent="0.25">
      <c r="A231" t="s">
        <v>216</v>
      </c>
      <c r="B231">
        <v>233.2</v>
      </c>
      <c r="C231">
        <v>31</v>
      </c>
      <c r="D231">
        <v>30.6</v>
      </c>
      <c r="E231">
        <v>32.200000000000003</v>
      </c>
      <c r="F231">
        <v>32</v>
      </c>
      <c r="G231">
        <v>29.4</v>
      </c>
      <c r="H231">
        <v>33.4</v>
      </c>
      <c r="I231">
        <v>29.5</v>
      </c>
      <c r="J231" t="s">
        <v>162</v>
      </c>
      <c r="K231" t="s">
        <v>162</v>
      </c>
      <c r="L231" t="s">
        <v>162</v>
      </c>
      <c r="M231" t="s">
        <v>162</v>
      </c>
      <c r="N231" t="s">
        <v>162</v>
      </c>
      <c r="O231" t="s">
        <v>162</v>
      </c>
      <c r="P231" t="s">
        <v>162</v>
      </c>
      <c r="Q231" t="s">
        <v>162</v>
      </c>
      <c r="R231" t="s">
        <v>162</v>
      </c>
      <c r="S231" t="s">
        <v>107</v>
      </c>
    </row>
    <row r="232" spans="1:19" x14ac:dyDescent="0.25">
      <c r="A232" t="s">
        <v>200</v>
      </c>
      <c r="B232">
        <v>146.4</v>
      </c>
      <c r="C232">
        <v>27.5</v>
      </c>
      <c r="D232">
        <v>30.1</v>
      </c>
      <c r="E232">
        <v>32.4</v>
      </c>
      <c r="F232">
        <v>32.9</v>
      </c>
      <c r="G232">
        <v>38.299999999999997</v>
      </c>
      <c r="H232">
        <v>24.2</v>
      </c>
      <c r="I232">
        <v>25.6</v>
      </c>
      <c r="J232">
        <v>25.6</v>
      </c>
      <c r="K232">
        <v>25.3</v>
      </c>
      <c r="L232">
        <v>26.4</v>
      </c>
      <c r="M232">
        <v>25.5</v>
      </c>
      <c r="N232">
        <v>24.6</v>
      </c>
      <c r="O232">
        <v>26</v>
      </c>
      <c r="P232">
        <v>25</v>
      </c>
      <c r="Q232">
        <v>37.6</v>
      </c>
      <c r="R232">
        <v>55.1</v>
      </c>
      <c r="S232" t="s">
        <v>107</v>
      </c>
    </row>
    <row r="233" spans="1:19" x14ac:dyDescent="0.25">
      <c r="A233" t="s">
        <v>204</v>
      </c>
      <c r="B233">
        <v>379.3</v>
      </c>
      <c r="C233">
        <v>19.399999999999999</v>
      </c>
      <c r="D233">
        <v>20.8</v>
      </c>
      <c r="E233">
        <v>20.3</v>
      </c>
      <c r="F233">
        <v>19.7</v>
      </c>
      <c r="G233">
        <v>20</v>
      </c>
      <c r="H233">
        <v>20.8</v>
      </c>
      <c r="I233">
        <v>21.8</v>
      </c>
      <c r="J233">
        <v>21.2</v>
      </c>
      <c r="K233">
        <v>16.600000000000001</v>
      </c>
      <c r="L233">
        <v>17.5</v>
      </c>
      <c r="M233">
        <v>14.6</v>
      </c>
      <c r="N233">
        <v>22.9</v>
      </c>
      <c r="O233">
        <v>18.600000000000001</v>
      </c>
      <c r="P233">
        <v>16.7</v>
      </c>
      <c r="Q233">
        <v>13.1</v>
      </c>
      <c r="R233" t="s">
        <v>162</v>
      </c>
      <c r="S233" t="s">
        <v>107</v>
      </c>
    </row>
    <row r="234" spans="1:19" x14ac:dyDescent="0.25">
      <c r="A234" t="s">
        <v>209</v>
      </c>
      <c r="B234">
        <v>185</v>
      </c>
      <c r="C234">
        <v>16.8</v>
      </c>
      <c r="D234">
        <v>16.100000000000001</v>
      </c>
      <c r="E234">
        <v>15.2</v>
      </c>
      <c r="F234">
        <v>16.600000000000001</v>
      </c>
      <c r="G234">
        <v>20.399999999999999</v>
      </c>
      <c r="H234">
        <v>18.600000000000001</v>
      </c>
      <c r="I234">
        <v>21.2</v>
      </c>
      <c r="J234">
        <v>20.6</v>
      </c>
      <c r="K234">
        <v>22.3</v>
      </c>
      <c r="L234">
        <v>21.2</v>
      </c>
      <c r="M234">
        <v>21.3</v>
      </c>
      <c r="N234">
        <v>23.1</v>
      </c>
      <c r="O234">
        <v>25.4</v>
      </c>
      <c r="P234">
        <v>26.3</v>
      </c>
      <c r="Q234">
        <v>25.1</v>
      </c>
      <c r="R234">
        <v>23.4</v>
      </c>
      <c r="S234" t="s">
        <v>107</v>
      </c>
    </row>
    <row r="235" spans="1:19" x14ac:dyDescent="0.25">
      <c r="A235" t="s">
        <v>208</v>
      </c>
      <c r="B235">
        <v>337.1</v>
      </c>
      <c r="C235">
        <v>13.6</v>
      </c>
      <c r="D235">
        <v>12.7</v>
      </c>
      <c r="E235">
        <v>15.2</v>
      </c>
      <c r="F235">
        <v>11</v>
      </c>
      <c r="G235">
        <v>12.2</v>
      </c>
      <c r="H235">
        <v>13</v>
      </c>
      <c r="I235">
        <v>13.4</v>
      </c>
      <c r="J235">
        <v>11.5</v>
      </c>
      <c r="K235">
        <v>12</v>
      </c>
      <c r="L235">
        <v>13.9</v>
      </c>
      <c r="M235">
        <v>9.1999999999999993</v>
      </c>
      <c r="N235">
        <v>22.5</v>
      </c>
      <c r="O235">
        <v>31.5</v>
      </c>
      <c r="P235">
        <v>32.200000000000003</v>
      </c>
      <c r="Q235">
        <v>30.4</v>
      </c>
      <c r="R235">
        <v>27.9</v>
      </c>
      <c r="S235" t="s">
        <v>107</v>
      </c>
    </row>
    <row r="236" spans="1:19" x14ac:dyDescent="0.25">
      <c r="A236" t="s">
        <v>201</v>
      </c>
      <c r="B236" t="s">
        <v>162</v>
      </c>
      <c r="C236" t="s">
        <v>162</v>
      </c>
      <c r="D236">
        <v>63.5</v>
      </c>
      <c r="E236">
        <v>70.2</v>
      </c>
      <c r="F236">
        <v>74.900000000000006</v>
      </c>
      <c r="G236">
        <v>83.5</v>
      </c>
      <c r="H236">
        <v>84.1</v>
      </c>
      <c r="I236">
        <v>88.5</v>
      </c>
      <c r="J236">
        <v>95.7</v>
      </c>
      <c r="K236">
        <v>83.7</v>
      </c>
      <c r="L236">
        <v>94</v>
      </c>
      <c r="M236">
        <v>87.2</v>
      </c>
      <c r="N236">
        <v>95</v>
      </c>
      <c r="O236">
        <v>87.7</v>
      </c>
      <c r="P236">
        <v>95.6</v>
      </c>
      <c r="Q236">
        <v>94.2</v>
      </c>
      <c r="R236">
        <v>101.1</v>
      </c>
      <c r="S236" t="s">
        <v>107</v>
      </c>
    </row>
    <row r="237" spans="1:19" x14ac:dyDescent="0.25">
      <c r="A237" t="s">
        <v>207</v>
      </c>
      <c r="B237" t="s">
        <v>162</v>
      </c>
      <c r="C237" t="s">
        <v>162</v>
      </c>
      <c r="D237" t="s">
        <v>162</v>
      </c>
      <c r="E237" t="s">
        <v>162</v>
      </c>
      <c r="F237" t="s">
        <v>162</v>
      </c>
      <c r="G237" t="s">
        <v>162</v>
      </c>
      <c r="H237">
        <v>82.7</v>
      </c>
      <c r="I237">
        <v>88.3</v>
      </c>
      <c r="J237">
        <v>86.6</v>
      </c>
      <c r="K237">
        <v>92.1</v>
      </c>
      <c r="L237">
        <v>90.4</v>
      </c>
      <c r="M237">
        <v>73.3</v>
      </c>
      <c r="N237">
        <v>75.099999999999994</v>
      </c>
      <c r="O237">
        <v>63.8</v>
      </c>
      <c r="P237">
        <v>87.8</v>
      </c>
      <c r="Q237">
        <v>90.3</v>
      </c>
      <c r="R237">
        <v>85.1</v>
      </c>
      <c r="S237" t="s">
        <v>107</v>
      </c>
    </row>
    <row r="238" spans="1:19" x14ac:dyDescent="0.25">
      <c r="A238" t="s">
        <v>166</v>
      </c>
      <c r="B238" t="s">
        <v>162</v>
      </c>
      <c r="C238" t="s">
        <v>162</v>
      </c>
      <c r="D238" t="s">
        <v>162</v>
      </c>
      <c r="E238" t="s">
        <v>162</v>
      </c>
      <c r="F238" t="s">
        <v>162</v>
      </c>
      <c r="G238" t="s">
        <v>162</v>
      </c>
      <c r="H238" t="s">
        <v>162</v>
      </c>
      <c r="I238" t="s">
        <v>162</v>
      </c>
      <c r="J238">
        <v>35.4</v>
      </c>
      <c r="K238">
        <v>34</v>
      </c>
      <c r="L238">
        <v>32.1</v>
      </c>
      <c r="M238">
        <v>27.9</v>
      </c>
      <c r="N238">
        <v>38.799999999999997</v>
      </c>
      <c r="O238">
        <v>44.8</v>
      </c>
      <c r="P238">
        <v>48.4</v>
      </c>
      <c r="Q238">
        <v>45</v>
      </c>
      <c r="R238">
        <v>42.8</v>
      </c>
      <c r="S238" t="s">
        <v>107</v>
      </c>
    </row>
    <row r="239" spans="1:19" x14ac:dyDescent="0.25">
      <c r="A239" t="s">
        <v>211</v>
      </c>
      <c r="S239" t="s">
        <v>107</v>
      </c>
    </row>
    <row r="240" spans="1:19" x14ac:dyDescent="0.25">
      <c r="A240" t="s">
        <v>212</v>
      </c>
      <c r="B240">
        <v>162</v>
      </c>
      <c r="C240">
        <v>5.9</v>
      </c>
      <c r="D240">
        <v>5</v>
      </c>
      <c r="E240">
        <v>6.1</v>
      </c>
      <c r="F240">
        <v>5</v>
      </c>
      <c r="G240">
        <v>0.2</v>
      </c>
      <c r="H240">
        <v>0.3</v>
      </c>
      <c r="I240">
        <v>0.4</v>
      </c>
      <c r="J240">
        <v>8.5</v>
      </c>
      <c r="K240">
        <v>0</v>
      </c>
      <c r="L240">
        <v>0</v>
      </c>
      <c r="M240">
        <v>0</v>
      </c>
      <c r="N240" t="s">
        <v>162</v>
      </c>
      <c r="O240" t="s">
        <v>162</v>
      </c>
      <c r="P240" t="s">
        <v>162</v>
      </c>
      <c r="Q240" t="s">
        <v>162</v>
      </c>
      <c r="R240" t="s">
        <v>162</v>
      </c>
      <c r="S240" t="s">
        <v>107</v>
      </c>
    </row>
    <row r="241" spans="1:19" x14ac:dyDescent="0.25">
      <c r="A241" t="s">
        <v>213</v>
      </c>
      <c r="B241">
        <v>3011.2</v>
      </c>
      <c r="C241" t="s">
        <v>162</v>
      </c>
      <c r="D241" t="s">
        <v>162</v>
      </c>
      <c r="E241" t="s">
        <v>162</v>
      </c>
      <c r="F241" t="s">
        <v>162</v>
      </c>
      <c r="G241" t="s">
        <v>162</v>
      </c>
      <c r="H241" t="s">
        <v>162</v>
      </c>
      <c r="I241" t="s">
        <v>162</v>
      </c>
      <c r="J241" t="s">
        <v>162</v>
      </c>
      <c r="K241" t="s">
        <v>162</v>
      </c>
      <c r="L241" t="s">
        <v>162</v>
      </c>
      <c r="M241" t="s">
        <v>162</v>
      </c>
      <c r="N241" t="s">
        <v>162</v>
      </c>
      <c r="O241" t="s">
        <v>162</v>
      </c>
      <c r="P241" t="s">
        <v>162</v>
      </c>
      <c r="Q241" t="s">
        <v>162</v>
      </c>
      <c r="R241" t="s">
        <v>162</v>
      </c>
      <c r="S241" t="s">
        <v>107</v>
      </c>
    </row>
    <row r="242" spans="1:19" x14ac:dyDescent="0.25">
      <c r="A242" t="s">
        <v>214</v>
      </c>
      <c r="S242" t="s">
        <v>107</v>
      </c>
    </row>
    <row r="243" spans="1:19" x14ac:dyDescent="0.25">
      <c r="A243" t="s">
        <v>108</v>
      </c>
      <c r="S243" t="s">
        <v>108</v>
      </c>
    </row>
    <row r="244" spans="1:19" x14ac:dyDescent="0.25">
      <c r="A244" t="s">
        <v>198</v>
      </c>
      <c r="B244" t="s">
        <v>257</v>
      </c>
      <c r="C244" t="s">
        <v>256</v>
      </c>
      <c r="D244" t="s">
        <v>181</v>
      </c>
      <c r="E244" t="s">
        <v>180</v>
      </c>
      <c r="F244" t="s">
        <v>179</v>
      </c>
      <c r="G244" t="s">
        <v>178</v>
      </c>
      <c r="H244" t="s">
        <v>177</v>
      </c>
      <c r="I244" t="s">
        <v>176</v>
      </c>
      <c r="J244" t="s">
        <v>175</v>
      </c>
      <c r="K244" t="s">
        <v>174</v>
      </c>
      <c r="L244" t="s">
        <v>173</v>
      </c>
      <c r="M244" t="s">
        <v>172</v>
      </c>
      <c r="N244" t="s">
        <v>171</v>
      </c>
      <c r="O244" t="s">
        <v>170</v>
      </c>
      <c r="P244" t="s">
        <v>169</v>
      </c>
      <c r="Q244" t="s">
        <v>168</v>
      </c>
      <c r="R244" t="s">
        <v>167</v>
      </c>
      <c r="S244" t="s">
        <v>108</v>
      </c>
    </row>
    <row r="245" spans="1:19" x14ac:dyDescent="0.25">
      <c r="A245" t="s">
        <v>199</v>
      </c>
      <c r="S245" t="s">
        <v>108</v>
      </c>
    </row>
    <row r="246" spans="1:19" x14ac:dyDescent="0.25">
      <c r="A246" t="s">
        <v>164</v>
      </c>
      <c r="B246">
        <v>10</v>
      </c>
      <c r="C246">
        <v>101.1</v>
      </c>
      <c r="D246">
        <v>104.4</v>
      </c>
      <c r="E246">
        <v>106.1</v>
      </c>
      <c r="F246">
        <v>103.1</v>
      </c>
      <c r="G246">
        <v>109.1</v>
      </c>
      <c r="H246">
        <v>94.9</v>
      </c>
      <c r="I246">
        <v>96.4</v>
      </c>
      <c r="J246">
        <v>82</v>
      </c>
      <c r="K246">
        <v>86.3</v>
      </c>
      <c r="L246">
        <v>90</v>
      </c>
      <c r="M246">
        <v>45.3</v>
      </c>
      <c r="N246">
        <v>37.799999999999997</v>
      </c>
      <c r="O246">
        <v>32.200000000000003</v>
      </c>
      <c r="P246">
        <v>36.4</v>
      </c>
      <c r="Q246">
        <v>43.6</v>
      </c>
      <c r="R246">
        <v>46.4</v>
      </c>
      <c r="S246" t="s">
        <v>108</v>
      </c>
    </row>
    <row r="247" spans="1:19" x14ac:dyDescent="0.25">
      <c r="A247" t="s">
        <v>165</v>
      </c>
      <c r="B247">
        <v>66.099999999999994</v>
      </c>
      <c r="C247">
        <v>69.900000000000006</v>
      </c>
      <c r="D247">
        <v>72.5</v>
      </c>
      <c r="E247">
        <v>77.599999999999994</v>
      </c>
      <c r="F247">
        <v>82.7</v>
      </c>
      <c r="G247">
        <v>81.5</v>
      </c>
      <c r="H247">
        <v>80.3</v>
      </c>
      <c r="I247">
        <v>75.2</v>
      </c>
      <c r="J247">
        <v>89.2</v>
      </c>
      <c r="K247">
        <v>87.1</v>
      </c>
      <c r="L247">
        <v>82.4</v>
      </c>
      <c r="M247">
        <v>91.4</v>
      </c>
      <c r="N247">
        <v>86.2</v>
      </c>
      <c r="O247">
        <v>85.9</v>
      </c>
      <c r="P247">
        <v>84.6</v>
      </c>
      <c r="Q247">
        <v>87.9</v>
      </c>
      <c r="R247">
        <v>88.8</v>
      </c>
      <c r="S247" t="s">
        <v>108</v>
      </c>
    </row>
    <row r="248" spans="1:19" x14ac:dyDescent="0.25">
      <c r="A248" t="s">
        <v>202</v>
      </c>
      <c r="B248">
        <v>611.6</v>
      </c>
      <c r="C248">
        <v>64.2</v>
      </c>
      <c r="D248">
        <v>61.5</v>
      </c>
      <c r="E248">
        <v>77.900000000000006</v>
      </c>
      <c r="F248">
        <v>66.7</v>
      </c>
      <c r="G248">
        <v>68.8</v>
      </c>
      <c r="H248">
        <v>56.8</v>
      </c>
      <c r="I248">
        <v>56</v>
      </c>
      <c r="J248">
        <v>56.2</v>
      </c>
      <c r="K248">
        <v>65.7</v>
      </c>
      <c r="L248">
        <v>47.9</v>
      </c>
      <c r="M248">
        <v>61</v>
      </c>
      <c r="N248">
        <v>46.5</v>
      </c>
      <c r="O248">
        <v>39.200000000000003</v>
      </c>
      <c r="P248">
        <v>63.2</v>
      </c>
      <c r="Q248">
        <v>55.5</v>
      </c>
      <c r="R248">
        <v>60.7</v>
      </c>
      <c r="S248" t="s">
        <v>108</v>
      </c>
    </row>
    <row r="249" spans="1:19" x14ac:dyDescent="0.25">
      <c r="A249" t="s">
        <v>205</v>
      </c>
      <c r="B249">
        <v>16.7</v>
      </c>
      <c r="C249">
        <v>58.7</v>
      </c>
      <c r="D249">
        <v>51.3</v>
      </c>
      <c r="E249">
        <v>55.6</v>
      </c>
      <c r="F249">
        <v>75.5</v>
      </c>
      <c r="G249">
        <v>51.6</v>
      </c>
      <c r="H249">
        <v>27</v>
      </c>
      <c r="I249">
        <v>40.5</v>
      </c>
      <c r="J249">
        <v>43.7</v>
      </c>
      <c r="K249">
        <v>0</v>
      </c>
      <c r="L249">
        <v>0</v>
      </c>
      <c r="M249">
        <v>0</v>
      </c>
      <c r="N249" t="s">
        <v>162</v>
      </c>
      <c r="O249" t="s">
        <v>162</v>
      </c>
      <c r="P249" t="s">
        <v>162</v>
      </c>
      <c r="Q249" t="s">
        <v>162</v>
      </c>
      <c r="R249" t="s">
        <v>162</v>
      </c>
      <c r="S249" t="s">
        <v>108</v>
      </c>
    </row>
    <row r="250" spans="1:19" x14ac:dyDescent="0.25">
      <c r="A250" t="s">
        <v>200</v>
      </c>
      <c r="B250">
        <v>17.7</v>
      </c>
      <c r="C250">
        <v>58.2</v>
      </c>
      <c r="D250">
        <v>53.7</v>
      </c>
      <c r="E250">
        <v>54.3</v>
      </c>
      <c r="F250">
        <v>59.7</v>
      </c>
      <c r="G250">
        <v>48.6</v>
      </c>
      <c r="H250">
        <v>47.6</v>
      </c>
      <c r="I250">
        <v>57.7</v>
      </c>
      <c r="J250">
        <v>58.4</v>
      </c>
      <c r="K250">
        <v>57.4</v>
      </c>
      <c r="L250">
        <v>58.1</v>
      </c>
      <c r="M250">
        <v>68.400000000000006</v>
      </c>
      <c r="N250">
        <v>52.6</v>
      </c>
      <c r="O250">
        <v>53.4</v>
      </c>
      <c r="P250">
        <v>44.9</v>
      </c>
      <c r="Q250">
        <v>0</v>
      </c>
      <c r="R250" t="s">
        <v>162</v>
      </c>
      <c r="S250" t="s">
        <v>108</v>
      </c>
    </row>
    <row r="251" spans="1:19" x14ac:dyDescent="0.25">
      <c r="A251" t="s">
        <v>217</v>
      </c>
      <c r="B251">
        <v>14.8</v>
      </c>
      <c r="C251">
        <v>55.9</v>
      </c>
      <c r="D251">
        <v>39</v>
      </c>
      <c r="E251">
        <v>47.8</v>
      </c>
      <c r="F251">
        <v>40.6</v>
      </c>
      <c r="G251">
        <v>50.6</v>
      </c>
      <c r="H251">
        <v>49.3</v>
      </c>
      <c r="I251">
        <v>52.7</v>
      </c>
      <c r="J251">
        <v>50</v>
      </c>
      <c r="K251">
        <v>62.3</v>
      </c>
      <c r="L251">
        <v>57.8</v>
      </c>
      <c r="M251">
        <v>59.4</v>
      </c>
      <c r="N251">
        <v>53.3</v>
      </c>
      <c r="O251">
        <v>59.9</v>
      </c>
      <c r="P251">
        <v>60.7</v>
      </c>
      <c r="Q251">
        <v>55.8</v>
      </c>
      <c r="R251">
        <v>53.5</v>
      </c>
      <c r="S251" t="s">
        <v>108</v>
      </c>
    </row>
    <row r="252" spans="1:19" x14ac:dyDescent="0.25">
      <c r="A252" t="s">
        <v>206</v>
      </c>
      <c r="B252">
        <v>619.20000000000005</v>
      </c>
      <c r="C252">
        <v>38.9</v>
      </c>
      <c r="D252">
        <v>18.399999999999999</v>
      </c>
      <c r="E252">
        <v>21.7</v>
      </c>
      <c r="F252">
        <v>16.399999999999999</v>
      </c>
      <c r="G252">
        <v>17.100000000000001</v>
      </c>
      <c r="H252">
        <v>9.5</v>
      </c>
      <c r="I252">
        <v>5.5</v>
      </c>
      <c r="J252">
        <v>7.7</v>
      </c>
      <c r="K252">
        <v>9.6999999999999993</v>
      </c>
      <c r="L252">
        <v>2.8</v>
      </c>
      <c r="M252">
        <v>6.6</v>
      </c>
      <c r="N252">
        <v>2.2000000000000002</v>
      </c>
      <c r="O252">
        <v>2.5</v>
      </c>
      <c r="P252">
        <v>3.1</v>
      </c>
      <c r="Q252">
        <v>4.9000000000000004</v>
      </c>
      <c r="R252">
        <v>3.9</v>
      </c>
      <c r="S252" t="s">
        <v>108</v>
      </c>
    </row>
    <row r="253" spans="1:19" x14ac:dyDescent="0.25">
      <c r="A253" t="s">
        <v>203</v>
      </c>
      <c r="B253">
        <v>2630.8</v>
      </c>
      <c r="C253">
        <v>36.4</v>
      </c>
      <c r="D253">
        <v>35.700000000000003</v>
      </c>
      <c r="E253">
        <v>34.799999999999997</v>
      </c>
      <c r="F253">
        <v>39.1</v>
      </c>
      <c r="G253">
        <v>42.7</v>
      </c>
      <c r="H253">
        <v>45.5</v>
      </c>
      <c r="I253">
        <v>44.9</v>
      </c>
      <c r="J253">
        <v>38</v>
      </c>
      <c r="K253">
        <v>36.9</v>
      </c>
      <c r="L253">
        <v>38</v>
      </c>
      <c r="M253">
        <v>35.799999999999997</v>
      </c>
      <c r="N253">
        <v>45.9</v>
      </c>
      <c r="O253">
        <v>56.6</v>
      </c>
      <c r="P253">
        <v>38.700000000000003</v>
      </c>
      <c r="Q253">
        <v>44.4</v>
      </c>
      <c r="R253">
        <v>45.4</v>
      </c>
      <c r="S253" t="s">
        <v>108</v>
      </c>
    </row>
    <row r="254" spans="1:19" x14ac:dyDescent="0.25">
      <c r="A254" t="s">
        <v>216</v>
      </c>
      <c r="B254">
        <v>968.3</v>
      </c>
      <c r="C254">
        <v>27.3</v>
      </c>
      <c r="D254">
        <v>28.8</v>
      </c>
      <c r="E254">
        <v>31.5</v>
      </c>
      <c r="F254">
        <v>32.5</v>
      </c>
      <c r="G254">
        <v>30</v>
      </c>
      <c r="H254">
        <v>31.2</v>
      </c>
      <c r="I254">
        <v>29.9</v>
      </c>
      <c r="J254" t="s">
        <v>162</v>
      </c>
      <c r="K254" t="s">
        <v>162</v>
      </c>
      <c r="L254" t="s">
        <v>162</v>
      </c>
      <c r="M254" t="s">
        <v>162</v>
      </c>
      <c r="N254" t="s">
        <v>162</v>
      </c>
      <c r="O254" t="s">
        <v>162</v>
      </c>
      <c r="P254" t="s">
        <v>162</v>
      </c>
      <c r="Q254" t="s">
        <v>162</v>
      </c>
      <c r="R254" t="s">
        <v>162</v>
      </c>
      <c r="S254" t="s">
        <v>108</v>
      </c>
    </row>
    <row r="255" spans="1:19" x14ac:dyDescent="0.25">
      <c r="A255" t="s">
        <v>204</v>
      </c>
      <c r="B255">
        <v>382.2</v>
      </c>
      <c r="C255">
        <v>25.2</v>
      </c>
      <c r="D255">
        <v>24.9</v>
      </c>
      <c r="E255">
        <v>26.6</v>
      </c>
      <c r="F255">
        <v>26.6</v>
      </c>
      <c r="G255">
        <v>26.4</v>
      </c>
      <c r="H255">
        <v>26.4</v>
      </c>
      <c r="I255">
        <v>23.9</v>
      </c>
      <c r="J255">
        <v>17.5</v>
      </c>
      <c r="K255" t="s">
        <v>162</v>
      </c>
      <c r="L255" t="s">
        <v>162</v>
      </c>
      <c r="M255" t="s">
        <v>162</v>
      </c>
      <c r="N255" t="s">
        <v>162</v>
      </c>
      <c r="O255" t="s">
        <v>162</v>
      </c>
      <c r="P255" t="s">
        <v>162</v>
      </c>
      <c r="Q255" t="s">
        <v>162</v>
      </c>
      <c r="R255" t="s">
        <v>162</v>
      </c>
      <c r="S255" t="s">
        <v>108</v>
      </c>
    </row>
    <row r="256" spans="1:19" x14ac:dyDescent="0.25">
      <c r="A256" t="s">
        <v>209</v>
      </c>
      <c r="B256">
        <v>5.4</v>
      </c>
      <c r="C256">
        <v>0.1</v>
      </c>
      <c r="D256">
        <v>0.1</v>
      </c>
      <c r="E256">
        <v>0.1</v>
      </c>
      <c r="F256">
        <v>0.1</v>
      </c>
      <c r="G256">
        <v>0.1</v>
      </c>
      <c r="H256">
        <v>0.1</v>
      </c>
      <c r="I256">
        <v>0</v>
      </c>
      <c r="J256">
        <v>0.1</v>
      </c>
      <c r="K256">
        <v>0.1</v>
      </c>
      <c r="L256">
        <v>0</v>
      </c>
      <c r="M256">
        <v>0.1</v>
      </c>
      <c r="N256">
        <v>0.1</v>
      </c>
      <c r="O256">
        <v>0.1</v>
      </c>
      <c r="P256">
        <v>0.2</v>
      </c>
      <c r="Q256">
        <v>0.1</v>
      </c>
      <c r="R256">
        <v>0.3</v>
      </c>
      <c r="S256" t="s">
        <v>108</v>
      </c>
    </row>
    <row r="257" spans="1:19" x14ac:dyDescent="0.25">
      <c r="A257" t="s">
        <v>201</v>
      </c>
      <c r="B257" t="s">
        <v>162</v>
      </c>
      <c r="C257" t="s">
        <v>162</v>
      </c>
      <c r="D257" t="s">
        <v>162</v>
      </c>
      <c r="E257">
        <v>67.7</v>
      </c>
      <c r="F257">
        <v>44.8</v>
      </c>
      <c r="G257">
        <v>70.2</v>
      </c>
      <c r="H257">
        <v>64</v>
      </c>
      <c r="I257">
        <v>72.8</v>
      </c>
      <c r="J257">
        <v>69.599999999999994</v>
      </c>
      <c r="K257">
        <v>63.5</v>
      </c>
      <c r="L257">
        <v>56</v>
      </c>
      <c r="M257">
        <v>69.599999999999994</v>
      </c>
      <c r="N257">
        <v>61.2</v>
      </c>
      <c r="O257">
        <v>57.4</v>
      </c>
      <c r="P257">
        <v>60.4</v>
      </c>
      <c r="Q257">
        <v>44.2</v>
      </c>
      <c r="R257">
        <v>48.2</v>
      </c>
      <c r="S257" t="s">
        <v>108</v>
      </c>
    </row>
    <row r="258" spans="1:19" x14ac:dyDescent="0.25">
      <c r="A258" t="s">
        <v>166</v>
      </c>
      <c r="B258" t="s">
        <v>162</v>
      </c>
      <c r="C258" t="s">
        <v>162</v>
      </c>
      <c r="D258" t="s">
        <v>162</v>
      </c>
      <c r="E258" t="s">
        <v>162</v>
      </c>
      <c r="F258" t="s">
        <v>162</v>
      </c>
      <c r="G258" t="s">
        <v>162</v>
      </c>
      <c r="H258" t="s">
        <v>162</v>
      </c>
      <c r="I258" t="s">
        <v>162</v>
      </c>
      <c r="J258">
        <v>30.2</v>
      </c>
      <c r="K258">
        <v>26.9</v>
      </c>
      <c r="L258">
        <v>33.299999999999997</v>
      </c>
      <c r="M258">
        <v>29.2</v>
      </c>
      <c r="N258">
        <v>31.7</v>
      </c>
      <c r="O258">
        <v>31.7</v>
      </c>
      <c r="P258">
        <v>26.5</v>
      </c>
      <c r="Q258">
        <v>25.2</v>
      </c>
      <c r="R258">
        <v>24.5</v>
      </c>
      <c r="S258" t="s">
        <v>108</v>
      </c>
    </row>
    <row r="259" spans="1:19" x14ac:dyDescent="0.25">
      <c r="A259" t="s">
        <v>211</v>
      </c>
      <c r="S259" t="s">
        <v>108</v>
      </c>
    </row>
    <row r="260" spans="1:19" x14ac:dyDescent="0.25">
      <c r="A260" t="s">
        <v>213</v>
      </c>
      <c r="B260">
        <v>5342.7</v>
      </c>
      <c r="C260" t="s">
        <v>162</v>
      </c>
      <c r="D260" t="s">
        <v>162</v>
      </c>
      <c r="E260" t="s">
        <v>162</v>
      </c>
      <c r="F260" t="s">
        <v>162</v>
      </c>
      <c r="G260" t="s">
        <v>162</v>
      </c>
      <c r="H260" t="s">
        <v>162</v>
      </c>
      <c r="I260" t="s">
        <v>162</v>
      </c>
      <c r="J260" t="s">
        <v>162</v>
      </c>
      <c r="K260" t="s">
        <v>162</v>
      </c>
      <c r="L260" t="s">
        <v>162</v>
      </c>
      <c r="M260" t="s">
        <v>162</v>
      </c>
      <c r="N260" t="s">
        <v>162</v>
      </c>
      <c r="O260" t="s">
        <v>162</v>
      </c>
      <c r="P260" t="s">
        <v>162</v>
      </c>
      <c r="Q260" t="s">
        <v>162</v>
      </c>
      <c r="R260" t="s">
        <v>162</v>
      </c>
      <c r="S260" t="s">
        <v>108</v>
      </c>
    </row>
    <row r="261" spans="1:19" x14ac:dyDescent="0.25">
      <c r="A261" t="s">
        <v>214</v>
      </c>
      <c r="S261" t="s">
        <v>108</v>
      </c>
    </row>
    <row r="262" spans="1:19" x14ac:dyDescent="0.25">
      <c r="A262" t="s">
        <v>109</v>
      </c>
      <c r="S262" t="s">
        <v>109</v>
      </c>
    </row>
    <row r="263" spans="1:19" x14ac:dyDescent="0.25">
      <c r="A263" t="s">
        <v>198</v>
      </c>
      <c r="B263" t="s">
        <v>257</v>
      </c>
      <c r="C263" t="s">
        <v>256</v>
      </c>
      <c r="D263" t="s">
        <v>181</v>
      </c>
      <c r="E263" t="s">
        <v>180</v>
      </c>
      <c r="F263" t="s">
        <v>179</v>
      </c>
      <c r="G263" t="s">
        <v>178</v>
      </c>
      <c r="H263" t="s">
        <v>177</v>
      </c>
      <c r="I263" t="s">
        <v>176</v>
      </c>
      <c r="J263" t="s">
        <v>175</v>
      </c>
      <c r="K263" t="s">
        <v>174</v>
      </c>
      <c r="L263" t="s">
        <v>173</v>
      </c>
      <c r="M263" t="s">
        <v>172</v>
      </c>
      <c r="N263" t="s">
        <v>171</v>
      </c>
      <c r="O263" t="s">
        <v>170</v>
      </c>
      <c r="P263" t="s">
        <v>169</v>
      </c>
      <c r="Q263" t="s">
        <v>168</v>
      </c>
      <c r="R263" t="s">
        <v>167</v>
      </c>
      <c r="S263" t="s">
        <v>109</v>
      </c>
    </row>
    <row r="264" spans="1:19" x14ac:dyDescent="0.25">
      <c r="A264" t="s">
        <v>199</v>
      </c>
      <c r="S264" t="s">
        <v>109</v>
      </c>
    </row>
    <row r="265" spans="1:19" x14ac:dyDescent="0.25">
      <c r="A265" t="s">
        <v>163</v>
      </c>
      <c r="B265">
        <v>11567.6</v>
      </c>
      <c r="C265">
        <v>96.3</v>
      </c>
      <c r="D265">
        <v>97.6</v>
      </c>
      <c r="E265">
        <v>95.6</v>
      </c>
      <c r="F265">
        <v>98.5</v>
      </c>
      <c r="G265">
        <v>97.3</v>
      </c>
      <c r="H265">
        <v>96.7</v>
      </c>
      <c r="I265">
        <v>95.8</v>
      </c>
      <c r="J265">
        <v>96.9</v>
      </c>
      <c r="K265">
        <v>95.8</v>
      </c>
      <c r="L265">
        <v>96.6</v>
      </c>
      <c r="M265">
        <v>95.8</v>
      </c>
      <c r="N265">
        <v>95.1</v>
      </c>
      <c r="O265">
        <v>95.2</v>
      </c>
      <c r="P265">
        <v>96</v>
      </c>
      <c r="Q265">
        <v>95.3</v>
      </c>
      <c r="R265">
        <v>95.2</v>
      </c>
      <c r="S265" t="s">
        <v>109</v>
      </c>
    </row>
    <row r="266" spans="1:19" x14ac:dyDescent="0.25">
      <c r="A266" t="s">
        <v>217</v>
      </c>
      <c r="B266">
        <v>78</v>
      </c>
      <c r="C266">
        <v>78.900000000000006</v>
      </c>
      <c r="D266">
        <v>80.3</v>
      </c>
      <c r="E266">
        <v>77.3</v>
      </c>
      <c r="F266">
        <v>77.900000000000006</v>
      </c>
      <c r="G266">
        <v>73.400000000000006</v>
      </c>
      <c r="H266">
        <v>65.3</v>
      </c>
      <c r="I266">
        <v>74.400000000000006</v>
      </c>
      <c r="J266" t="s">
        <v>162</v>
      </c>
      <c r="K266" t="s">
        <v>162</v>
      </c>
      <c r="L266">
        <v>28.1</v>
      </c>
      <c r="M266" t="s">
        <v>162</v>
      </c>
      <c r="N266" t="s">
        <v>162</v>
      </c>
      <c r="O266" t="s">
        <v>162</v>
      </c>
      <c r="P266" t="s">
        <v>162</v>
      </c>
      <c r="Q266" t="s">
        <v>162</v>
      </c>
      <c r="R266" t="s">
        <v>162</v>
      </c>
      <c r="S266" t="s">
        <v>109</v>
      </c>
    </row>
    <row r="267" spans="1:19" x14ac:dyDescent="0.25">
      <c r="A267" t="s">
        <v>207</v>
      </c>
      <c r="B267">
        <v>36.5</v>
      </c>
      <c r="C267">
        <v>56.3</v>
      </c>
      <c r="D267">
        <v>54.1</v>
      </c>
      <c r="E267">
        <v>58.2</v>
      </c>
      <c r="F267">
        <v>65.7</v>
      </c>
      <c r="G267">
        <v>56.8</v>
      </c>
      <c r="H267">
        <v>53.7</v>
      </c>
      <c r="I267">
        <v>60.9</v>
      </c>
      <c r="J267">
        <v>71.2</v>
      </c>
      <c r="K267">
        <v>61.5</v>
      </c>
      <c r="L267">
        <v>38.299999999999997</v>
      </c>
      <c r="M267">
        <v>38.1</v>
      </c>
      <c r="N267">
        <v>61.1</v>
      </c>
      <c r="O267">
        <v>59.7</v>
      </c>
      <c r="P267">
        <v>60.2</v>
      </c>
      <c r="Q267">
        <v>17.3</v>
      </c>
      <c r="R267">
        <v>6.9</v>
      </c>
      <c r="S267" t="s">
        <v>109</v>
      </c>
    </row>
    <row r="268" spans="1:19" x14ac:dyDescent="0.25">
      <c r="A268" t="s">
        <v>200</v>
      </c>
      <c r="B268">
        <v>55.2</v>
      </c>
      <c r="C268">
        <v>50.3</v>
      </c>
      <c r="D268">
        <v>52.4</v>
      </c>
      <c r="E268">
        <v>56.9</v>
      </c>
      <c r="F268">
        <v>50.7</v>
      </c>
      <c r="G268">
        <v>53.5</v>
      </c>
      <c r="H268">
        <v>52.2</v>
      </c>
      <c r="I268">
        <v>44.4</v>
      </c>
      <c r="J268">
        <v>48.1</v>
      </c>
      <c r="K268">
        <v>50</v>
      </c>
      <c r="L268">
        <v>51.2</v>
      </c>
      <c r="M268">
        <v>54.5</v>
      </c>
      <c r="N268">
        <v>57</v>
      </c>
      <c r="O268">
        <v>54.2</v>
      </c>
      <c r="P268">
        <v>53.2</v>
      </c>
      <c r="Q268">
        <v>53.6</v>
      </c>
      <c r="R268">
        <v>50.4</v>
      </c>
      <c r="S268" t="s">
        <v>109</v>
      </c>
    </row>
    <row r="269" spans="1:19" x14ac:dyDescent="0.25">
      <c r="A269" t="s">
        <v>202</v>
      </c>
      <c r="B269">
        <v>5247.2</v>
      </c>
      <c r="C269">
        <v>49.8</v>
      </c>
      <c r="D269">
        <v>41</v>
      </c>
      <c r="E269">
        <v>40.799999999999997</v>
      </c>
      <c r="F269">
        <v>54.5</v>
      </c>
      <c r="G269">
        <v>48.9</v>
      </c>
      <c r="H269">
        <v>36.9</v>
      </c>
      <c r="I269">
        <v>33.5</v>
      </c>
      <c r="J269">
        <v>34.200000000000003</v>
      </c>
      <c r="K269">
        <v>26.7</v>
      </c>
      <c r="L269">
        <v>12.6</v>
      </c>
      <c r="M269">
        <v>18.2</v>
      </c>
      <c r="N269">
        <v>30.2</v>
      </c>
      <c r="O269">
        <v>13.8</v>
      </c>
      <c r="P269">
        <v>12.2</v>
      </c>
      <c r="Q269">
        <v>10.8</v>
      </c>
      <c r="R269">
        <v>8.1</v>
      </c>
      <c r="S269" t="s">
        <v>109</v>
      </c>
    </row>
    <row r="270" spans="1:19" x14ac:dyDescent="0.25">
      <c r="A270" t="s">
        <v>201</v>
      </c>
      <c r="B270">
        <v>6853.5</v>
      </c>
      <c r="C270">
        <v>45.4</v>
      </c>
      <c r="D270">
        <v>54.2</v>
      </c>
      <c r="E270">
        <v>51.8</v>
      </c>
      <c r="F270">
        <v>35.6</v>
      </c>
      <c r="G270">
        <v>45.5</v>
      </c>
      <c r="H270">
        <v>54.1</v>
      </c>
      <c r="I270">
        <v>47.9</v>
      </c>
      <c r="J270">
        <v>47.1</v>
      </c>
      <c r="K270">
        <v>55.2</v>
      </c>
      <c r="L270">
        <v>64.5</v>
      </c>
      <c r="M270">
        <v>64.900000000000006</v>
      </c>
      <c r="N270">
        <v>61.6</v>
      </c>
      <c r="O270">
        <v>68</v>
      </c>
      <c r="P270">
        <v>67.7</v>
      </c>
      <c r="Q270">
        <v>65.5</v>
      </c>
      <c r="R270">
        <v>70.5</v>
      </c>
      <c r="S270" t="s">
        <v>109</v>
      </c>
    </row>
    <row r="271" spans="1:19" x14ac:dyDescent="0.25">
      <c r="A271" t="s">
        <v>216</v>
      </c>
      <c r="B271">
        <v>7388.1</v>
      </c>
      <c r="C271">
        <v>33.299999999999997</v>
      </c>
      <c r="D271">
        <v>38.200000000000003</v>
      </c>
      <c r="E271">
        <v>33.9</v>
      </c>
      <c r="F271">
        <v>32.4</v>
      </c>
      <c r="G271">
        <v>33.9</v>
      </c>
      <c r="H271">
        <v>31</v>
      </c>
      <c r="I271">
        <v>34.9</v>
      </c>
      <c r="J271" t="s">
        <v>162</v>
      </c>
      <c r="K271" t="s">
        <v>162</v>
      </c>
      <c r="L271" t="s">
        <v>162</v>
      </c>
      <c r="M271" t="s">
        <v>162</v>
      </c>
      <c r="N271" t="s">
        <v>162</v>
      </c>
      <c r="O271" t="s">
        <v>162</v>
      </c>
      <c r="P271" t="s">
        <v>162</v>
      </c>
      <c r="Q271" t="s">
        <v>162</v>
      </c>
      <c r="R271" t="s">
        <v>162</v>
      </c>
      <c r="S271" t="s">
        <v>109</v>
      </c>
    </row>
    <row r="272" spans="1:19" x14ac:dyDescent="0.25">
      <c r="A272" t="s">
        <v>203</v>
      </c>
      <c r="B272">
        <v>32.9</v>
      </c>
      <c r="C272">
        <v>32</v>
      </c>
      <c r="D272">
        <v>40</v>
      </c>
      <c r="E272">
        <v>44.3</v>
      </c>
      <c r="F272">
        <v>45.1</v>
      </c>
      <c r="G272">
        <v>41.5</v>
      </c>
      <c r="H272">
        <v>49.1</v>
      </c>
      <c r="I272">
        <v>41.9</v>
      </c>
      <c r="J272">
        <v>44.3</v>
      </c>
      <c r="K272">
        <v>41.7</v>
      </c>
      <c r="L272">
        <v>44.3</v>
      </c>
      <c r="M272">
        <v>40.299999999999997</v>
      </c>
      <c r="N272">
        <v>33.200000000000003</v>
      </c>
      <c r="O272">
        <v>39.9</v>
      </c>
      <c r="P272">
        <v>33.799999999999997</v>
      </c>
      <c r="Q272">
        <v>37.799999999999997</v>
      </c>
      <c r="R272">
        <v>38.700000000000003</v>
      </c>
      <c r="S272" t="s">
        <v>109</v>
      </c>
    </row>
    <row r="273" spans="1:19" x14ac:dyDescent="0.25">
      <c r="A273" t="s">
        <v>204</v>
      </c>
      <c r="B273">
        <v>944.5</v>
      </c>
      <c r="C273">
        <v>22.9</v>
      </c>
      <c r="D273">
        <v>22.6</v>
      </c>
      <c r="E273">
        <v>17.899999999999999</v>
      </c>
      <c r="F273">
        <v>16.3</v>
      </c>
      <c r="G273">
        <v>17.399999999999999</v>
      </c>
      <c r="H273">
        <v>18.600000000000001</v>
      </c>
      <c r="I273">
        <v>18.100000000000001</v>
      </c>
      <c r="J273">
        <v>16.899999999999999</v>
      </c>
      <c r="K273">
        <v>17.399999999999999</v>
      </c>
      <c r="L273">
        <v>18.100000000000001</v>
      </c>
      <c r="M273">
        <v>18.8</v>
      </c>
      <c r="N273">
        <v>9.9</v>
      </c>
      <c r="O273">
        <v>17.8</v>
      </c>
      <c r="P273">
        <v>17.899999999999999</v>
      </c>
      <c r="Q273" t="s">
        <v>162</v>
      </c>
      <c r="R273" t="s">
        <v>162</v>
      </c>
      <c r="S273" t="s">
        <v>109</v>
      </c>
    </row>
    <row r="274" spans="1:19" x14ac:dyDescent="0.25">
      <c r="A274" t="s">
        <v>205</v>
      </c>
      <c r="B274">
        <v>1008.1</v>
      </c>
      <c r="C274">
        <v>14.9</v>
      </c>
      <c r="D274">
        <v>8.3000000000000007</v>
      </c>
      <c r="E274">
        <v>10.199999999999999</v>
      </c>
      <c r="F274">
        <v>9.3000000000000007</v>
      </c>
      <c r="G274">
        <v>12</v>
      </c>
      <c r="H274">
        <v>5.8</v>
      </c>
      <c r="I274">
        <v>15.7</v>
      </c>
      <c r="J274">
        <v>13</v>
      </c>
      <c r="K274">
        <v>10.3</v>
      </c>
      <c r="L274">
        <v>5.0999999999999996</v>
      </c>
      <c r="M274">
        <v>1</v>
      </c>
      <c r="N274">
        <v>2.5</v>
      </c>
      <c r="O274">
        <v>5.6</v>
      </c>
      <c r="P274">
        <v>1.9</v>
      </c>
      <c r="Q274">
        <v>2.1</v>
      </c>
      <c r="R274">
        <v>4.3</v>
      </c>
      <c r="S274" t="s">
        <v>109</v>
      </c>
    </row>
    <row r="275" spans="1:19" x14ac:dyDescent="0.25">
      <c r="A275" t="s">
        <v>206</v>
      </c>
      <c r="B275">
        <v>10624.2</v>
      </c>
      <c r="C275">
        <v>4.0999999999999996</v>
      </c>
      <c r="D275">
        <v>2.7</v>
      </c>
      <c r="E275">
        <v>7</v>
      </c>
      <c r="F275">
        <v>5.7</v>
      </c>
      <c r="G275">
        <v>4.4000000000000004</v>
      </c>
      <c r="H275">
        <v>5</v>
      </c>
      <c r="I275">
        <v>3.9</v>
      </c>
      <c r="J275">
        <v>5.8</v>
      </c>
      <c r="K275">
        <v>3.2</v>
      </c>
      <c r="L275">
        <v>2.2000000000000002</v>
      </c>
      <c r="M275">
        <v>2.2000000000000002</v>
      </c>
      <c r="N275">
        <v>3.4</v>
      </c>
      <c r="O275">
        <v>2.2999999999999998</v>
      </c>
      <c r="P275">
        <v>2.4</v>
      </c>
      <c r="Q275">
        <v>1.2</v>
      </c>
      <c r="R275">
        <v>2</v>
      </c>
      <c r="S275" t="s">
        <v>109</v>
      </c>
    </row>
    <row r="276" spans="1:19" x14ac:dyDescent="0.25">
      <c r="A276" t="s">
        <v>215</v>
      </c>
      <c r="B276">
        <v>184.5</v>
      </c>
      <c r="C276">
        <v>2.7</v>
      </c>
      <c r="D276">
        <v>4.9000000000000004</v>
      </c>
      <c r="E276">
        <v>4.2</v>
      </c>
      <c r="F276">
        <v>3.6</v>
      </c>
      <c r="G276">
        <v>3.8</v>
      </c>
      <c r="H276">
        <v>3.3</v>
      </c>
      <c r="I276">
        <v>1.9</v>
      </c>
      <c r="J276">
        <v>2.2999999999999998</v>
      </c>
      <c r="K276">
        <v>1.1000000000000001</v>
      </c>
      <c r="L276">
        <v>1.7</v>
      </c>
      <c r="M276">
        <v>1.5</v>
      </c>
      <c r="N276">
        <v>2.1</v>
      </c>
      <c r="O276">
        <v>2</v>
      </c>
      <c r="P276">
        <v>1.5</v>
      </c>
      <c r="Q276">
        <v>0.7</v>
      </c>
      <c r="R276">
        <v>1.8</v>
      </c>
      <c r="S276" t="s">
        <v>109</v>
      </c>
    </row>
    <row r="277" spans="1:19" x14ac:dyDescent="0.25">
      <c r="A277" t="s">
        <v>209</v>
      </c>
      <c r="B277">
        <v>299.10000000000002</v>
      </c>
      <c r="C277">
        <v>0.2</v>
      </c>
      <c r="D277">
        <v>0.2</v>
      </c>
      <c r="E277">
        <v>0.4</v>
      </c>
      <c r="F277">
        <v>0.2</v>
      </c>
      <c r="G277">
        <v>0.1</v>
      </c>
      <c r="H277">
        <v>0.2</v>
      </c>
      <c r="I277">
        <v>0.2</v>
      </c>
      <c r="J277">
        <v>0.2</v>
      </c>
      <c r="K277">
        <v>0.1</v>
      </c>
      <c r="L277">
        <v>0.1</v>
      </c>
      <c r="M277">
        <v>0.1</v>
      </c>
      <c r="N277">
        <v>0.1</v>
      </c>
      <c r="O277">
        <v>0.2</v>
      </c>
      <c r="P277">
        <v>0.2</v>
      </c>
      <c r="Q277">
        <v>0.1</v>
      </c>
      <c r="R277">
        <v>0.1</v>
      </c>
      <c r="S277" t="s">
        <v>109</v>
      </c>
    </row>
    <row r="278" spans="1:19" x14ac:dyDescent="0.25">
      <c r="A278" t="s">
        <v>208</v>
      </c>
      <c r="B278">
        <v>362.6</v>
      </c>
      <c r="C278">
        <v>0</v>
      </c>
      <c r="D278">
        <v>0.1</v>
      </c>
      <c r="E278">
        <v>0.1</v>
      </c>
      <c r="F278">
        <v>0</v>
      </c>
      <c r="G278">
        <v>0.1</v>
      </c>
      <c r="H278">
        <v>0.1</v>
      </c>
      <c r="I278">
        <v>0.2</v>
      </c>
      <c r="J278">
        <v>0.1</v>
      </c>
      <c r="K278">
        <v>0</v>
      </c>
      <c r="L278">
        <v>0.1</v>
      </c>
      <c r="M278">
        <v>0</v>
      </c>
      <c r="N278">
        <v>0.1</v>
      </c>
      <c r="O278">
        <v>0</v>
      </c>
      <c r="P278">
        <v>0.2</v>
      </c>
      <c r="Q278">
        <v>0.1</v>
      </c>
      <c r="R278">
        <v>0.2</v>
      </c>
      <c r="S278" t="s">
        <v>109</v>
      </c>
    </row>
    <row r="279" spans="1:19" x14ac:dyDescent="0.25">
      <c r="A279" t="s">
        <v>219</v>
      </c>
      <c r="B279" t="s">
        <v>162</v>
      </c>
      <c r="C279" t="s">
        <v>162</v>
      </c>
      <c r="D279" t="s">
        <v>162</v>
      </c>
      <c r="E279" t="s">
        <v>162</v>
      </c>
      <c r="F279" t="s">
        <v>162</v>
      </c>
      <c r="G279" t="s">
        <v>162</v>
      </c>
      <c r="H279" t="s">
        <v>162</v>
      </c>
      <c r="I279" t="s">
        <v>162</v>
      </c>
      <c r="J279" t="s">
        <v>162</v>
      </c>
      <c r="K279" t="s">
        <v>162</v>
      </c>
      <c r="L279" t="s">
        <v>162</v>
      </c>
      <c r="M279" t="s">
        <v>162</v>
      </c>
      <c r="N279" t="s">
        <v>162</v>
      </c>
      <c r="O279">
        <v>0</v>
      </c>
      <c r="P279">
        <v>0</v>
      </c>
      <c r="Q279">
        <v>0</v>
      </c>
      <c r="R279">
        <v>0</v>
      </c>
      <c r="S279" t="s">
        <v>109</v>
      </c>
    </row>
    <row r="280" spans="1:19" x14ac:dyDescent="0.25">
      <c r="A280" t="s">
        <v>166</v>
      </c>
      <c r="B280" t="s">
        <v>162</v>
      </c>
      <c r="C280" t="s">
        <v>162</v>
      </c>
      <c r="D280" t="s">
        <v>162</v>
      </c>
      <c r="E280" t="s">
        <v>162</v>
      </c>
      <c r="F280" t="s">
        <v>162</v>
      </c>
      <c r="G280" t="s">
        <v>162</v>
      </c>
      <c r="H280" t="s">
        <v>162</v>
      </c>
      <c r="I280" t="s">
        <v>162</v>
      </c>
      <c r="J280">
        <v>31.7</v>
      </c>
      <c r="K280">
        <v>33.4</v>
      </c>
      <c r="L280">
        <v>32.6</v>
      </c>
      <c r="M280">
        <v>31.2</v>
      </c>
      <c r="N280">
        <v>29.4</v>
      </c>
      <c r="O280">
        <v>29.2</v>
      </c>
      <c r="P280">
        <v>28.1</v>
      </c>
      <c r="Q280">
        <v>28.4</v>
      </c>
      <c r="R280">
        <v>33.4</v>
      </c>
      <c r="S280" t="s">
        <v>109</v>
      </c>
    </row>
    <row r="281" spans="1:19" x14ac:dyDescent="0.25">
      <c r="A281" t="s">
        <v>211</v>
      </c>
      <c r="S281" t="s">
        <v>109</v>
      </c>
    </row>
    <row r="282" spans="1:19" x14ac:dyDescent="0.25">
      <c r="A282" t="s">
        <v>212</v>
      </c>
      <c r="B282">
        <v>96.1</v>
      </c>
      <c r="C282">
        <v>3.9</v>
      </c>
      <c r="D282">
        <v>4.0999999999999996</v>
      </c>
      <c r="E282">
        <v>4.7</v>
      </c>
      <c r="F282">
        <v>3.9</v>
      </c>
      <c r="G282">
        <v>3.3</v>
      </c>
      <c r="H282">
        <v>7.8</v>
      </c>
      <c r="I282">
        <v>9.6999999999999993</v>
      </c>
      <c r="J282">
        <v>4.8</v>
      </c>
      <c r="K282">
        <v>2.1</v>
      </c>
      <c r="L282">
        <v>0.7</v>
      </c>
      <c r="M282" t="s">
        <v>162</v>
      </c>
      <c r="N282" t="s">
        <v>162</v>
      </c>
      <c r="O282" t="s">
        <v>162</v>
      </c>
      <c r="P282" t="s">
        <v>162</v>
      </c>
      <c r="Q282" t="s">
        <v>162</v>
      </c>
      <c r="R282" t="s">
        <v>162</v>
      </c>
      <c r="S282" t="s">
        <v>109</v>
      </c>
    </row>
    <row r="283" spans="1:19" x14ac:dyDescent="0.25">
      <c r="A283" t="s">
        <v>213</v>
      </c>
      <c r="B283">
        <v>44778</v>
      </c>
      <c r="C283" t="s">
        <v>162</v>
      </c>
      <c r="D283" t="s">
        <v>162</v>
      </c>
      <c r="E283" t="s">
        <v>162</v>
      </c>
      <c r="F283" t="s">
        <v>162</v>
      </c>
      <c r="G283" t="s">
        <v>162</v>
      </c>
      <c r="H283" t="s">
        <v>162</v>
      </c>
      <c r="I283" t="s">
        <v>162</v>
      </c>
      <c r="J283" t="s">
        <v>162</v>
      </c>
      <c r="K283" t="s">
        <v>162</v>
      </c>
      <c r="L283" t="s">
        <v>162</v>
      </c>
      <c r="M283" t="s">
        <v>162</v>
      </c>
      <c r="N283" t="s">
        <v>162</v>
      </c>
      <c r="O283" t="s">
        <v>162</v>
      </c>
      <c r="P283" t="s">
        <v>162</v>
      </c>
      <c r="Q283" t="s">
        <v>162</v>
      </c>
      <c r="R283" t="s">
        <v>162</v>
      </c>
      <c r="S283" t="s">
        <v>109</v>
      </c>
    </row>
    <row r="284" spans="1:19" x14ac:dyDescent="0.25">
      <c r="A284" t="s">
        <v>214</v>
      </c>
      <c r="S284" t="s">
        <v>109</v>
      </c>
    </row>
    <row r="285" spans="1:19" x14ac:dyDescent="0.25">
      <c r="A285" t="s">
        <v>110</v>
      </c>
      <c r="S285" t="s">
        <v>110</v>
      </c>
    </row>
    <row r="286" spans="1:19" x14ac:dyDescent="0.25">
      <c r="A286" t="s">
        <v>198</v>
      </c>
      <c r="B286" t="s">
        <v>257</v>
      </c>
      <c r="C286" t="s">
        <v>256</v>
      </c>
      <c r="D286" t="s">
        <v>181</v>
      </c>
      <c r="E286" t="s">
        <v>180</v>
      </c>
      <c r="F286" t="s">
        <v>179</v>
      </c>
      <c r="G286" t="s">
        <v>178</v>
      </c>
      <c r="H286" t="s">
        <v>177</v>
      </c>
      <c r="I286" t="s">
        <v>176</v>
      </c>
      <c r="J286" t="s">
        <v>175</v>
      </c>
      <c r="K286" t="s">
        <v>174</v>
      </c>
      <c r="L286" t="s">
        <v>173</v>
      </c>
      <c r="M286" t="s">
        <v>172</v>
      </c>
      <c r="N286" t="s">
        <v>171</v>
      </c>
      <c r="O286" t="s">
        <v>170</v>
      </c>
      <c r="P286" t="s">
        <v>169</v>
      </c>
      <c r="Q286" t="s">
        <v>168</v>
      </c>
      <c r="R286" t="s">
        <v>167</v>
      </c>
      <c r="S286" t="s">
        <v>110</v>
      </c>
    </row>
    <row r="287" spans="1:19" x14ac:dyDescent="0.25">
      <c r="A287" t="s">
        <v>199</v>
      </c>
      <c r="S287" t="s">
        <v>110</v>
      </c>
    </row>
    <row r="288" spans="1:19" x14ac:dyDescent="0.25">
      <c r="A288" t="s">
        <v>202</v>
      </c>
      <c r="B288">
        <v>3874.4</v>
      </c>
      <c r="C288">
        <v>76.3</v>
      </c>
      <c r="D288">
        <v>74.2</v>
      </c>
      <c r="E288">
        <v>61</v>
      </c>
      <c r="F288">
        <v>77.099999999999994</v>
      </c>
      <c r="G288">
        <v>78.599999999999994</v>
      </c>
      <c r="H288">
        <v>68.099999999999994</v>
      </c>
      <c r="I288">
        <v>63.7</v>
      </c>
      <c r="J288">
        <v>72.400000000000006</v>
      </c>
      <c r="K288">
        <v>61.7</v>
      </c>
      <c r="L288">
        <v>36.799999999999997</v>
      </c>
      <c r="M288">
        <v>34.1</v>
      </c>
      <c r="N288">
        <v>54.8</v>
      </c>
      <c r="O288">
        <v>36.700000000000003</v>
      </c>
      <c r="P288">
        <v>21.7</v>
      </c>
      <c r="Q288">
        <v>12.8</v>
      </c>
      <c r="R288">
        <v>12.2</v>
      </c>
      <c r="S288" t="s">
        <v>110</v>
      </c>
    </row>
    <row r="289" spans="1:19" x14ac:dyDescent="0.25">
      <c r="A289" t="s">
        <v>203</v>
      </c>
      <c r="B289">
        <v>71.599999999999994</v>
      </c>
      <c r="C289">
        <v>73.900000000000006</v>
      </c>
      <c r="D289">
        <v>59.9</v>
      </c>
      <c r="E289">
        <v>64.8</v>
      </c>
      <c r="F289">
        <v>46.6</v>
      </c>
      <c r="G289">
        <v>44.1</v>
      </c>
      <c r="H289">
        <v>42.1</v>
      </c>
      <c r="I289">
        <v>57.8</v>
      </c>
      <c r="J289">
        <v>80.3</v>
      </c>
      <c r="K289">
        <v>72.099999999999994</v>
      </c>
      <c r="L289">
        <v>70.099999999999994</v>
      </c>
      <c r="M289">
        <v>73.099999999999994</v>
      </c>
      <c r="N289">
        <v>82.4</v>
      </c>
      <c r="O289">
        <v>77.900000000000006</v>
      </c>
      <c r="P289">
        <v>86.5</v>
      </c>
      <c r="Q289">
        <v>96</v>
      </c>
      <c r="R289">
        <v>83</v>
      </c>
      <c r="S289" t="s">
        <v>110</v>
      </c>
    </row>
    <row r="290" spans="1:19" x14ac:dyDescent="0.25">
      <c r="A290" t="s">
        <v>207</v>
      </c>
      <c r="B290">
        <v>545.1</v>
      </c>
      <c r="C290">
        <v>66.8</v>
      </c>
      <c r="D290">
        <v>64.400000000000006</v>
      </c>
      <c r="E290">
        <v>61.9</v>
      </c>
      <c r="F290">
        <v>64.099999999999994</v>
      </c>
      <c r="G290">
        <v>60.6</v>
      </c>
      <c r="H290">
        <v>59.3</v>
      </c>
      <c r="I290">
        <v>47.4</v>
      </c>
      <c r="J290">
        <v>50.2</v>
      </c>
      <c r="K290">
        <v>53.4</v>
      </c>
      <c r="L290">
        <v>48.9</v>
      </c>
      <c r="M290">
        <v>53.4</v>
      </c>
      <c r="N290">
        <v>57.5</v>
      </c>
      <c r="O290">
        <v>55.6</v>
      </c>
      <c r="P290">
        <v>56.1</v>
      </c>
      <c r="Q290">
        <v>47.6</v>
      </c>
      <c r="R290">
        <v>52.7</v>
      </c>
      <c r="S290" t="s">
        <v>110</v>
      </c>
    </row>
    <row r="291" spans="1:19" x14ac:dyDescent="0.25">
      <c r="A291" t="s">
        <v>217</v>
      </c>
      <c r="B291">
        <v>88</v>
      </c>
      <c r="C291">
        <v>62.5</v>
      </c>
      <c r="D291">
        <v>59.1</v>
      </c>
      <c r="E291">
        <v>60.3</v>
      </c>
      <c r="F291">
        <v>61.2</v>
      </c>
      <c r="G291">
        <v>40.200000000000003</v>
      </c>
      <c r="H291">
        <v>38.5</v>
      </c>
      <c r="I291">
        <v>36.799999999999997</v>
      </c>
      <c r="J291">
        <v>44</v>
      </c>
      <c r="K291">
        <v>51.3</v>
      </c>
      <c r="L291">
        <v>44.4</v>
      </c>
      <c r="M291">
        <v>42.4</v>
      </c>
      <c r="N291">
        <v>34.799999999999997</v>
      </c>
      <c r="O291">
        <v>35.5</v>
      </c>
      <c r="P291">
        <v>47</v>
      </c>
      <c r="Q291">
        <v>42.3</v>
      </c>
      <c r="R291">
        <v>43.7</v>
      </c>
      <c r="S291" t="s">
        <v>110</v>
      </c>
    </row>
    <row r="292" spans="1:19" x14ac:dyDescent="0.25">
      <c r="A292" t="s">
        <v>205</v>
      </c>
      <c r="B292">
        <v>802.6</v>
      </c>
      <c r="C292">
        <v>45.5</v>
      </c>
      <c r="D292">
        <v>23.3</v>
      </c>
      <c r="E292">
        <v>24.9</v>
      </c>
      <c r="F292">
        <v>27.2</v>
      </c>
      <c r="G292">
        <v>18</v>
      </c>
      <c r="H292">
        <v>19.8</v>
      </c>
      <c r="I292">
        <v>18.7</v>
      </c>
      <c r="J292">
        <v>32.4</v>
      </c>
      <c r="K292">
        <v>30.2</v>
      </c>
      <c r="L292">
        <v>24.1</v>
      </c>
      <c r="M292">
        <v>54.6</v>
      </c>
      <c r="N292" t="s">
        <v>162</v>
      </c>
      <c r="O292" t="s">
        <v>162</v>
      </c>
      <c r="P292" t="s">
        <v>162</v>
      </c>
      <c r="Q292">
        <v>0</v>
      </c>
      <c r="R292">
        <v>0</v>
      </c>
      <c r="S292" t="s">
        <v>110</v>
      </c>
    </row>
    <row r="293" spans="1:19" x14ac:dyDescent="0.25">
      <c r="A293" t="s">
        <v>200</v>
      </c>
      <c r="B293">
        <v>49.7</v>
      </c>
      <c r="C293">
        <v>45.2</v>
      </c>
      <c r="D293">
        <v>61.7</v>
      </c>
      <c r="E293">
        <v>69.900000000000006</v>
      </c>
      <c r="F293">
        <v>74.099999999999994</v>
      </c>
      <c r="G293">
        <v>76.8</v>
      </c>
      <c r="H293">
        <v>73.2</v>
      </c>
      <c r="I293">
        <v>71.8</v>
      </c>
      <c r="J293">
        <v>67.400000000000006</v>
      </c>
      <c r="K293">
        <v>72</v>
      </c>
      <c r="L293">
        <v>69.099999999999994</v>
      </c>
      <c r="M293">
        <v>72.5</v>
      </c>
      <c r="N293">
        <v>68.2</v>
      </c>
      <c r="O293">
        <v>74.099999999999994</v>
      </c>
      <c r="P293">
        <v>74.099999999999994</v>
      </c>
      <c r="Q293">
        <v>78.099999999999994</v>
      </c>
      <c r="R293">
        <v>78.599999999999994</v>
      </c>
      <c r="S293" t="s">
        <v>110</v>
      </c>
    </row>
    <row r="294" spans="1:19" x14ac:dyDescent="0.25">
      <c r="A294" t="s">
        <v>201</v>
      </c>
      <c r="B294">
        <v>13385.4</v>
      </c>
      <c r="C294">
        <v>36.1</v>
      </c>
      <c r="D294">
        <v>43.4</v>
      </c>
      <c r="E294">
        <v>43.3</v>
      </c>
      <c r="F294">
        <v>36.299999999999997</v>
      </c>
      <c r="G294">
        <v>46.5</v>
      </c>
      <c r="H294">
        <v>58.2</v>
      </c>
      <c r="I294">
        <v>53.2</v>
      </c>
      <c r="J294">
        <v>51.6</v>
      </c>
      <c r="K294">
        <v>50.9</v>
      </c>
      <c r="L294">
        <v>60.3</v>
      </c>
      <c r="M294">
        <v>57.6</v>
      </c>
      <c r="N294">
        <v>55.9</v>
      </c>
      <c r="O294">
        <v>62.8</v>
      </c>
      <c r="P294">
        <v>66.400000000000006</v>
      </c>
      <c r="Q294">
        <v>62.8</v>
      </c>
      <c r="R294">
        <v>70.7</v>
      </c>
      <c r="S294" t="s">
        <v>110</v>
      </c>
    </row>
    <row r="295" spans="1:19" x14ac:dyDescent="0.25">
      <c r="A295" t="s">
        <v>216</v>
      </c>
      <c r="B295">
        <v>3380.8</v>
      </c>
      <c r="C295">
        <v>29.8</v>
      </c>
      <c r="D295">
        <v>33</v>
      </c>
      <c r="E295">
        <v>29</v>
      </c>
      <c r="F295">
        <v>29.9</v>
      </c>
      <c r="G295">
        <v>30.7</v>
      </c>
      <c r="H295">
        <v>29.2</v>
      </c>
      <c r="I295">
        <v>29.8</v>
      </c>
      <c r="J295" t="s">
        <v>162</v>
      </c>
      <c r="K295" t="s">
        <v>162</v>
      </c>
      <c r="L295" t="s">
        <v>162</v>
      </c>
      <c r="M295" t="s">
        <v>162</v>
      </c>
      <c r="N295" t="s">
        <v>162</v>
      </c>
      <c r="O295" t="s">
        <v>162</v>
      </c>
      <c r="P295" t="s">
        <v>162</v>
      </c>
      <c r="Q295" t="s">
        <v>162</v>
      </c>
      <c r="R295" t="s">
        <v>162</v>
      </c>
      <c r="S295" t="s">
        <v>110</v>
      </c>
    </row>
    <row r="296" spans="1:19" x14ac:dyDescent="0.25">
      <c r="A296" t="s">
        <v>215</v>
      </c>
      <c r="B296">
        <v>48.7</v>
      </c>
      <c r="C296">
        <v>22.6</v>
      </c>
      <c r="D296">
        <v>18</v>
      </c>
      <c r="E296">
        <v>14.2</v>
      </c>
      <c r="F296">
        <v>17.7</v>
      </c>
      <c r="G296">
        <v>26.4</v>
      </c>
      <c r="H296">
        <v>25.6</v>
      </c>
      <c r="I296">
        <v>23.9</v>
      </c>
      <c r="J296">
        <v>22.2</v>
      </c>
      <c r="K296">
        <v>18</v>
      </c>
      <c r="L296">
        <v>17.899999999999999</v>
      </c>
      <c r="M296">
        <v>43.6</v>
      </c>
      <c r="N296">
        <v>11.2</v>
      </c>
      <c r="O296">
        <v>10.6</v>
      </c>
      <c r="P296" t="s">
        <v>162</v>
      </c>
      <c r="Q296" t="s">
        <v>162</v>
      </c>
      <c r="R296">
        <v>0.8</v>
      </c>
      <c r="S296" t="s">
        <v>110</v>
      </c>
    </row>
    <row r="297" spans="1:19" x14ac:dyDescent="0.25">
      <c r="A297" t="s">
        <v>204</v>
      </c>
      <c r="B297">
        <v>1014.3</v>
      </c>
      <c r="C297">
        <v>19.7</v>
      </c>
      <c r="D297">
        <v>20.100000000000001</v>
      </c>
      <c r="E297">
        <v>17.100000000000001</v>
      </c>
      <c r="F297">
        <v>15.9</v>
      </c>
      <c r="G297">
        <v>16.7</v>
      </c>
      <c r="H297">
        <v>16.8</v>
      </c>
      <c r="I297">
        <v>17.399999999999999</v>
      </c>
      <c r="J297">
        <v>18.399999999999999</v>
      </c>
      <c r="K297">
        <v>17.8</v>
      </c>
      <c r="L297">
        <v>17.7</v>
      </c>
      <c r="M297">
        <v>22.6</v>
      </c>
      <c r="N297">
        <v>0</v>
      </c>
      <c r="O297" t="s">
        <v>162</v>
      </c>
      <c r="P297" t="s">
        <v>162</v>
      </c>
      <c r="Q297" t="s">
        <v>162</v>
      </c>
      <c r="R297" t="s">
        <v>162</v>
      </c>
      <c r="S297" t="s">
        <v>110</v>
      </c>
    </row>
    <row r="298" spans="1:19" x14ac:dyDescent="0.25">
      <c r="A298" t="s">
        <v>206</v>
      </c>
      <c r="B298">
        <v>3365.9</v>
      </c>
      <c r="C298">
        <v>11.7</v>
      </c>
      <c r="D298">
        <v>10.8</v>
      </c>
      <c r="E298">
        <v>9.9</v>
      </c>
      <c r="F298">
        <v>7.5</v>
      </c>
      <c r="G298">
        <v>6.5</v>
      </c>
      <c r="H298">
        <v>8.6999999999999993</v>
      </c>
      <c r="I298">
        <v>6</v>
      </c>
      <c r="J298">
        <v>4.9000000000000004</v>
      </c>
      <c r="K298">
        <v>3.4</v>
      </c>
      <c r="L298">
        <v>1.4</v>
      </c>
      <c r="M298">
        <v>2.2000000000000002</v>
      </c>
      <c r="N298">
        <v>2.8</v>
      </c>
      <c r="O298">
        <v>1.8</v>
      </c>
      <c r="P298">
        <v>1.8</v>
      </c>
      <c r="Q298">
        <v>0.7</v>
      </c>
      <c r="R298">
        <v>1</v>
      </c>
      <c r="S298" t="s">
        <v>110</v>
      </c>
    </row>
    <row r="299" spans="1:19" x14ac:dyDescent="0.25">
      <c r="A299" t="s">
        <v>208</v>
      </c>
      <c r="B299">
        <v>37</v>
      </c>
      <c r="C299">
        <v>10.199999999999999</v>
      </c>
      <c r="D299">
        <v>9.3000000000000007</v>
      </c>
      <c r="E299">
        <v>10</v>
      </c>
      <c r="F299">
        <v>8.1</v>
      </c>
      <c r="G299">
        <v>5.7</v>
      </c>
      <c r="H299">
        <v>3.8</v>
      </c>
      <c r="I299">
        <v>2.2000000000000002</v>
      </c>
      <c r="J299">
        <v>2</v>
      </c>
      <c r="K299">
        <v>1.9</v>
      </c>
      <c r="L299">
        <v>0.6</v>
      </c>
      <c r="M299">
        <v>0.5</v>
      </c>
      <c r="N299">
        <v>0.7</v>
      </c>
      <c r="O299">
        <v>0.7</v>
      </c>
      <c r="P299">
        <v>0.5</v>
      </c>
      <c r="Q299">
        <v>0</v>
      </c>
      <c r="R299">
        <v>0.2</v>
      </c>
      <c r="S299" t="s">
        <v>110</v>
      </c>
    </row>
    <row r="300" spans="1:19" x14ac:dyDescent="0.25">
      <c r="A300" t="s">
        <v>209</v>
      </c>
      <c r="B300">
        <v>58.8</v>
      </c>
      <c r="C300">
        <v>1.5</v>
      </c>
      <c r="D300">
        <v>1.4</v>
      </c>
      <c r="E300">
        <v>1.4</v>
      </c>
      <c r="F300">
        <v>3</v>
      </c>
      <c r="G300">
        <v>2.2000000000000002</v>
      </c>
      <c r="H300">
        <v>2.2000000000000002</v>
      </c>
      <c r="I300">
        <v>1.9</v>
      </c>
      <c r="J300">
        <v>1.5</v>
      </c>
      <c r="K300">
        <v>2</v>
      </c>
      <c r="L300">
        <v>2.2000000000000002</v>
      </c>
      <c r="M300">
        <v>2.8</v>
      </c>
      <c r="N300">
        <v>2</v>
      </c>
      <c r="O300">
        <v>1.3</v>
      </c>
      <c r="P300">
        <v>1</v>
      </c>
      <c r="Q300">
        <v>0.4</v>
      </c>
      <c r="R300">
        <v>0.3</v>
      </c>
      <c r="S300" t="s">
        <v>110</v>
      </c>
    </row>
    <row r="301" spans="1:19" x14ac:dyDescent="0.25">
      <c r="A301" t="s">
        <v>219</v>
      </c>
      <c r="B301" t="s">
        <v>162</v>
      </c>
      <c r="C301" t="s">
        <v>162</v>
      </c>
      <c r="D301" t="s">
        <v>162</v>
      </c>
      <c r="E301" t="s">
        <v>162</v>
      </c>
      <c r="F301" t="s">
        <v>162</v>
      </c>
      <c r="G301" t="s">
        <v>162</v>
      </c>
      <c r="H301" t="s">
        <v>162</v>
      </c>
      <c r="I301" t="s">
        <v>162</v>
      </c>
      <c r="J301" t="s">
        <v>162</v>
      </c>
      <c r="K301" t="s">
        <v>162</v>
      </c>
      <c r="L301" t="s">
        <v>162</v>
      </c>
      <c r="M301" t="s">
        <v>162</v>
      </c>
      <c r="N301">
        <v>0</v>
      </c>
      <c r="O301">
        <v>0.1</v>
      </c>
      <c r="P301">
        <v>3.2</v>
      </c>
      <c r="Q301">
        <v>0</v>
      </c>
      <c r="R301">
        <v>0.2</v>
      </c>
      <c r="S301" t="s">
        <v>110</v>
      </c>
    </row>
    <row r="302" spans="1:19" x14ac:dyDescent="0.25">
      <c r="A302" t="s">
        <v>166</v>
      </c>
      <c r="B302" t="s">
        <v>162</v>
      </c>
      <c r="C302" t="s">
        <v>162</v>
      </c>
      <c r="D302" t="s">
        <v>162</v>
      </c>
      <c r="E302" t="s">
        <v>162</v>
      </c>
      <c r="F302" t="s">
        <v>162</v>
      </c>
      <c r="G302" t="s">
        <v>162</v>
      </c>
      <c r="H302" t="s">
        <v>162</v>
      </c>
      <c r="I302" t="s">
        <v>162</v>
      </c>
      <c r="J302">
        <v>29.4</v>
      </c>
      <c r="K302">
        <v>29.6</v>
      </c>
      <c r="L302">
        <v>25.6</v>
      </c>
      <c r="M302">
        <v>25.8</v>
      </c>
      <c r="N302">
        <v>26.8</v>
      </c>
      <c r="O302">
        <v>28</v>
      </c>
      <c r="P302">
        <v>29.5</v>
      </c>
      <c r="Q302">
        <v>23.1</v>
      </c>
      <c r="R302">
        <v>30.9</v>
      </c>
      <c r="S302" t="s">
        <v>110</v>
      </c>
    </row>
    <row r="303" spans="1:19" x14ac:dyDescent="0.25">
      <c r="A303" t="s">
        <v>211</v>
      </c>
      <c r="S303" t="s">
        <v>110</v>
      </c>
    </row>
    <row r="304" spans="1:19" x14ac:dyDescent="0.25">
      <c r="A304" t="s">
        <v>212</v>
      </c>
      <c r="B304">
        <v>36</v>
      </c>
      <c r="C304">
        <v>0.1</v>
      </c>
      <c r="D304">
        <v>0.6</v>
      </c>
      <c r="E304">
        <v>0.5</v>
      </c>
      <c r="F304">
        <v>0.2</v>
      </c>
      <c r="G304">
        <v>0.1</v>
      </c>
      <c r="H304">
        <v>0</v>
      </c>
      <c r="I304">
        <v>0</v>
      </c>
      <c r="J304">
        <v>0</v>
      </c>
      <c r="K304" t="s">
        <v>162</v>
      </c>
      <c r="L304" t="s">
        <v>162</v>
      </c>
      <c r="M304" t="s">
        <v>162</v>
      </c>
      <c r="N304" t="s">
        <v>162</v>
      </c>
      <c r="O304" t="s">
        <v>162</v>
      </c>
      <c r="P304" t="s">
        <v>162</v>
      </c>
      <c r="Q304" t="s">
        <v>162</v>
      </c>
      <c r="R304" t="s">
        <v>162</v>
      </c>
      <c r="S304" t="s">
        <v>110</v>
      </c>
    </row>
    <row r="305" spans="1:19" x14ac:dyDescent="0.25">
      <c r="A305" t="s">
        <v>213</v>
      </c>
      <c r="B305">
        <v>26758.2</v>
      </c>
      <c r="C305" t="s">
        <v>162</v>
      </c>
      <c r="D305" t="s">
        <v>162</v>
      </c>
      <c r="E305" t="s">
        <v>162</v>
      </c>
      <c r="F305" t="s">
        <v>162</v>
      </c>
      <c r="G305" t="s">
        <v>162</v>
      </c>
      <c r="H305" t="s">
        <v>162</v>
      </c>
      <c r="I305" t="s">
        <v>162</v>
      </c>
      <c r="J305" t="s">
        <v>162</v>
      </c>
      <c r="K305" t="s">
        <v>162</v>
      </c>
      <c r="L305" t="s">
        <v>162</v>
      </c>
      <c r="M305" t="s">
        <v>162</v>
      </c>
      <c r="N305" t="s">
        <v>162</v>
      </c>
      <c r="O305" t="s">
        <v>162</v>
      </c>
      <c r="P305" t="s">
        <v>162</v>
      </c>
      <c r="Q305" t="s">
        <v>162</v>
      </c>
      <c r="R305" t="s">
        <v>162</v>
      </c>
      <c r="S305" t="s">
        <v>110</v>
      </c>
    </row>
    <row r="306" spans="1:19" x14ac:dyDescent="0.25">
      <c r="A306" t="s">
        <v>214</v>
      </c>
      <c r="S306" t="s">
        <v>110</v>
      </c>
    </row>
    <row r="307" spans="1:19" x14ac:dyDescent="0.25">
      <c r="A307" t="s">
        <v>111</v>
      </c>
      <c r="S307" t="s">
        <v>111</v>
      </c>
    </row>
    <row r="308" spans="1:19" x14ac:dyDescent="0.25">
      <c r="A308" t="s">
        <v>198</v>
      </c>
      <c r="B308" t="s">
        <v>257</v>
      </c>
      <c r="C308" t="s">
        <v>256</v>
      </c>
      <c r="D308" t="s">
        <v>181</v>
      </c>
      <c r="E308" t="s">
        <v>180</v>
      </c>
      <c r="F308" t="s">
        <v>179</v>
      </c>
      <c r="G308" t="s">
        <v>178</v>
      </c>
      <c r="H308" t="s">
        <v>177</v>
      </c>
      <c r="I308" t="s">
        <v>176</v>
      </c>
      <c r="J308" t="s">
        <v>175</v>
      </c>
      <c r="K308" t="s">
        <v>174</v>
      </c>
      <c r="L308" t="s">
        <v>173</v>
      </c>
      <c r="M308" t="s">
        <v>172</v>
      </c>
      <c r="N308" t="s">
        <v>171</v>
      </c>
      <c r="O308" t="s">
        <v>170</v>
      </c>
      <c r="P308" t="s">
        <v>169</v>
      </c>
      <c r="Q308" t="s">
        <v>168</v>
      </c>
      <c r="R308" t="s">
        <v>167</v>
      </c>
      <c r="S308" t="s">
        <v>111</v>
      </c>
    </row>
    <row r="309" spans="1:19" x14ac:dyDescent="0.25">
      <c r="A309" t="s">
        <v>199</v>
      </c>
      <c r="S309" t="s">
        <v>111</v>
      </c>
    </row>
    <row r="310" spans="1:19" x14ac:dyDescent="0.25">
      <c r="A310" t="s">
        <v>200</v>
      </c>
      <c r="B310">
        <v>20.6</v>
      </c>
      <c r="C310">
        <v>59.3</v>
      </c>
      <c r="D310">
        <v>58.2</v>
      </c>
      <c r="E310">
        <v>62.4</v>
      </c>
      <c r="F310">
        <v>64.8</v>
      </c>
      <c r="G310">
        <v>72.099999999999994</v>
      </c>
      <c r="H310">
        <v>74.400000000000006</v>
      </c>
      <c r="I310">
        <v>73</v>
      </c>
      <c r="J310">
        <v>79.3</v>
      </c>
      <c r="K310">
        <v>79.8</v>
      </c>
      <c r="L310">
        <v>80.3</v>
      </c>
      <c r="M310">
        <v>82.6</v>
      </c>
      <c r="N310">
        <v>63.2</v>
      </c>
      <c r="O310">
        <v>65.5</v>
      </c>
      <c r="P310">
        <v>85.1</v>
      </c>
      <c r="Q310">
        <v>85.8</v>
      </c>
      <c r="R310">
        <v>86.7</v>
      </c>
      <c r="S310" t="s">
        <v>111</v>
      </c>
    </row>
    <row r="311" spans="1:19" x14ac:dyDescent="0.25">
      <c r="A311" t="s">
        <v>202</v>
      </c>
      <c r="B311">
        <v>1741.9</v>
      </c>
      <c r="C311">
        <v>57.4</v>
      </c>
      <c r="D311">
        <v>39.9</v>
      </c>
      <c r="E311">
        <v>35</v>
      </c>
      <c r="F311">
        <v>37.4</v>
      </c>
      <c r="G311">
        <v>43.1</v>
      </c>
      <c r="H311">
        <v>41.1</v>
      </c>
      <c r="I311">
        <v>26.8</v>
      </c>
      <c r="J311">
        <v>24.5</v>
      </c>
      <c r="K311">
        <v>21.2</v>
      </c>
      <c r="L311">
        <v>11.5</v>
      </c>
      <c r="M311">
        <v>10.6</v>
      </c>
      <c r="N311">
        <v>14.3</v>
      </c>
      <c r="O311">
        <v>7.4</v>
      </c>
      <c r="P311">
        <v>10.5</v>
      </c>
      <c r="Q311">
        <v>9.6999999999999993</v>
      </c>
      <c r="R311">
        <v>19.899999999999999</v>
      </c>
      <c r="S311" t="s">
        <v>111</v>
      </c>
    </row>
    <row r="312" spans="1:19" x14ac:dyDescent="0.25">
      <c r="A312" t="s">
        <v>203</v>
      </c>
      <c r="B312">
        <v>209.4</v>
      </c>
      <c r="C312">
        <v>51.7</v>
      </c>
      <c r="D312">
        <v>55.1</v>
      </c>
      <c r="E312">
        <v>61.3</v>
      </c>
      <c r="F312">
        <v>77.599999999999994</v>
      </c>
      <c r="G312">
        <v>62.1</v>
      </c>
      <c r="H312">
        <v>72.099999999999994</v>
      </c>
      <c r="I312">
        <v>80.599999999999994</v>
      </c>
      <c r="J312">
        <v>72</v>
      </c>
      <c r="K312">
        <v>75.599999999999994</v>
      </c>
      <c r="L312">
        <v>69.2</v>
      </c>
      <c r="M312">
        <v>59</v>
      </c>
      <c r="N312">
        <v>59.9</v>
      </c>
      <c r="O312">
        <v>73.3</v>
      </c>
      <c r="P312">
        <v>75.099999999999994</v>
      </c>
      <c r="Q312">
        <v>76.900000000000006</v>
      </c>
      <c r="R312">
        <v>65.900000000000006</v>
      </c>
      <c r="S312" t="s">
        <v>111</v>
      </c>
    </row>
    <row r="313" spans="1:19" x14ac:dyDescent="0.25">
      <c r="A313" t="s">
        <v>201</v>
      </c>
      <c r="B313">
        <v>4960.7</v>
      </c>
      <c r="C313">
        <v>38.299999999999997</v>
      </c>
      <c r="D313">
        <v>41.3</v>
      </c>
      <c r="E313">
        <v>48.2</v>
      </c>
      <c r="F313">
        <v>30.8</v>
      </c>
      <c r="G313">
        <v>47.8</v>
      </c>
      <c r="H313">
        <v>61.1</v>
      </c>
      <c r="I313">
        <v>53.2</v>
      </c>
      <c r="J313">
        <v>51.2</v>
      </c>
      <c r="K313">
        <v>54.9</v>
      </c>
      <c r="L313">
        <v>59.1</v>
      </c>
      <c r="M313">
        <v>58</v>
      </c>
      <c r="N313">
        <v>60.1</v>
      </c>
      <c r="O313">
        <v>63.5</v>
      </c>
      <c r="P313">
        <v>68.400000000000006</v>
      </c>
      <c r="Q313">
        <v>60.8</v>
      </c>
      <c r="R313">
        <v>66.7</v>
      </c>
      <c r="S313" t="s">
        <v>111</v>
      </c>
    </row>
    <row r="314" spans="1:19" x14ac:dyDescent="0.25">
      <c r="A314" t="s">
        <v>216</v>
      </c>
      <c r="B314">
        <v>12567.5</v>
      </c>
      <c r="C314">
        <v>37.6</v>
      </c>
      <c r="D314">
        <v>43.2</v>
      </c>
      <c r="E314">
        <v>36.6</v>
      </c>
      <c r="F314">
        <v>36.700000000000003</v>
      </c>
      <c r="G314">
        <v>34.1</v>
      </c>
      <c r="H314">
        <v>33.6</v>
      </c>
      <c r="I314">
        <v>35.799999999999997</v>
      </c>
      <c r="J314" t="s">
        <v>162</v>
      </c>
      <c r="K314" t="s">
        <v>162</v>
      </c>
      <c r="L314" t="s">
        <v>162</v>
      </c>
      <c r="M314" t="s">
        <v>162</v>
      </c>
      <c r="N314" t="s">
        <v>162</v>
      </c>
      <c r="O314" t="s">
        <v>162</v>
      </c>
      <c r="P314" t="s">
        <v>162</v>
      </c>
      <c r="Q314" t="s">
        <v>162</v>
      </c>
      <c r="R314" t="s">
        <v>162</v>
      </c>
      <c r="S314" t="s">
        <v>111</v>
      </c>
    </row>
    <row r="315" spans="1:19" x14ac:dyDescent="0.25">
      <c r="A315" t="s">
        <v>204</v>
      </c>
      <c r="B315">
        <v>262</v>
      </c>
      <c r="C315">
        <v>22.7</v>
      </c>
      <c r="D315">
        <v>21.4</v>
      </c>
      <c r="E315">
        <v>23.1</v>
      </c>
      <c r="F315">
        <v>16.100000000000001</v>
      </c>
      <c r="G315">
        <v>15.9</v>
      </c>
      <c r="H315">
        <v>14.7</v>
      </c>
      <c r="I315">
        <v>14.2</v>
      </c>
      <c r="J315">
        <v>3.5</v>
      </c>
      <c r="K315" t="s">
        <v>162</v>
      </c>
      <c r="L315" t="s">
        <v>162</v>
      </c>
      <c r="M315" t="s">
        <v>162</v>
      </c>
      <c r="N315" t="s">
        <v>162</v>
      </c>
      <c r="O315" t="s">
        <v>162</v>
      </c>
      <c r="P315" t="s">
        <v>162</v>
      </c>
      <c r="Q315" t="s">
        <v>162</v>
      </c>
      <c r="R315" t="s">
        <v>162</v>
      </c>
      <c r="S315" t="s">
        <v>111</v>
      </c>
    </row>
    <row r="316" spans="1:19" x14ac:dyDescent="0.25">
      <c r="A316" t="s">
        <v>205</v>
      </c>
      <c r="B316">
        <v>585.1</v>
      </c>
      <c r="C316">
        <v>12.6</v>
      </c>
      <c r="D316">
        <v>13.4</v>
      </c>
      <c r="E316">
        <v>16.8</v>
      </c>
      <c r="F316">
        <v>13.2</v>
      </c>
      <c r="G316">
        <v>8.1999999999999993</v>
      </c>
      <c r="H316">
        <v>7.7</v>
      </c>
      <c r="I316">
        <v>8.6</v>
      </c>
      <c r="J316">
        <v>6.2</v>
      </c>
      <c r="K316">
        <v>9</v>
      </c>
      <c r="L316">
        <v>3.5</v>
      </c>
      <c r="M316">
        <v>6.9</v>
      </c>
      <c r="N316">
        <v>20.2</v>
      </c>
      <c r="O316" t="s">
        <v>162</v>
      </c>
      <c r="P316" t="s">
        <v>162</v>
      </c>
      <c r="Q316">
        <v>129.30000000000001</v>
      </c>
      <c r="R316">
        <v>101.7</v>
      </c>
      <c r="S316" t="s">
        <v>111</v>
      </c>
    </row>
    <row r="317" spans="1:19" x14ac:dyDescent="0.25">
      <c r="A317" t="s">
        <v>206</v>
      </c>
      <c r="B317">
        <v>1210.5999999999999</v>
      </c>
      <c r="C317">
        <v>7.2</v>
      </c>
      <c r="D317">
        <v>3.4</v>
      </c>
      <c r="E317">
        <v>5.0999999999999996</v>
      </c>
      <c r="F317">
        <v>4.5</v>
      </c>
      <c r="G317">
        <v>4.5</v>
      </c>
      <c r="H317">
        <v>4.7</v>
      </c>
      <c r="I317">
        <v>3.3</v>
      </c>
      <c r="J317">
        <v>2.4</v>
      </c>
      <c r="K317">
        <v>1</v>
      </c>
      <c r="L317">
        <v>1</v>
      </c>
      <c r="M317">
        <v>1.3</v>
      </c>
      <c r="N317">
        <v>1.4</v>
      </c>
      <c r="O317">
        <v>1.1000000000000001</v>
      </c>
      <c r="P317">
        <v>1.6</v>
      </c>
      <c r="Q317">
        <v>0.5</v>
      </c>
      <c r="R317">
        <v>0.5</v>
      </c>
      <c r="S317" t="s">
        <v>111</v>
      </c>
    </row>
    <row r="318" spans="1:19" x14ac:dyDescent="0.25">
      <c r="A318" t="s">
        <v>215</v>
      </c>
      <c r="B318">
        <v>166.1</v>
      </c>
      <c r="C318">
        <v>4.5999999999999996</v>
      </c>
      <c r="D318">
        <v>5.0999999999999996</v>
      </c>
      <c r="E318">
        <v>4.3</v>
      </c>
      <c r="F318">
        <v>0.3</v>
      </c>
      <c r="G318">
        <v>0.4</v>
      </c>
      <c r="H318">
        <v>0.3</v>
      </c>
      <c r="I318">
        <v>0.4</v>
      </c>
      <c r="J318">
        <v>0.5</v>
      </c>
      <c r="K318">
        <v>0.2</v>
      </c>
      <c r="L318">
        <v>0.3</v>
      </c>
      <c r="M318">
        <v>0.1</v>
      </c>
      <c r="N318">
        <v>0.2</v>
      </c>
      <c r="O318">
        <v>0.2</v>
      </c>
      <c r="P318">
        <v>0.1</v>
      </c>
      <c r="Q318">
        <v>0.1</v>
      </c>
      <c r="R318">
        <v>0.1</v>
      </c>
      <c r="S318" t="s">
        <v>111</v>
      </c>
    </row>
    <row r="319" spans="1:19" x14ac:dyDescent="0.25">
      <c r="A319" t="s">
        <v>208</v>
      </c>
      <c r="B319">
        <v>201.9</v>
      </c>
      <c r="C319">
        <v>0.3</v>
      </c>
      <c r="D319">
        <v>5.5</v>
      </c>
      <c r="E319">
        <v>0.7</v>
      </c>
      <c r="F319">
        <v>0</v>
      </c>
      <c r="G319">
        <v>0.1</v>
      </c>
      <c r="H319">
        <v>0.1</v>
      </c>
      <c r="I319">
        <v>0.1</v>
      </c>
      <c r="J319">
        <v>0.2</v>
      </c>
      <c r="K319">
        <v>0.1</v>
      </c>
      <c r="L319">
        <v>0.3</v>
      </c>
      <c r="M319">
        <v>0.6</v>
      </c>
      <c r="N319">
        <v>1.1000000000000001</v>
      </c>
      <c r="O319">
        <v>0.5</v>
      </c>
      <c r="P319">
        <v>0.6</v>
      </c>
      <c r="Q319">
        <v>0.4</v>
      </c>
      <c r="R319">
        <v>0.5</v>
      </c>
      <c r="S319" t="s">
        <v>111</v>
      </c>
    </row>
    <row r="320" spans="1:19" x14ac:dyDescent="0.25">
      <c r="A320" t="s">
        <v>209</v>
      </c>
      <c r="B320">
        <v>603.79999999999995</v>
      </c>
      <c r="C320">
        <v>0.2</v>
      </c>
      <c r="D320">
        <v>0.2</v>
      </c>
      <c r="E320">
        <v>0.4</v>
      </c>
      <c r="F320">
        <v>0.2</v>
      </c>
      <c r="G320">
        <v>0.2</v>
      </c>
      <c r="H320">
        <v>0.2</v>
      </c>
      <c r="I320">
        <v>0.7</v>
      </c>
      <c r="J320">
        <v>2.7</v>
      </c>
      <c r="K320">
        <v>0.4</v>
      </c>
      <c r="L320">
        <v>0.1</v>
      </c>
      <c r="M320">
        <v>0.1</v>
      </c>
      <c r="N320">
        <v>0.2</v>
      </c>
      <c r="O320">
        <v>0.1</v>
      </c>
      <c r="P320">
        <v>0.1</v>
      </c>
      <c r="Q320">
        <v>0.1</v>
      </c>
      <c r="R320">
        <v>0.1</v>
      </c>
      <c r="S320" t="s">
        <v>111</v>
      </c>
    </row>
    <row r="321" spans="1:19" x14ac:dyDescent="0.25">
      <c r="A321" t="s">
        <v>219</v>
      </c>
      <c r="B321">
        <v>32</v>
      </c>
      <c r="C321">
        <v>0</v>
      </c>
      <c r="D321">
        <v>6.4</v>
      </c>
      <c r="E321">
        <v>13.2</v>
      </c>
      <c r="F321">
        <v>37</v>
      </c>
      <c r="G321">
        <v>33.700000000000003</v>
      </c>
      <c r="H321">
        <v>17.600000000000001</v>
      </c>
      <c r="I321">
        <v>17</v>
      </c>
      <c r="J321">
        <v>17.899999999999999</v>
      </c>
      <c r="K321">
        <v>19</v>
      </c>
      <c r="L321">
        <v>40.200000000000003</v>
      </c>
      <c r="M321">
        <v>41.3</v>
      </c>
      <c r="N321">
        <v>41.6</v>
      </c>
      <c r="O321">
        <v>0</v>
      </c>
      <c r="P321" t="s">
        <v>162</v>
      </c>
      <c r="Q321" t="s">
        <v>162</v>
      </c>
      <c r="R321" t="s">
        <v>162</v>
      </c>
      <c r="S321" t="s">
        <v>111</v>
      </c>
    </row>
    <row r="322" spans="1:19" x14ac:dyDescent="0.25">
      <c r="A322" t="s">
        <v>163</v>
      </c>
      <c r="B322" t="s">
        <v>162</v>
      </c>
      <c r="C322" t="s">
        <v>162</v>
      </c>
      <c r="D322" t="s">
        <v>162</v>
      </c>
      <c r="E322" t="s">
        <v>162</v>
      </c>
      <c r="F322">
        <v>66</v>
      </c>
      <c r="G322">
        <v>99.4</v>
      </c>
      <c r="H322">
        <v>92.9</v>
      </c>
      <c r="I322">
        <v>99</v>
      </c>
      <c r="J322">
        <v>89</v>
      </c>
      <c r="K322">
        <v>99.5</v>
      </c>
      <c r="L322">
        <v>78.8</v>
      </c>
      <c r="M322">
        <v>101</v>
      </c>
      <c r="N322">
        <v>82.3</v>
      </c>
      <c r="O322">
        <v>99</v>
      </c>
      <c r="P322">
        <v>84.6</v>
      </c>
      <c r="Q322">
        <v>88.8</v>
      </c>
      <c r="R322">
        <v>103.7</v>
      </c>
      <c r="S322" t="s">
        <v>111</v>
      </c>
    </row>
    <row r="323" spans="1:19" x14ac:dyDescent="0.25">
      <c r="A323" t="s">
        <v>217</v>
      </c>
      <c r="B323" t="s">
        <v>162</v>
      </c>
      <c r="C323" t="s">
        <v>162</v>
      </c>
      <c r="D323" t="s">
        <v>162</v>
      </c>
      <c r="E323" t="s">
        <v>162</v>
      </c>
      <c r="F323" t="s">
        <v>162</v>
      </c>
      <c r="G323" t="s">
        <v>162</v>
      </c>
      <c r="H323" t="s">
        <v>162</v>
      </c>
      <c r="I323" t="s">
        <v>162</v>
      </c>
      <c r="J323" t="s">
        <v>162</v>
      </c>
      <c r="K323" t="s">
        <v>162</v>
      </c>
      <c r="L323">
        <v>0.8</v>
      </c>
      <c r="M323" t="s">
        <v>162</v>
      </c>
      <c r="N323" t="s">
        <v>162</v>
      </c>
      <c r="O323" t="s">
        <v>162</v>
      </c>
      <c r="P323" t="s">
        <v>162</v>
      </c>
      <c r="Q323" t="s">
        <v>162</v>
      </c>
      <c r="R323" t="s">
        <v>162</v>
      </c>
      <c r="S323" t="s">
        <v>111</v>
      </c>
    </row>
    <row r="324" spans="1:19" x14ac:dyDescent="0.25">
      <c r="A324" t="s">
        <v>166</v>
      </c>
      <c r="B324" t="s">
        <v>162</v>
      </c>
      <c r="C324" t="s">
        <v>162</v>
      </c>
      <c r="D324" t="s">
        <v>162</v>
      </c>
      <c r="E324" t="s">
        <v>162</v>
      </c>
      <c r="F324" t="s">
        <v>162</v>
      </c>
      <c r="G324" t="s">
        <v>162</v>
      </c>
      <c r="H324" t="s">
        <v>162</v>
      </c>
      <c r="I324" t="s">
        <v>162</v>
      </c>
      <c r="J324">
        <v>36.200000000000003</v>
      </c>
      <c r="K324">
        <v>35.5</v>
      </c>
      <c r="L324">
        <v>36.1</v>
      </c>
      <c r="M324">
        <v>35.5</v>
      </c>
      <c r="N324">
        <v>35.200000000000003</v>
      </c>
      <c r="O324">
        <v>33.5</v>
      </c>
      <c r="P324">
        <v>29.1</v>
      </c>
      <c r="Q324">
        <v>28.2</v>
      </c>
      <c r="R324">
        <v>30.2</v>
      </c>
      <c r="S324" t="s">
        <v>111</v>
      </c>
    </row>
    <row r="325" spans="1:19" x14ac:dyDescent="0.25">
      <c r="A325" t="s">
        <v>211</v>
      </c>
      <c r="S325" t="s">
        <v>111</v>
      </c>
    </row>
    <row r="326" spans="1:19" x14ac:dyDescent="0.25">
      <c r="A326" t="s">
        <v>212</v>
      </c>
      <c r="B326">
        <v>8.5</v>
      </c>
      <c r="C326">
        <v>0.2</v>
      </c>
      <c r="D326">
        <v>0.4</v>
      </c>
      <c r="E326">
        <v>1.6</v>
      </c>
      <c r="F326">
        <v>4.0999999999999996</v>
      </c>
      <c r="G326">
        <v>6.6</v>
      </c>
      <c r="H326" t="s">
        <v>162</v>
      </c>
      <c r="I326" t="s">
        <v>162</v>
      </c>
      <c r="J326" t="s">
        <v>162</v>
      </c>
      <c r="K326" t="s">
        <v>162</v>
      </c>
      <c r="L326" t="s">
        <v>162</v>
      </c>
      <c r="M326" t="s">
        <v>162</v>
      </c>
      <c r="N326" t="s">
        <v>162</v>
      </c>
      <c r="O326" t="s">
        <v>162</v>
      </c>
      <c r="P326" t="s">
        <v>162</v>
      </c>
      <c r="Q326" t="s">
        <v>162</v>
      </c>
      <c r="R326" t="s">
        <v>162</v>
      </c>
      <c r="S326" t="s">
        <v>111</v>
      </c>
    </row>
    <row r="327" spans="1:19" x14ac:dyDescent="0.25">
      <c r="A327" t="s">
        <v>213</v>
      </c>
      <c r="B327">
        <v>22570</v>
      </c>
      <c r="C327" t="s">
        <v>162</v>
      </c>
      <c r="D327" t="s">
        <v>162</v>
      </c>
      <c r="E327" t="s">
        <v>162</v>
      </c>
      <c r="F327" t="s">
        <v>162</v>
      </c>
      <c r="G327" t="s">
        <v>162</v>
      </c>
      <c r="H327" t="s">
        <v>162</v>
      </c>
      <c r="I327" t="s">
        <v>162</v>
      </c>
      <c r="J327" t="s">
        <v>162</v>
      </c>
      <c r="K327" t="s">
        <v>162</v>
      </c>
      <c r="L327" t="s">
        <v>162</v>
      </c>
      <c r="M327" t="s">
        <v>162</v>
      </c>
      <c r="N327" t="s">
        <v>162</v>
      </c>
      <c r="O327" t="s">
        <v>162</v>
      </c>
      <c r="P327" t="s">
        <v>162</v>
      </c>
      <c r="Q327" t="s">
        <v>162</v>
      </c>
      <c r="R327" t="s">
        <v>162</v>
      </c>
      <c r="S327" t="s">
        <v>111</v>
      </c>
    </row>
    <row r="328" spans="1:19" x14ac:dyDescent="0.25">
      <c r="A328" t="s">
        <v>214</v>
      </c>
      <c r="S328" t="s">
        <v>111</v>
      </c>
    </row>
    <row r="329" spans="1:19" x14ac:dyDescent="0.25">
      <c r="A329" t="s">
        <v>112</v>
      </c>
      <c r="S329" t="s">
        <v>112</v>
      </c>
    </row>
    <row r="330" spans="1:19" x14ac:dyDescent="0.25">
      <c r="A330" t="s">
        <v>198</v>
      </c>
      <c r="B330" t="s">
        <v>257</v>
      </c>
      <c r="C330" t="s">
        <v>256</v>
      </c>
      <c r="D330" t="s">
        <v>181</v>
      </c>
      <c r="E330" t="s">
        <v>180</v>
      </c>
      <c r="F330" t="s">
        <v>179</v>
      </c>
      <c r="G330" t="s">
        <v>178</v>
      </c>
      <c r="H330" t="s">
        <v>177</v>
      </c>
      <c r="I330" t="s">
        <v>176</v>
      </c>
      <c r="J330" t="s">
        <v>175</v>
      </c>
      <c r="K330" t="s">
        <v>174</v>
      </c>
      <c r="L330" t="s">
        <v>173</v>
      </c>
      <c r="M330" t="s">
        <v>172</v>
      </c>
      <c r="N330" t="s">
        <v>171</v>
      </c>
      <c r="O330" t="s">
        <v>170</v>
      </c>
      <c r="P330" t="s">
        <v>169</v>
      </c>
      <c r="Q330" t="s">
        <v>168</v>
      </c>
      <c r="R330" t="s">
        <v>167</v>
      </c>
      <c r="S330" t="s">
        <v>112</v>
      </c>
    </row>
    <row r="331" spans="1:19" x14ac:dyDescent="0.25">
      <c r="A331" t="s">
        <v>199</v>
      </c>
      <c r="S331" t="s">
        <v>112</v>
      </c>
    </row>
    <row r="332" spans="1:19" x14ac:dyDescent="0.25">
      <c r="A332" t="s">
        <v>163</v>
      </c>
      <c r="B332">
        <v>1176.7</v>
      </c>
      <c r="C332">
        <v>99.9</v>
      </c>
      <c r="D332">
        <v>83.7</v>
      </c>
      <c r="E332">
        <v>79.900000000000006</v>
      </c>
      <c r="F332">
        <v>98.3</v>
      </c>
      <c r="G332">
        <v>86.2</v>
      </c>
      <c r="H332">
        <v>85.5</v>
      </c>
      <c r="I332">
        <v>99.2</v>
      </c>
      <c r="J332">
        <v>79.900000000000006</v>
      </c>
      <c r="K332">
        <v>84.1</v>
      </c>
      <c r="L332">
        <v>83.3</v>
      </c>
      <c r="M332">
        <v>69.7</v>
      </c>
      <c r="N332">
        <v>80.400000000000006</v>
      </c>
      <c r="O332">
        <v>71.400000000000006</v>
      </c>
      <c r="P332">
        <v>94</v>
      </c>
      <c r="Q332">
        <v>86.3</v>
      </c>
      <c r="R332">
        <v>83.5</v>
      </c>
      <c r="S332" t="s">
        <v>112</v>
      </c>
    </row>
    <row r="333" spans="1:19" x14ac:dyDescent="0.25">
      <c r="A333" t="s">
        <v>200</v>
      </c>
      <c r="B333">
        <v>9</v>
      </c>
      <c r="C333">
        <v>83.2</v>
      </c>
      <c r="D333">
        <v>77.2</v>
      </c>
      <c r="E333">
        <v>74.5</v>
      </c>
      <c r="F333">
        <v>80.599999999999994</v>
      </c>
      <c r="G333">
        <v>79.5</v>
      </c>
      <c r="H333">
        <v>84.4</v>
      </c>
      <c r="I333">
        <v>76.599999999999994</v>
      </c>
      <c r="J333">
        <v>74.400000000000006</v>
      </c>
      <c r="K333">
        <v>78.5</v>
      </c>
      <c r="L333">
        <v>48.4</v>
      </c>
      <c r="M333">
        <v>92.3</v>
      </c>
      <c r="N333">
        <v>92</v>
      </c>
      <c r="O333">
        <v>94.5</v>
      </c>
      <c r="P333">
        <v>92.1</v>
      </c>
      <c r="Q333" t="s">
        <v>162</v>
      </c>
      <c r="R333" t="s">
        <v>162</v>
      </c>
      <c r="S333" t="s">
        <v>112</v>
      </c>
    </row>
    <row r="334" spans="1:19" x14ac:dyDescent="0.25">
      <c r="A334" t="s">
        <v>202</v>
      </c>
      <c r="B334">
        <v>247</v>
      </c>
      <c r="C334">
        <v>53</v>
      </c>
      <c r="D334">
        <v>62.9</v>
      </c>
      <c r="E334">
        <v>57.2</v>
      </c>
      <c r="F334">
        <v>63</v>
      </c>
      <c r="G334">
        <v>50.3</v>
      </c>
      <c r="H334">
        <v>55.5</v>
      </c>
      <c r="I334">
        <v>43.8</v>
      </c>
      <c r="J334">
        <v>31.2</v>
      </c>
      <c r="K334">
        <v>0</v>
      </c>
      <c r="L334" t="s">
        <v>162</v>
      </c>
      <c r="M334" t="s">
        <v>162</v>
      </c>
      <c r="N334" t="s">
        <v>162</v>
      </c>
      <c r="O334" t="s">
        <v>162</v>
      </c>
      <c r="P334" t="s">
        <v>162</v>
      </c>
      <c r="Q334" t="s">
        <v>162</v>
      </c>
      <c r="R334" t="s">
        <v>162</v>
      </c>
      <c r="S334" t="s">
        <v>112</v>
      </c>
    </row>
    <row r="335" spans="1:19" x14ac:dyDescent="0.25">
      <c r="A335" t="s">
        <v>217</v>
      </c>
      <c r="B335">
        <v>0.8</v>
      </c>
      <c r="C335">
        <v>44.5</v>
      </c>
      <c r="D335">
        <v>11.8</v>
      </c>
      <c r="E335">
        <v>71</v>
      </c>
      <c r="F335">
        <v>70.7</v>
      </c>
      <c r="G335">
        <v>71.3</v>
      </c>
      <c r="H335">
        <v>71.5</v>
      </c>
      <c r="I335">
        <v>67.5</v>
      </c>
      <c r="J335">
        <v>0</v>
      </c>
      <c r="K335">
        <v>0</v>
      </c>
      <c r="L335">
        <v>0</v>
      </c>
      <c r="M335">
        <v>0</v>
      </c>
      <c r="N335" t="s">
        <v>162</v>
      </c>
      <c r="O335" t="s">
        <v>162</v>
      </c>
      <c r="P335" t="s">
        <v>162</v>
      </c>
      <c r="Q335" t="s">
        <v>162</v>
      </c>
      <c r="R335" t="s">
        <v>162</v>
      </c>
      <c r="S335" t="s">
        <v>112</v>
      </c>
    </row>
    <row r="336" spans="1:19" x14ac:dyDescent="0.25">
      <c r="A336" t="s">
        <v>201</v>
      </c>
      <c r="B336">
        <v>4524.7</v>
      </c>
      <c r="C336">
        <v>41.6</v>
      </c>
      <c r="D336">
        <v>51.4</v>
      </c>
      <c r="E336">
        <v>49.2</v>
      </c>
      <c r="F336">
        <v>43.2</v>
      </c>
      <c r="G336">
        <v>42.5</v>
      </c>
      <c r="H336">
        <v>49.7</v>
      </c>
      <c r="I336">
        <v>47.2</v>
      </c>
      <c r="J336">
        <v>56.5</v>
      </c>
      <c r="K336">
        <v>57.5</v>
      </c>
      <c r="L336">
        <v>64.599999999999994</v>
      </c>
      <c r="M336">
        <v>65.7</v>
      </c>
      <c r="N336">
        <v>61.3</v>
      </c>
      <c r="O336">
        <v>69.900000000000006</v>
      </c>
      <c r="P336">
        <v>72</v>
      </c>
      <c r="Q336">
        <v>71.5</v>
      </c>
      <c r="R336">
        <v>75</v>
      </c>
      <c r="S336" t="s">
        <v>112</v>
      </c>
    </row>
    <row r="337" spans="1:19" x14ac:dyDescent="0.25">
      <c r="A337" t="s">
        <v>216</v>
      </c>
      <c r="B337">
        <v>8271.6</v>
      </c>
      <c r="C337">
        <v>36.9</v>
      </c>
      <c r="D337">
        <v>41.2</v>
      </c>
      <c r="E337">
        <v>40.299999999999997</v>
      </c>
      <c r="F337">
        <v>42.4</v>
      </c>
      <c r="G337">
        <v>41</v>
      </c>
      <c r="H337">
        <v>42.1</v>
      </c>
      <c r="I337">
        <v>42.7</v>
      </c>
      <c r="J337" t="s">
        <v>162</v>
      </c>
      <c r="K337" t="s">
        <v>162</v>
      </c>
      <c r="L337" t="s">
        <v>162</v>
      </c>
      <c r="M337" t="s">
        <v>162</v>
      </c>
      <c r="N337" t="s">
        <v>162</v>
      </c>
      <c r="O337" t="s">
        <v>162</v>
      </c>
      <c r="P337" t="s">
        <v>162</v>
      </c>
      <c r="Q337" t="s">
        <v>162</v>
      </c>
      <c r="R337" t="s">
        <v>162</v>
      </c>
      <c r="S337" t="s">
        <v>112</v>
      </c>
    </row>
    <row r="338" spans="1:19" x14ac:dyDescent="0.25">
      <c r="A338" t="s">
        <v>204</v>
      </c>
      <c r="B338">
        <v>38.200000000000003</v>
      </c>
      <c r="C338">
        <v>24</v>
      </c>
      <c r="D338">
        <v>23.8</v>
      </c>
      <c r="E338">
        <v>23.1</v>
      </c>
      <c r="F338">
        <v>25.5</v>
      </c>
      <c r="G338">
        <v>14.4</v>
      </c>
      <c r="H338">
        <v>21</v>
      </c>
      <c r="I338">
        <v>19.600000000000001</v>
      </c>
      <c r="J338">
        <v>20</v>
      </c>
      <c r="K338">
        <v>23</v>
      </c>
      <c r="L338" t="s">
        <v>162</v>
      </c>
      <c r="M338" t="s">
        <v>162</v>
      </c>
      <c r="N338" t="s">
        <v>162</v>
      </c>
      <c r="O338" t="s">
        <v>162</v>
      </c>
      <c r="P338" t="s">
        <v>162</v>
      </c>
      <c r="Q338" t="s">
        <v>162</v>
      </c>
      <c r="R338" t="s">
        <v>162</v>
      </c>
      <c r="S338" t="s">
        <v>112</v>
      </c>
    </row>
    <row r="339" spans="1:19" x14ac:dyDescent="0.25">
      <c r="A339" t="s">
        <v>203</v>
      </c>
      <c r="B339">
        <v>7</v>
      </c>
      <c r="C339">
        <v>21.9</v>
      </c>
      <c r="D339">
        <v>38.6</v>
      </c>
      <c r="E339">
        <v>48.8</v>
      </c>
      <c r="F339">
        <v>52.7</v>
      </c>
      <c r="G339">
        <v>33.4</v>
      </c>
      <c r="H339">
        <v>43.1</v>
      </c>
      <c r="I339">
        <v>47.6</v>
      </c>
      <c r="J339">
        <v>49.7</v>
      </c>
      <c r="K339">
        <v>30.9</v>
      </c>
      <c r="L339">
        <v>26.4</v>
      </c>
      <c r="M339">
        <v>23.7</v>
      </c>
      <c r="N339">
        <v>16.899999999999999</v>
      </c>
      <c r="O339">
        <v>22.7</v>
      </c>
      <c r="P339">
        <v>58</v>
      </c>
      <c r="Q339">
        <v>56.2</v>
      </c>
      <c r="R339">
        <v>46.3</v>
      </c>
      <c r="S339" t="s">
        <v>112</v>
      </c>
    </row>
    <row r="340" spans="1:19" x14ac:dyDescent="0.25">
      <c r="A340" t="s">
        <v>206</v>
      </c>
      <c r="B340">
        <v>2208.4</v>
      </c>
      <c r="C340">
        <v>13.3</v>
      </c>
      <c r="D340">
        <v>7.4</v>
      </c>
      <c r="E340">
        <v>5.7</v>
      </c>
      <c r="F340">
        <v>5.4</v>
      </c>
      <c r="G340">
        <v>7.8</v>
      </c>
      <c r="H340">
        <v>5.5</v>
      </c>
      <c r="I340">
        <v>2.8</v>
      </c>
      <c r="J340">
        <v>3.6</v>
      </c>
      <c r="K340">
        <v>3</v>
      </c>
      <c r="L340">
        <v>3.1</v>
      </c>
      <c r="M340">
        <v>2.8</v>
      </c>
      <c r="N340">
        <v>5.3</v>
      </c>
      <c r="O340">
        <v>4</v>
      </c>
      <c r="P340">
        <v>3.8</v>
      </c>
      <c r="Q340">
        <v>3.3</v>
      </c>
      <c r="R340">
        <v>2.2999999999999998</v>
      </c>
      <c r="S340" t="s">
        <v>112</v>
      </c>
    </row>
    <row r="341" spans="1:19" x14ac:dyDescent="0.25">
      <c r="A341" t="s">
        <v>215</v>
      </c>
      <c r="B341">
        <v>590.5</v>
      </c>
      <c r="C341">
        <v>5.4</v>
      </c>
      <c r="D341">
        <v>6.6</v>
      </c>
      <c r="E341">
        <v>4.5999999999999996</v>
      </c>
      <c r="F341">
        <v>2.6</v>
      </c>
      <c r="G341">
        <v>4.2</v>
      </c>
      <c r="H341">
        <v>5.5</v>
      </c>
      <c r="I341">
        <v>4.2</v>
      </c>
      <c r="J341">
        <v>4.5999999999999996</v>
      </c>
      <c r="K341">
        <v>2.2999999999999998</v>
      </c>
      <c r="L341">
        <v>1.6</v>
      </c>
      <c r="M341">
        <v>1.2</v>
      </c>
      <c r="N341">
        <v>1.8</v>
      </c>
      <c r="O341">
        <v>1.8</v>
      </c>
      <c r="P341">
        <v>1.5</v>
      </c>
      <c r="Q341">
        <v>4.3</v>
      </c>
      <c r="R341">
        <v>1.2</v>
      </c>
      <c r="S341" t="s">
        <v>112</v>
      </c>
    </row>
    <row r="342" spans="1:19" x14ac:dyDescent="0.25">
      <c r="A342" t="s">
        <v>205</v>
      </c>
      <c r="B342">
        <v>805.8</v>
      </c>
      <c r="C342">
        <v>3.4</v>
      </c>
      <c r="D342">
        <v>0.7</v>
      </c>
      <c r="E342">
        <v>0.4</v>
      </c>
      <c r="F342">
        <v>0.5</v>
      </c>
      <c r="G342">
        <v>2</v>
      </c>
      <c r="H342">
        <v>3.3</v>
      </c>
      <c r="I342">
        <v>2.8</v>
      </c>
      <c r="J342">
        <v>3.4</v>
      </c>
      <c r="K342">
        <v>5.2</v>
      </c>
      <c r="L342">
        <v>5.3</v>
      </c>
      <c r="M342">
        <v>9.1999999999999993</v>
      </c>
      <c r="N342">
        <v>12</v>
      </c>
      <c r="O342">
        <v>10.199999999999999</v>
      </c>
      <c r="P342">
        <v>9.1</v>
      </c>
      <c r="Q342">
        <v>11.1</v>
      </c>
      <c r="R342">
        <v>10.7</v>
      </c>
      <c r="S342" t="s">
        <v>112</v>
      </c>
    </row>
    <row r="343" spans="1:19" x14ac:dyDescent="0.25">
      <c r="A343" t="s">
        <v>208</v>
      </c>
      <c r="B343">
        <v>223.5</v>
      </c>
      <c r="C343">
        <v>1.3</v>
      </c>
      <c r="D343">
        <v>1.3</v>
      </c>
      <c r="E343">
        <v>1.7</v>
      </c>
      <c r="F343">
        <v>0.3</v>
      </c>
      <c r="G343">
        <v>0.8</v>
      </c>
      <c r="H343">
        <v>0.5</v>
      </c>
      <c r="I343">
        <v>0.2</v>
      </c>
      <c r="J343">
        <v>0.3</v>
      </c>
      <c r="K343">
        <v>0.4</v>
      </c>
      <c r="L343">
        <v>0.4</v>
      </c>
      <c r="M343">
        <v>0</v>
      </c>
      <c r="N343">
        <v>0.2</v>
      </c>
      <c r="O343">
        <v>0.1</v>
      </c>
      <c r="P343">
        <v>0.1</v>
      </c>
      <c r="Q343">
        <v>0.1</v>
      </c>
      <c r="R343">
        <v>0.1</v>
      </c>
      <c r="S343" t="s">
        <v>112</v>
      </c>
    </row>
    <row r="344" spans="1:19" x14ac:dyDescent="0.25">
      <c r="A344" t="s">
        <v>209</v>
      </c>
      <c r="B344">
        <v>316.5</v>
      </c>
      <c r="C344">
        <v>0.2</v>
      </c>
      <c r="D344">
        <v>0.4</v>
      </c>
      <c r="E344">
        <v>0.5</v>
      </c>
      <c r="F344">
        <v>0.2</v>
      </c>
      <c r="G344">
        <v>0.2</v>
      </c>
      <c r="H344">
        <v>0.1</v>
      </c>
      <c r="I344">
        <v>0.1</v>
      </c>
      <c r="J344">
        <v>0.2</v>
      </c>
      <c r="K344">
        <v>0.1</v>
      </c>
      <c r="L344">
        <v>0.1</v>
      </c>
      <c r="M344">
        <v>0.2</v>
      </c>
      <c r="N344">
        <v>0.5</v>
      </c>
      <c r="O344">
        <v>0.3</v>
      </c>
      <c r="P344">
        <v>0.3</v>
      </c>
      <c r="Q344">
        <v>0.3</v>
      </c>
      <c r="R344">
        <v>0.2</v>
      </c>
      <c r="S344" t="s">
        <v>112</v>
      </c>
    </row>
    <row r="345" spans="1:19" x14ac:dyDescent="0.25">
      <c r="A345" t="s">
        <v>166</v>
      </c>
      <c r="B345" t="s">
        <v>162</v>
      </c>
      <c r="C345" t="s">
        <v>162</v>
      </c>
      <c r="D345" t="s">
        <v>162</v>
      </c>
      <c r="E345" t="s">
        <v>162</v>
      </c>
      <c r="F345" t="s">
        <v>162</v>
      </c>
      <c r="G345" t="s">
        <v>162</v>
      </c>
      <c r="H345" t="s">
        <v>162</v>
      </c>
      <c r="I345" t="s">
        <v>162</v>
      </c>
      <c r="J345">
        <v>41.9</v>
      </c>
      <c r="K345">
        <v>40.799999999999997</v>
      </c>
      <c r="L345">
        <v>41.7</v>
      </c>
      <c r="M345">
        <v>39.6</v>
      </c>
      <c r="N345">
        <v>36</v>
      </c>
      <c r="O345">
        <v>38.9</v>
      </c>
      <c r="P345">
        <v>36.700000000000003</v>
      </c>
      <c r="Q345">
        <v>33.6</v>
      </c>
      <c r="R345">
        <v>41.8</v>
      </c>
      <c r="S345" t="s">
        <v>112</v>
      </c>
    </row>
    <row r="346" spans="1:19" x14ac:dyDescent="0.25">
      <c r="A346" t="s">
        <v>211</v>
      </c>
      <c r="S346" t="s">
        <v>112</v>
      </c>
    </row>
    <row r="347" spans="1:19" x14ac:dyDescent="0.25">
      <c r="A347" t="s">
        <v>213</v>
      </c>
      <c r="B347">
        <v>18419.8</v>
      </c>
      <c r="C347" t="s">
        <v>162</v>
      </c>
      <c r="D347" t="s">
        <v>162</v>
      </c>
      <c r="E347" t="s">
        <v>162</v>
      </c>
      <c r="F347" t="s">
        <v>162</v>
      </c>
      <c r="G347" t="s">
        <v>162</v>
      </c>
      <c r="H347" t="s">
        <v>162</v>
      </c>
      <c r="I347" t="s">
        <v>162</v>
      </c>
      <c r="J347" t="s">
        <v>162</v>
      </c>
      <c r="K347" t="s">
        <v>162</v>
      </c>
      <c r="L347" t="s">
        <v>162</v>
      </c>
      <c r="M347" t="s">
        <v>162</v>
      </c>
      <c r="N347" t="s">
        <v>162</v>
      </c>
      <c r="O347" t="s">
        <v>162</v>
      </c>
      <c r="P347" t="s">
        <v>162</v>
      </c>
      <c r="Q347" t="s">
        <v>162</v>
      </c>
      <c r="R347" t="s">
        <v>162</v>
      </c>
      <c r="S347" t="s">
        <v>112</v>
      </c>
    </row>
    <row r="348" spans="1:19" x14ac:dyDescent="0.25">
      <c r="A348" t="s">
        <v>214</v>
      </c>
      <c r="S348" t="s">
        <v>112</v>
      </c>
    </row>
    <row r="349" spans="1:19" x14ac:dyDescent="0.25">
      <c r="A349" t="s">
        <v>113</v>
      </c>
      <c r="S349" t="s">
        <v>113</v>
      </c>
    </row>
    <row r="350" spans="1:19" x14ac:dyDescent="0.25">
      <c r="A350" t="s">
        <v>198</v>
      </c>
      <c r="B350" t="s">
        <v>257</v>
      </c>
      <c r="C350" t="s">
        <v>256</v>
      </c>
      <c r="D350" t="s">
        <v>181</v>
      </c>
      <c r="E350" t="s">
        <v>180</v>
      </c>
      <c r="F350" t="s">
        <v>179</v>
      </c>
      <c r="G350" t="s">
        <v>178</v>
      </c>
      <c r="H350" t="s">
        <v>177</v>
      </c>
      <c r="I350" t="s">
        <v>176</v>
      </c>
      <c r="J350" t="s">
        <v>175</v>
      </c>
      <c r="K350" t="s">
        <v>174</v>
      </c>
      <c r="L350" t="s">
        <v>173</v>
      </c>
      <c r="M350" t="s">
        <v>172</v>
      </c>
      <c r="N350" t="s">
        <v>171</v>
      </c>
      <c r="O350" t="s">
        <v>170</v>
      </c>
      <c r="P350" t="s">
        <v>169</v>
      </c>
      <c r="Q350" t="s">
        <v>168</v>
      </c>
      <c r="R350" t="s">
        <v>167</v>
      </c>
      <c r="S350" t="s">
        <v>113</v>
      </c>
    </row>
    <row r="351" spans="1:19" x14ac:dyDescent="0.25">
      <c r="A351" t="s">
        <v>199</v>
      </c>
      <c r="S351" t="s">
        <v>113</v>
      </c>
    </row>
    <row r="352" spans="1:19" x14ac:dyDescent="0.25">
      <c r="A352" t="s">
        <v>202</v>
      </c>
      <c r="B352">
        <v>1789</v>
      </c>
      <c r="C352">
        <v>74.8</v>
      </c>
      <c r="D352">
        <v>73.2</v>
      </c>
      <c r="E352">
        <v>73.3</v>
      </c>
      <c r="F352">
        <v>74.3</v>
      </c>
      <c r="G352">
        <v>75.2</v>
      </c>
      <c r="H352">
        <v>68.599999999999994</v>
      </c>
      <c r="I352">
        <v>55.1</v>
      </c>
      <c r="J352">
        <v>83.8</v>
      </c>
      <c r="K352">
        <v>83.2</v>
      </c>
      <c r="L352" t="s">
        <v>162</v>
      </c>
      <c r="M352" t="s">
        <v>162</v>
      </c>
      <c r="N352" t="s">
        <v>162</v>
      </c>
      <c r="O352" t="s">
        <v>162</v>
      </c>
      <c r="P352" t="s">
        <v>162</v>
      </c>
      <c r="Q352" t="s">
        <v>162</v>
      </c>
      <c r="R352" t="s">
        <v>162</v>
      </c>
      <c r="S352" t="s">
        <v>113</v>
      </c>
    </row>
    <row r="353" spans="1:19" x14ac:dyDescent="0.25">
      <c r="A353" t="s">
        <v>165</v>
      </c>
      <c r="B353">
        <v>52.3</v>
      </c>
      <c r="C353">
        <v>71.8</v>
      </c>
      <c r="D353">
        <v>74.8</v>
      </c>
      <c r="E353">
        <v>74.8</v>
      </c>
      <c r="F353">
        <v>56.8</v>
      </c>
      <c r="G353">
        <v>65.3</v>
      </c>
      <c r="H353">
        <v>75.8</v>
      </c>
      <c r="I353">
        <v>87.1</v>
      </c>
      <c r="J353">
        <v>85</v>
      </c>
      <c r="K353">
        <v>82.4</v>
      </c>
      <c r="L353">
        <v>82.5</v>
      </c>
      <c r="M353">
        <v>53</v>
      </c>
      <c r="N353">
        <v>53.9</v>
      </c>
      <c r="O353">
        <v>80.099999999999994</v>
      </c>
      <c r="P353">
        <v>80.7</v>
      </c>
      <c r="Q353">
        <v>61.4</v>
      </c>
      <c r="R353">
        <v>88</v>
      </c>
      <c r="S353" t="s">
        <v>113</v>
      </c>
    </row>
    <row r="354" spans="1:19" x14ac:dyDescent="0.25">
      <c r="A354" t="s">
        <v>201</v>
      </c>
      <c r="B354">
        <v>9162</v>
      </c>
      <c r="C354">
        <v>54.6</v>
      </c>
      <c r="D354">
        <v>58.9</v>
      </c>
      <c r="E354">
        <v>60.8</v>
      </c>
      <c r="F354">
        <v>49.9</v>
      </c>
      <c r="G354">
        <v>52.3</v>
      </c>
      <c r="H354">
        <v>57.2</v>
      </c>
      <c r="I354">
        <v>54.4</v>
      </c>
      <c r="J354">
        <v>59.1</v>
      </c>
      <c r="K354">
        <v>59.9</v>
      </c>
      <c r="L354">
        <v>64.2</v>
      </c>
      <c r="M354">
        <v>63.6</v>
      </c>
      <c r="N354">
        <v>62.8</v>
      </c>
      <c r="O354">
        <v>69.7</v>
      </c>
      <c r="P354">
        <v>73</v>
      </c>
      <c r="Q354">
        <v>67.900000000000006</v>
      </c>
      <c r="R354">
        <v>75.3</v>
      </c>
      <c r="S354" t="s">
        <v>113</v>
      </c>
    </row>
    <row r="355" spans="1:19" x14ac:dyDescent="0.25">
      <c r="A355" t="s">
        <v>200</v>
      </c>
      <c r="B355">
        <v>20.5</v>
      </c>
      <c r="C355">
        <v>49.5</v>
      </c>
      <c r="D355">
        <v>54</v>
      </c>
      <c r="E355">
        <v>59.2</v>
      </c>
      <c r="F355">
        <v>58.7</v>
      </c>
      <c r="G355">
        <v>54.3</v>
      </c>
      <c r="H355">
        <v>58.3</v>
      </c>
      <c r="I355">
        <v>65.7</v>
      </c>
      <c r="J355">
        <v>63.5</v>
      </c>
      <c r="K355">
        <v>63.6</v>
      </c>
      <c r="L355">
        <v>59.3</v>
      </c>
      <c r="M355">
        <v>66.400000000000006</v>
      </c>
      <c r="N355">
        <v>62.3</v>
      </c>
      <c r="O355">
        <v>61.7</v>
      </c>
      <c r="P355">
        <v>58.3</v>
      </c>
      <c r="Q355">
        <v>65.5</v>
      </c>
      <c r="R355">
        <v>75.599999999999994</v>
      </c>
      <c r="S355" t="s">
        <v>113</v>
      </c>
    </row>
    <row r="356" spans="1:19" x14ac:dyDescent="0.25">
      <c r="A356" t="s">
        <v>203</v>
      </c>
      <c r="B356">
        <v>1137.4000000000001</v>
      </c>
      <c r="C356">
        <v>39.700000000000003</v>
      </c>
      <c r="D356">
        <v>45.5</v>
      </c>
      <c r="E356">
        <v>49</v>
      </c>
      <c r="F356">
        <v>50.2</v>
      </c>
      <c r="G356">
        <v>42.1</v>
      </c>
      <c r="H356">
        <v>44</v>
      </c>
      <c r="I356">
        <v>46.3</v>
      </c>
      <c r="J356">
        <v>38.1</v>
      </c>
      <c r="K356">
        <v>46.5</v>
      </c>
      <c r="L356">
        <v>43</v>
      </c>
      <c r="M356">
        <v>45</v>
      </c>
      <c r="N356">
        <v>32.5</v>
      </c>
      <c r="O356">
        <v>41.3</v>
      </c>
      <c r="P356">
        <v>35.799999999999997</v>
      </c>
      <c r="Q356">
        <v>46</v>
      </c>
      <c r="R356">
        <v>26.5</v>
      </c>
      <c r="S356" t="s">
        <v>113</v>
      </c>
    </row>
    <row r="357" spans="1:19" x14ac:dyDescent="0.25">
      <c r="A357" t="s">
        <v>205</v>
      </c>
      <c r="B357">
        <v>483</v>
      </c>
      <c r="C357">
        <v>28.3</v>
      </c>
      <c r="D357">
        <v>18.600000000000001</v>
      </c>
      <c r="E357">
        <v>24.2</v>
      </c>
      <c r="F357">
        <v>40</v>
      </c>
      <c r="G357">
        <v>46.7</v>
      </c>
      <c r="H357">
        <v>27.4</v>
      </c>
      <c r="I357">
        <v>24.8</v>
      </c>
      <c r="J357">
        <v>23.2</v>
      </c>
      <c r="K357" t="s">
        <v>162</v>
      </c>
      <c r="L357" t="s">
        <v>162</v>
      </c>
      <c r="M357" t="s">
        <v>162</v>
      </c>
      <c r="N357" t="s">
        <v>162</v>
      </c>
      <c r="O357" t="s">
        <v>162</v>
      </c>
      <c r="P357" t="s">
        <v>162</v>
      </c>
      <c r="Q357" t="s">
        <v>162</v>
      </c>
      <c r="R357" t="s">
        <v>162</v>
      </c>
      <c r="S357" t="s">
        <v>113</v>
      </c>
    </row>
    <row r="358" spans="1:19" x14ac:dyDescent="0.25">
      <c r="A358" t="s">
        <v>204</v>
      </c>
      <c r="B358">
        <v>79.3</v>
      </c>
      <c r="C358">
        <v>22.3</v>
      </c>
      <c r="D358">
        <v>16.7</v>
      </c>
      <c r="E358">
        <v>19.2</v>
      </c>
      <c r="F358">
        <v>18.7</v>
      </c>
      <c r="G358">
        <v>19.7</v>
      </c>
      <c r="H358">
        <v>17.100000000000001</v>
      </c>
      <c r="I358">
        <v>19.100000000000001</v>
      </c>
      <c r="J358">
        <v>22.8</v>
      </c>
      <c r="K358" t="s">
        <v>162</v>
      </c>
      <c r="L358" t="s">
        <v>162</v>
      </c>
      <c r="M358" t="s">
        <v>162</v>
      </c>
      <c r="N358" t="s">
        <v>162</v>
      </c>
      <c r="O358" t="s">
        <v>162</v>
      </c>
      <c r="P358" t="s">
        <v>162</v>
      </c>
      <c r="Q358" t="s">
        <v>162</v>
      </c>
      <c r="R358" t="s">
        <v>162</v>
      </c>
      <c r="S358" t="s">
        <v>113</v>
      </c>
    </row>
    <row r="359" spans="1:19" x14ac:dyDescent="0.25">
      <c r="A359" t="s">
        <v>206</v>
      </c>
      <c r="B359">
        <v>4936.6000000000004</v>
      </c>
      <c r="C359">
        <v>4.7</v>
      </c>
      <c r="D359">
        <v>11.1</v>
      </c>
      <c r="E359">
        <v>6.1</v>
      </c>
      <c r="F359">
        <v>4.4000000000000004</v>
      </c>
      <c r="G359">
        <v>6</v>
      </c>
      <c r="H359">
        <v>7.6</v>
      </c>
      <c r="I359">
        <v>5.4</v>
      </c>
      <c r="J359">
        <v>6.2</v>
      </c>
      <c r="K359">
        <v>7.6</v>
      </c>
      <c r="L359">
        <v>5.7</v>
      </c>
      <c r="M359">
        <v>3.2</v>
      </c>
      <c r="N359">
        <v>6.3</v>
      </c>
      <c r="O359">
        <v>3.1</v>
      </c>
      <c r="P359">
        <v>4</v>
      </c>
      <c r="Q359">
        <v>1.9</v>
      </c>
      <c r="R359">
        <v>2.1</v>
      </c>
      <c r="S359" t="s">
        <v>113</v>
      </c>
    </row>
    <row r="360" spans="1:19" x14ac:dyDescent="0.25">
      <c r="A360" t="s">
        <v>209</v>
      </c>
      <c r="B360">
        <v>11.9</v>
      </c>
      <c r="C360">
        <v>0.3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0.9</v>
      </c>
      <c r="N360">
        <v>1.5</v>
      </c>
      <c r="O360">
        <v>1.6</v>
      </c>
      <c r="P360">
        <v>2</v>
      </c>
      <c r="Q360">
        <v>1.1000000000000001</v>
      </c>
      <c r="R360">
        <v>0.8</v>
      </c>
      <c r="S360" t="s">
        <v>113</v>
      </c>
    </row>
    <row r="361" spans="1:19" x14ac:dyDescent="0.25">
      <c r="A361" t="s">
        <v>208</v>
      </c>
      <c r="B361" t="s">
        <v>162</v>
      </c>
      <c r="C361" t="s">
        <v>162</v>
      </c>
      <c r="D361" t="s">
        <v>162</v>
      </c>
      <c r="E361" t="s">
        <v>162</v>
      </c>
      <c r="F361" t="s">
        <v>162</v>
      </c>
      <c r="G361" t="s">
        <v>162</v>
      </c>
      <c r="H361" t="s">
        <v>162</v>
      </c>
      <c r="I361" t="s">
        <v>162</v>
      </c>
      <c r="J361" t="s">
        <v>162</v>
      </c>
      <c r="K361" t="s">
        <v>162</v>
      </c>
      <c r="L361" t="s">
        <v>162</v>
      </c>
      <c r="M361">
        <v>0.1</v>
      </c>
      <c r="N361">
        <v>0</v>
      </c>
      <c r="O361">
        <v>1.4</v>
      </c>
      <c r="P361">
        <v>0</v>
      </c>
      <c r="Q361">
        <v>0.4</v>
      </c>
      <c r="R361">
        <v>0.8</v>
      </c>
      <c r="S361" t="s">
        <v>113</v>
      </c>
    </row>
    <row r="362" spans="1:19" x14ac:dyDescent="0.25">
      <c r="A362" t="s">
        <v>219</v>
      </c>
      <c r="B362" t="s">
        <v>162</v>
      </c>
      <c r="C362" t="s">
        <v>162</v>
      </c>
      <c r="D362" t="s">
        <v>162</v>
      </c>
      <c r="E362" t="s">
        <v>162</v>
      </c>
      <c r="F362" t="s">
        <v>162</v>
      </c>
      <c r="G362" t="s">
        <v>162</v>
      </c>
      <c r="H362" t="s">
        <v>162</v>
      </c>
      <c r="I362" t="s">
        <v>162</v>
      </c>
      <c r="J362" t="s">
        <v>162</v>
      </c>
      <c r="K362">
        <v>0</v>
      </c>
      <c r="L362" t="s">
        <v>162</v>
      </c>
      <c r="M362" t="s">
        <v>162</v>
      </c>
      <c r="N362" t="s">
        <v>162</v>
      </c>
      <c r="O362" t="s">
        <v>162</v>
      </c>
      <c r="P362" t="s">
        <v>162</v>
      </c>
      <c r="Q362" t="s">
        <v>162</v>
      </c>
      <c r="R362" t="s">
        <v>162</v>
      </c>
      <c r="S362" t="s">
        <v>113</v>
      </c>
    </row>
    <row r="363" spans="1:19" x14ac:dyDescent="0.25">
      <c r="A363" t="s">
        <v>211</v>
      </c>
      <c r="S363" t="s">
        <v>113</v>
      </c>
    </row>
    <row r="364" spans="1:19" x14ac:dyDescent="0.25">
      <c r="A364" t="s">
        <v>213</v>
      </c>
      <c r="B364">
        <v>17672</v>
      </c>
      <c r="C364" t="s">
        <v>162</v>
      </c>
      <c r="D364" t="s">
        <v>162</v>
      </c>
      <c r="E364" t="s">
        <v>162</v>
      </c>
      <c r="F364" t="s">
        <v>162</v>
      </c>
      <c r="G364" t="s">
        <v>162</v>
      </c>
      <c r="H364" t="s">
        <v>162</v>
      </c>
      <c r="I364" t="s">
        <v>162</v>
      </c>
      <c r="J364" t="s">
        <v>162</v>
      </c>
      <c r="K364" t="s">
        <v>162</v>
      </c>
      <c r="L364" t="s">
        <v>162</v>
      </c>
      <c r="M364" t="s">
        <v>162</v>
      </c>
      <c r="N364" t="s">
        <v>162</v>
      </c>
      <c r="O364" t="s">
        <v>162</v>
      </c>
      <c r="P364" t="s">
        <v>162</v>
      </c>
      <c r="Q364" t="s">
        <v>162</v>
      </c>
      <c r="R364" t="s">
        <v>162</v>
      </c>
      <c r="S364" t="s">
        <v>113</v>
      </c>
    </row>
    <row r="365" spans="1:19" x14ac:dyDescent="0.25">
      <c r="A365" t="s">
        <v>214</v>
      </c>
      <c r="S365" t="s">
        <v>113</v>
      </c>
    </row>
    <row r="366" spans="1:19" x14ac:dyDescent="0.25">
      <c r="A366" t="s">
        <v>114</v>
      </c>
      <c r="S366" t="s">
        <v>114</v>
      </c>
    </row>
    <row r="367" spans="1:19" x14ac:dyDescent="0.25">
      <c r="A367" t="s">
        <v>198</v>
      </c>
      <c r="B367" t="s">
        <v>257</v>
      </c>
      <c r="C367" t="s">
        <v>256</v>
      </c>
      <c r="D367" t="s">
        <v>181</v>
      </c>
      <c r="E367" t="s">
        <v>180</v>
      </c>
      <c r="F367" t="s">
        <v>179</v>
      </c>
      <c r="G367" t="s">
        <v>178</v>
      </c>
      <c r="H367" t="s">
        <v>177</v>
      </c>
      <c r="I367" t="s">
        <v>176</v>
      </c>
      <c r="J367" t="s">
        <v>175</v>
      </c>
      <c r="K367" t="s">
        <v>174</v>
      </c>
      <c r="L367" t="s">
        <v>173</v>
      </c>
      <c r="M367" t="s">
        <v>172</v>
      </c>
      <c r="N367" t="s">
        <v>171</v>
      </c>
      <c r="O367" t="s">
        <v>170</v>
      </c>
      <c r="P367" t="s">
        <v>169</v>
      </c>
      <c r="Q367" t="s">
        <v>168</v>
      </c>
      <c r="R367" t="s">
        <v>167</v>
      </c>
      <c r="S367" t="s">
        <v>114</v>
      </c>
    </row>
    <row r="368" spans="1:19" x14ac:dyDescent="0.25">
      <c r="A368" t="s">
        <v>199</v>
      </c>
      <c r="S368" t="s">
        <v>114</v>
      </c>
    </row>
    <row r="369" spans="1:19" x14ac:dyDescent="0.25">
      <c r="A369" t="s">
        <v>207</v>
      </c>
      <c r="B369">
        <v>167.6</v>
      </c>
      <c r="C369">
        <v>80</v>
      </c>
      <c r="D369">
        <v>85.2</v>
      </c>
      <c r="E369">
        <v>75</v>
      </c>
      <c r="F369">
        <v>83.8</v>
      </c>
      <c r="G369">
        <v>85.2</v>
      </c>
      <c r="H369">
        <v>79.900000000000006</v>
      </c>
      <c r="I369">
        <v>78.900000000000006</v>
      </c>
      <c r="J369">
        <v>82.4</v>
      </c>
      <c r="K369">
        <v>80.7</v>
      </c>
      <c r="L369">
        <v>96.8</v>
      </c>
      <c r="M369">
        <v>69.3</v>
      </c>
      <c r="N369">
        <v>86.1</v>
      </c>
      <c r="O369">
        <v>67</v>
      </c>
      <c r="P369">
        <v>59.9</v>
      </c>
      <c r="Q369">
        <v>55.3</v>
      </c>
      <c r="R369">
        <v>56.5</v>
      </c>
      <c r="S369" t="s">
        <v>114</v>
      </c>
    </row>
    <row r="370" spans="1:19" x14ac:dyDescent="0.25">
      <c r="A370" t="s">
        <v>165</v>
      </c>
      <c r="B370">
        <v>408</v>
      </c>
      <c r="C370">
        <v>71.7</v>
      </c>
      <c r="D370">
        <v>74.900000000000006</v>
      </c>
      <c r="E370">
        <v>75.900000000000006</v>
      </c>
      <c r="F370">
        <v>77.099999999999994</v>
      </c>
      <c r="G370">
        <v>77.3</v>
      </c>
      <c r="H370">
        <v>78.2</v>
      </c>
      <c r="I370">
        <v>79.099999999999994</v>
      </c>
      <c r="J370">
        <v>77.5</v>
      </c>
      <c r="K370">
        <v>73.7</v>
      </c>
      <c r="L370">
        <v>74</v>
      </c>
      <c r="M370">
        <v>73.8</v>
      </c>
      <c r="N370">
        <v>66</v>
      </c>
      <c r="O370">
        <v>67.8</v>
      </c>
      <c r="P370">
        <v>70.8</v>
      </c>
      <c r="Q370">
        <v>56.5</v>
      </c>
      <c r="R370">
        <v>68.5</v>
      </c>
      <c r="S370" t="s">
        <v>114</v>
      </c>
    </row>
    <row r="371" spans="1:19" x14ac:dyDescent="0.25">
      <c r="A371" t="s">
        <v>200</v>
      </c>
      <c r="B371">
        <v>14.1</v>
      </c>
      <c r="C371">
        <v>68.599999999999994</v>
      </c>
      <c r="D371">
        <v>65.099999999999994</v>
      </c>
      <c r="E371">
        <v>68.099999999999994</v>
      </c>
      <c r="F371">
        <v>47.7</v>
      </c>
      <c r="G371">
        <v>68</v>
      </c>
      <c r="H371">
        <v>65.400000000000006</v>
      </c>
      <c r="I371">
        <v>72.400000000000006</v>
      </c>
      <c r="J371">
        <v>66.2</v>
      </c>
      <c r="K371">
        <v>73.400000000000006</v>
      </c>
      <c r="L371">
        <v>70.400000000000006</v>
      </c>
      <c r="M371">
        <v>60.8</v>
      </c>
      <c r="N371">
        <v>50.2</v>
      </c>
      <c r="O371">
        <v>58.6</v>
      </c>
      <c r="P371">
        <v>61.3</v>
      </c>
      <c r="Q371">
        <v>55.6</v>
      </c>
      <c r="R371">
        <v>58.3</v>
      </c>
      <c r="S371" t="s">
        <v>114</v>
      </c>
    </row>
    <row r="372" spans="1:19" x14ac:dyDescent="0.25">
      <c r="A372" t="s">
        <v>202</v>
      </c>
      <c r="B372">
        <v>9687.9</v>
      </c>
      <c r="C372">
        <v>66.599999999999994</v>
      </c>
      <c r="D372">
        <v>63.9</v>
      </c>
      <c r="E372">
        <v>55.7</v>
      </c>
      <c r="F372">
        <v>62</v>
      </c>
      <c r="G372">
        <v>64.5</v>
      </c>
      <c r="H372">
        <v>64.5</v>
      </c>
      <c r="I372">
        <v>60.6</v>
      </c>
      <c r="J372">
        <v>67</v>
      </c>
      <c r="K372">
        <v>68</v>
      </c>
      <c r="L372">
        <v>59.3</v>
      </c>
      <c r="M372">
        <v>50.1</v>
      </c>
      <c r="N372">
        <v>55.9</v>
      </c>
      <c r="O372">
        <v>48.6</v>
      </c>
      <c r="P372">
        <v>47.7</v>
      </c>
      <c r="Q372">
        <v>42.5</v>
      </c>
      <c r="R372">
        <v>42.2</v>
      </c>
      <c r="S372" t="s">
        <v>114</v>
      </c>
    </row>
    <row r="373" spans="1:19" x14ac:dyDescent="0.25">
      <c r="A373" t="s">
        <v>163</v>
      </c>
      <c r="B373">
        <v>2136.9</v>
      </c>
      <c r="C373">
        <v>65.2</v>
      </c>
      <c r="D373">
        <v>86.6</v>
      </c>
      <c r="E373">
        <v>92.3</v>
      </c>
      <c r="F373">
        <v>90.5</v>
      </c>
      <c r="G373">
        <v>74.900000000000006</v>
      </c>
      <c r="H373">
        <v>91.8</v>
      </c>
      <c r="I373">
        <v>82.6</v>
      </c>
      <c r="J373">
        <v>91.5</v>
      </c>
      <c r="K373">
        <v>82.1</v>
      </c>
      <c r="L373">
        <v>92.7</v>
      </c>
      <c r="M373">
        <v>91.1</v>
      </c>
      <c r="N373">
        <v>83.6</v>
      </c>
      <c r="O373">
        <v>88.9</v>
      </c>
      <c r="P373">
        <v>99.3</v>
      </c>
      <c r="Q373">
        <v>89.5</v>
      </c>
      <c r="R373">
        <v>81.3</v>
      </c>
      <c r="S373" t="s">
        <v>114</v>
      </c>
    </row>
    <row r="374" spans="1:19" x14ac:dyDescent="0.25">
      <c r="A374" t="s">
        <v>203</v>
      </c>
      <c r="B374">
        <v>192</v>
      </c>
      <c r="C374">
        <v>42.1</v>
      </c>
      <c r="D374">
        <v>54.5</v>
      </c>
      <c r="E374">
        <v>65.900000000000006</v>
      </c>
      <c r="F374">
        <v>71.400000000000006</v>
      </c>
      <c r="G374">
        <v>81.2</v>
      </c>
      <c r="H374">
        <v>70.099999999999994</v>
      </c>
      <c r="I374">
        <v>53.9</v>
      </c>
      <c r="J374">
        <v>65.400000000000006</v>
      </c>
      <c r="K374">
        <v>59.4</v>
      </c>
      <c r="L374">
        <v>64.8</v>
      </c>
      <c r="M374">
        <v>62.1</v>
      </c>
      <c r="N374">
        <v>40.299999999999997</v>
      </c>
      <c r="O374">
        <v>62.1</v>
      </c>
      <c r="P374">
        <v>65.900000000000006</v>
      </c>
      <c r="Q374">
        <v>73.5</v>
      </c>
      <c r="R374">
        <v>63.1</v>
      </c>
      <c r="S374" t="s">
        <v>114</v>
      </c>
    </row>
    <row r="375" spans="1:19" x14ac:dyDescent="0.25">
      <c r="A375" t="s">
        <v>206</v>
      </c>
      <c r="B375">
        <v>2834.2</v>
      </c>
      <c r="C375">
        <v>38.6</v>
      </c>
      <c r="D375">
        <v>37.1</v>
      </c>
      <c r="E375">
        <v>35.299999999999997</v>
      </c>
      <c r="F375">
        <v>32.6</v>
      </c>
      <c r="G375">
        <v>35.6</v>
      </c>
      <c r="H375">
        <v>35.6</v>
      </c>
      <c r="I375">
        <v>34.799999999999997</v>
      </c>
      <c r="J375">
        <v>34.5</v>
      </c>
      <c r="K375">
        <v>35.4</v>
      </c>
      <c r="L375">
        <v>38.9</v>
      </c>
      <c r="M375">
        <v>42.1</v>
      </c>
      <c r="N375">
        <v>21.6</v>
      </c>
      <c r="O375">
        <v>32.1</v>
      </c>
      <c r="P375">
        <v>32.299999999999997</v>
      </c>
      <c r="Q375">
        <v>30</v>
      </c>
      <c r="R375">
        <v>32.700000000000003</v>
      </c>
      <c r="S375" t="s">
        <v>114</v>
      </c>
    </row>
    <row r="376" spans="1:19" x14ac:dyDescent="0.25">
      <c r="A376" t="s">
        <v>201</v>
      </c>
      <c r="B376">
        <v>2069.5</v>
      </c>
      <c r="C376">
        <v>24.9</v>
      </c>
      <c r="D376">
        <v>43.5</v>
      </c>
      <c r="E376">
        <v>31.4</v>
      </c>
      <c r="F376">
        <v>12.9</v>
      </c>
      <c r="G376">
        <v>27.8</v>
      </c>
      <c r="H376">
        <v>43.9</v>
      </c>
      <c r="I376">
        <v>47.1</v>
      </c>
      <c r="J376">
        <v>45.6</v>
      </c>
      <c r="K376">
        <v>55.4</v>
      </c>
      <c r="L376">
        <v>61</v>
      </c>
      <c r="M376">
        <v>66.3</v>
      </c>
      <c r="N376">
        <v>69</v>
      </c>
      <c r="O376">
        <v>81.3</v>
      </c>
      <c r="P376">
        <v>80.7</v>
      </c>
      <c r="Q376">
        <v>76.400000000000006</v>
      </c>
      <c r="R376">
        <v>79.2</v>
      </c>
      <c r="S376" t="s">
        <v>114</v>
      </c>
    </row>
    <row r="377" spans="1:19" x14ac:dyDescent="0.25">
      <c r="A377" t="s">
        <v>204</v>
      </c>
      <c r="B377">
        <v>141.30000000000001</v>
      </c>
      <c r="C377">
        <v>23.6</v>
      </c>
      <c r="D377">
        <v>24.1</v>
      </c>
      <c r="E377">
        <v>22.4</v>
      </c>
      <c r="F377">
        <v>9</v>
      </c>
      <c r="G377">
        <v>15.6</v>
      </c>
      <c r="H377">
        <v>15.7</v>
      </c>
      <c r="I377">
        <v>25.1</v>
      </c>
      <c r="J377" t="s">
        <v>162</v>
      </c>
      <c r="K377" t="s">
        <v>162</v>
      </c>
      <c r="L377" t="s">
        <v>162</v>
      </c>
      <c r="M377" t="s">
        <v>162</v>
      </c>
      <c r="N377" t="s">
        <v>162</v>
      </c>
      <c r="O377" t="s">
        <v>162</v>
      </c>
      <c r="P377" t="s">
        <v>162</v>
      </c>
      <c r="Q377" t="s">
        <v>162</v>
      </c>
      <c r="R377" t="s">
        <v>162</v>
      </c>
      <c r="S377" t="s">
        <v>114</v>
      </c>
    </row>
    <row r="378" spans="1:19" x14ac:dyDescent="0.25">
      <c r="A378" t="s">
        <v>215</v>
      </c>
      <c r="B378">
        <v>216.5</v>
      </c>
      <c r="C378">
        <v>20.2</v>
      </c>
      <c r="D378">
        <v>27.8</v>
      </c>
      <c r="E378">
        <v>25.9</v>
      </c>
      <c r="F378">
        <v>18.100000000000001</v>
      </c>
      <c r="G378">
        <v>16</v>
      </c>
      <c r="H378">
        <v>30</v>
      </c>
      <c r="I378">
        <v>29.4</v>
      </c>
      <c r="J378">
        <v>21.4</v>
      </c>
      <c r="K378">
        <v>24.9</v>
      </c>
      <c r="L378">
        <v>22.5</v>
      </c>
      <c r="M378">
        <v>39.700000000000003</v>
      </c>
      <c r="N378">
        <v>0.1</v>
      </c>
      <c r="O378">
        <v>0.4</v>
      </c>
      <c r="P378">
        <v>0.3</v>
      </c>
      <c r="Q378">
        <v>0.5</v>
      </c>
      <c r="R378">
        <v>0.1</v>
      </c>
      <c r="S378" t="s">
        <v>114</v>
      </c>
    </row>
    <row r="379" spans="1:19" x14ac:dyDescent="0.25">
      <c r="A379" t="s">
        <v>219</v>
      </c>
      <c r="B379">
        <v>827.6</v>
      </c>
      <c r="C379">
        <v>18.600000000000001</v>
      </c>
      <c r="D379">
        <v>51.6</v>
      </c>
      <c r="E379">
        <v>66</v>
      </c>
      <c r="F379">
        <v>60.4</v>
      </c>
      <c r="G379">
        <v>54.6</v>
      </c>
      <c r="H379">
        <v>72.7</v>
      </c>
      <c r="I379">
        <v>69.599999999999994</v>
      </c>
      <c r="J379">
        <v>73.099999999999994</v>
      </c>
      <c r="K379">
        <v>64.8</v>
      </c>
      <c r="L379">
        <v>73.599999999999994</v>
      </c>
      <c r="M379">
        <v>72.2</v>
      </c>
      <c r="N379">
        <v>48.6</v>
      </c>
      <c r="O379">
        <v>65</v>
      </c>
      <c r="P379">
        <v>48.1</v>
      </c>
      <c r="Q379">
        <v>66.5</v>
      </c>
      <c r="R379">
        <v>77.599999999999994</v>
      </c>
      <c r="S379" t="s">
        <v>114</v>
      </c>
    </row>
    <row r="380" spans="1:19" x14ac:dyDescent="0.25">
      <c r="A380" t="s">
        <v>205</v>
      </c>
      <c r="B380">
        <v>5655.6</v>
      </c>
      <c r="C380">
        <v>16.100000000000001</v>
      </c>
      <c r="D380">
        <v>15.6</v>
      </c>
      <c r="E380">
        <v>13.8</v>
      </c>
      <c r="F380">
        <v>18.899999999999999</v>
      </c>
      <c r="G380">
        <v>25.6</v>
      </c>
      <c r="H380">
        <v>20</v>
      </c>
      <c r="I380">
        <v>17.5</v>
      </c>
      <c r="J380">
        <v>18.600000000000001</v>
      </c>
      <c r="K380">
        <v>17</v>
      </c>
      <c r="L380">
        <v>16.8</v>
      </c>
      <c r="M380">
        <v>17.2</v>
      </c>
      <c r="N380">
        <v>22.2</v>
      </c>
      <c r="O380">
        <v>20.2</v>
      </c>
      <c r="P380">
        <v>17.7</v>
      </c>
      <c r="Q380">
        <v>14.5</v>
      </c>
      <c r="R380">
        <v>15.6</v>
      </c>
      <c r="S380" t="s">
        <v>114</v>
      </c>
    </row>
    <row r="381" spans="1:19" x14ac:dyDescent="0.25">
      <c r="A381" t="s">
        <v>217</v>
      </c>
      <c r="B381">
        <v>350.3</v>
      </c>
      <c r="C381">
        <v>10.9</v>
      </c>
      <c r="D381">
        <v>18.3</v>
      </c>
      <c r="E381">
        <v>14.1</v>
      </c>
      <c r="F381">
        <v>16</v>
      </c>
      <c r="G381">
        <v>22.3</v>
      </c>
      <c r="H381">
        <v>26.3</v>
      </c>
      <c r="I381">
        <v>24.3</v>
      </c>
      <c r="J381">
        <v>28.6</v>
      </c>
      <c r="K381">
        <v>29.5</v>
      </c>
      <c r="L381">
        <v>23.7</v>
      </c>
      <c r="M381">
        <v>23.4</v>
      </c>
      <c r="N381">
        <v>16.899999999999999</v>
      </c>
      <c r="O381">
        <v>19.600000000000001</v>
      </c>
      <c r="P381">
        <v>29</v>
      </c>
      <c r="Q381">
        <v>22.7</v>
      </c>
      <c r="R381">
        <v>15.5</v>
      </c>
      <c r="S381" t="s">
        <v>114</v>
      </c>
    </row>
    <row r="382" spans="1:19" x14ac:dyDescent="0.25">
      <c r="A382" t="s">
        <v>208</v>
      </c>
      <c r="B382">
        <v>32.1</v>
      </c>
      <c r="C382">
        <v>1.1000000000000001</v>
      </c>
      <c r="D382">
        <v>3.1</v>
      </c>
      <c r="E382">
        <v>1.5</v>
      </c>
      <c r="F382">
        <v>0.3</v>
      </c>
      <c r="G382">
        <v>3</v>
      </c>
      <c r="H382">
        <v>3</v>
      </c>
      <c r="I382">
        <v>4.3</v>
      </c>
      <c r="J382">
        <v>1.1000000000000001</v>
      </c>
      <c r="K382">
        <v>2.9</v>
      </c>
      <c r="L382">
        <v>2</v>
      </c>
      <c r="M382">
        <v>0.3</v>
      </c>
      <c r="N382">
        <v>0.4</v>
      </c>
      <c r="O382">
        <v>0.3</v>
      </c>
      <c r="P382">
        <v>0.2</v>
      </c>
      <c r="Q382">
        <v>0</v>
      </c>
      <c r="R382">
        <v>0</v>
      </c>
      <c r="S382" t="s">
        <v>114</v>
      </c>
    </row>
    <row r="383" spans="1:19" x14ac:dyDescent="0.25">
      <c r="A383" t="s">
        <v>209</v>
      </c>
      <c r="B383">
        <v>17.600000000000001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0.2</v>
      </c>
      <c r="P383">
        <v>0.1</v>
      </c>
      <c r="Q383">
        <v>0.3</v>
      </c>
      <c r="R383">
        <v>0.1</v>
      </c>
      <c r="S383" t="s">
        <v>114</v>
      </c>
    </row>
    <row r="384" spans="1:19" x14ac:dyDescent="0.25">
      <c r="A384" t="s">
        <v>210</v>
      </c>
      <c r="B384" t="s">
        <v>162</v>
      </c>
      <c r="C384" t="s">
        <v>162</v>
      </c>
      <c r="D384" t="s">
        <v>162</v>
      </c>
      <c r="E384" t="s">
        <v>162</v>
      </c>
      <c r="F384" t="s">
        <v>162</v>
      </c>
      <c r="G384" t="s">
        <v>162</v>
      </c>
      <c r="H384" t="s">
        <v>162</v>
      </c>
      <c r="I384" t="s">
        <v>162</v>
      </c>
      <c r="J384" t="s">
        <v>162</v>
      </c>
      <c r="K384" t="s">
        <v>162</v>
      </c>
      <c r="L384">
        <v>0</v>
      </c>
      <c r="M384">
        <v>0</v>
      </c>
      <c r="N384">
        <v>23.5</v>
      </c>
      <c r="O384">
        <v>16.5</v>
      </c>
      <c r="P384">
        <v>13.1</v>
      </c>
      <c r="Q384">
        <v>8.3000000000000007</v>
      </c>
      <c r="R384">
        <v>8.6999999999999993</v>
      </c>
      <c r="S384" t="s">
        <v>114</v>
      </c>
    </row>
    <row r="385" spans="1:19" x14ac:dyDescent="0.25">
      <c r="A385" t="s">
        <v>211</v>
      </c>
      <c r="S385" t="s">
        <v>114</v>
      </c>
    </row>
    <row r="386" spans="1:19" x14ac:dyDescent="0.25">
      <c r="A386" t="s">
        <v>212</v>
      </c>
      <c r="B386">
        <v>0.5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162</v>
      </c>
      <c r="K386" t="s">
        <v>162</v>
      </c>
      <c r="L386" t="s">
        <v>162</v>
      </c>
      <c r="M386" t="s">
        <v>162</v>
      </c>
      <c r="N386" t="s">
        <v>162</v>
      </c>
      <c r="O386" t="s">
        <v>162</v>
      </c>
      <c r="P386" t="s">
        <v>162</v>
      </c>
      <c r="Q386" t="s">
        <v>162</v>
      </c>
      <c r="R386" t="s">
        <v>162</v>
      </c>
      <c r="S386" t="s">
        <v>114</v>
      </c>
    </row>
    <row r="387" spans="1:19" x14ac:dyDescent="0.25">
      <c r="A387" t="s">
        <v>213</v>
      </c>
      <c r="B387">
        <v>24751.599999999999</v>
      </c>
      <c r="C387" t="s">
        <v>162</v>
      </c>
      <c r="D387" t="s">
        <v>162</v>
      </c>
      <c r="E387" t="s">
        <v>162</v>
      </c>
      <c r="F387" t="s">
        <v>162</v>
      </c>
      <c r="G387" t="s">
        <v>162</v>
      </c>
      <c r="H387" t="s">
        <v>162</v>
      </c>
      <c r="I387" t="s">
        <v>162</v>
      </c>
      <c r="J387" t="s">
        <v>162</v>
      </c>
      <c r="K387" t="s">
        <v>162</v>
      </c>
      <c r="L387" t="s">
        <v>162</v>
      </c>
      <c r="M387" t="s">
        <v>162</v>
      </c>
      <c r="N387" t="s">
        <v>162</v>
      </c>
      <c r="O387" t="s">
        <v>162</v>
      </c>
      <c r="P387" t="s">
        <v>162</v>
      </c>
      <c r="Q387" t="s">
        <v>162</v>
      </c>
      <c r="R387" t="s">
        <v>162</v>
      </c>
      <c r="S387" t="s">
        <v>114</v>
      </c>
    </row>
    <row r="388" spans="1:19" x14ac:dyDescent="0.25">
      <c r="A388" t="s">
        <v>214</v>
      </c>
      <c r="S388" t="s">
        <v>114</v>
      </c>
    </row>
    <row r="389" spans="1:19" x14ac:dyDescent="0.25">
      <c r="A389" t="s">
        <v>115</v>
      </c>
      <c r="S389" t="s">
        <v>115</v>
      </c>
    </row>
    <row r="390" spans="1:19" x14ac:dyDescent="0.25">
      <c r="A390" t="s">
        <v>198</v>
      </c>
      <c r="B390" t="s">
        <v>257</v>
      </c>
      <c r="C390" t="s">
        <v>256</v>
      </c>
      <c r="D390" t="s">
        <v>181</v>
      </c>
      <c r="E390" t="s">
        <v>180</v>
      </c>
      <c r="F390" t="s">
        <v>179</v>
      </c>
      <c r="G390" t="s">
        <v>178</v>
      </c>
      <c r="H390" t="s">
        <v>177</v>
      </c>
      <c r="I390" t="s">
        <v>176</v>
      </c>
      <c r="J390" t="s">
        <v>175</v>
      </c>
      <c r="K390" t="s">
        <v>174</v>
      </c>
      <c r="L390" t="s">
        <v>173</v>
      </c>
      <c r="M390" t="s">
        <v>172</v>
      </c>
      <c r="N390" t="s">
        <v>171</v>
      </c>
      <c r="O390" t="s">
        <v>170</v>
      </c>
      <c r="P390" t="s">
        <v>169</v>
      </c>
      <c r="Q390" t="s">
        <v>168</v>
      </c>
      <c r="R390" t="s">
        <v>167</v>
      </c>
      <c r="S390" t="s">
        <v>115</v>
      </c>
    </row>
    <row r="391" spans="1:19" x14ac:dyDescent="0.25">
      <c r="A391" t="s">
        <v>199</v>
      </c>
      <c r="S391" t="s">
        <v>115</v>
      </c>
    </row>
    <row r="392" spans="1:19" x14ac:dyDescent="0.25">
      <c r="A392" t="s">
        <v>203</v>
      </c>
      <c r="B392">
        <v>725.8</v>
      </c>
      <c r="C392">
        <v>60.3</v>
      </c>
      <c r="D392">
        <v>48.2</v>
      </c>
      <c r="E392">
        <v>40</v>
      </c>
      <c r="F392">
        <v>49.1</v>
      </c>
      <c r="G392">
        <v>54.5</v>
      </c>
      <c r="H392">
        <v>50.8</v>
      </c>
      <c r="I392">
        <v>52.8</v>
      </c>
      <c r="J392">
        <v>46.6</v>
      </c>
      <c r="K392">
        <v>52.6</v>
      </c>
      <c r="L392">
        <v>56.4</v>
      </c>
      <c r="M392">
        <v>55.5</v>
      </c>
      <c r="N392">
        <v>57.3</v>
      </c>
      <c r="O392">
        <v>61.2</v>
      </c>
      <c r="P392">
        <v>58.8</v>
      </c>
      <c r="Q392">
        <v>65.2</v>
      </c>
      <c r="R392">
        <v>69.5</v>
      </c>
      <c r="S392" t="s">
        <v>115</v>
      </c>
    </row>
    <row r="393" spans="1:19" x14ac:dyDescent="0.25">
      <c r="A393" t="s">
        <v>217</v>
      </c>
      <c r="B393">
        <v>22</v>
      </c>
      <c r="C393">
        <v>52.3</v>
      </c>
      <c r="D393">
        <v>53.6</v>
      </c>
      <c r="E393">
        <v>50.7</v>
      </c>
      <c r="F393">
        <v>53</v>
      </c>
      <c r="G393">
        <v>50.2</v>
      </c>
      <c r="H393">
        <v>55.4</v>
      </c>
      <c r="I393">
        <v>56.5</v>
      </c>
      <c r="J393">
        <v>53.1</v>
      </c>
      <c r="K393">
        <v>41.7</v>
      </c>
      <c r="L393">
        <v>50.2</v>
      </c>
      <c r="M393">
        <v>49.4</v>
      </c>
      <c r="N393">
        <v>46.6</v>
      </c>
      <c r="O393" t="s">
        <v>162</v>
      </c>
      <c r="P393" t="s">
        <v>162</v>
      </c>
      <c r="Q393" t="s">
        <v>162</v>
      </c>
      <c r="R393" t="s">
        <v>162</v>
      </c>
      <c r="S393" t="s">
        <v>115</v>
      </c>
    </row>
    <row r="394" spans="1:19" x14ac:dyDescent="0.25">
      <c r="A394" t="s">
        <v>165</v>
      </c>
      <c r="B394">
        <v>450</v>
      </c>
      <c r="C394">
        <v>44</v>
      </c>
      <c r="D394">
        <v>50.5</v>
      </c>
      <c r="E394">
        <v>54.1</v>
      </c>
      <c r="F394">
        <v>50.6</v>
      </c>
      <c r="G394">
        <v>47.3</v>
      </c>
      <c r="H394">
        <v>50.7</v>
      </c>
      <c r="I394">
        <v>51</v>
      </c>
      <c r="J394">
        <v>45.1</v>
      </c>
      <c r="K394">
        <v>48.5</v>
      </c>
      <c r="L394">
        <v>51.6</v>
      </c>
      <c r="M394">
        <v>51.8</v>
      </c>
      <c r="N394">
        <v>55.7</v>
      </c>
      <c r="O394">
        <v>48.1</v>
      </c>
      <c r="P394">
        <v>54.3</v>
      </c>
      <c r="Q394">
        <v>53.7</v>
      </c>
      <c r="R394">
        <v>60.9</v>
      </c>
      <c r="S394" t="s">
        <v>115</v>
      </c>
    </row>
    <row r="395" spans="1:19" x14ac:dyDescent="0.25">
      <c r="A395" t="s">
        <v>200</v>
      </c>
      <c r="B395">
        <v>38.6</v>
      </c>
      <c r="C395">
        <v>34.6</v>
      </c>
      <c r="D395">
        <v>40</v>
      </c>
      <c r="E395">
        <v>52.2</v>
      </c>
      <c r="F395">
        <v>54.2</v>
      </c>
      <c r="G395">
        <v>58.3</v>
      </c>
      <c r="H395">
        <v>68.900000000000006</v>
      </c>
      <c r="I395">
        <v>81.7</v>
      </c>
      <c r="J395">
        <v>82.1</v>
      </c>
      <c r="K395">
        <v>80</v>
      </c>
      <c r="L395">
        <v>84.3</v>
      </c>
      <c r="M395">
        <v>83.1</v>
      </c>
      <c r="N395">
        <v>83.6</v>
      </c>
      <c r="O395">
        <v>77.7</v>
      </c>
      <c r="P395">
        <v>81.099999999999994</v>
      </c>
      <c r="Q395">
        <v>81</v>
      </c>
      <c r="R395">
        <v>77</v>
      </c>
      <c r="S395" t="s">
        <v>115</v>
      </c>
    </row>
    <row r="396" spans="1:19" x14ac:dyDescent="0.25">
      <c r="A396" t="s">
        <v>202</v>
      </c>
      <c r="B396">
        <v>1285.7</v>
      </c>
      <c r="C396">
        <v>32.799999999999997</v>
      </c>
      <c r="D396">
        <v>31.8</v>
      </c>
      <c r="E396">
        <v>24.4</v>
      </c>
      <c r="F396">
        <v>12</v>
      </c>
      <c r="G396">
        <v>11.5</v>
      </c>
      <c r="H396">
        <v>16.7</v>
      </c>
      <c r="I396">
        <v>17.399999999999999</v>
      </c>
      <c r="J396">
        <v>28.7</v>
      </c>
      <c r="K396">
        <v>22.5</v>
      </c>
      <c r="L396">
        <v>30.6</v>
      </c>
      <c r="M396">
        <v>26.5</v>
      </c>
      <c r="N396">
        <v>36.9</v>
      </c>
      <c r="O396">
        <v>44.3</v>
      </c>
      <c r="P396">
        <v>58.8</v>
      </c>
      <c r="Q396">
        <v>35</v>
      </c>
      <c r="R396">
        <v>34.799999999999997</v>
      </c>
      <c r="S396" t="s">
        <v>115</v>
      </c>
    </row>
    <row r="397" spans="1:19" x14ac:dyDescent="0.25">
      <c r="A397" t="s">
        <v>216</v>
      </c>
      <c r="B397">
        <v>1029.5</v>
      </c>
      <c r="C397">
        <v>25.9</v>
      </c>
      <c r="D397">
        <v>30.6</v>
      </c>
      <c r="E397">
        <v>29.2</v>
      </c>
      <c r="F397">
        <v>29.4</v>
      </c>
      <c r="G397">
        <v>30.9</v>
      </c>
      <c r="H397">
        <v>29.5</v>
      </c>
      <c r="I397">
        <v>29.5</v>
      </c>
      <c r="J397" t="s">
        <v>162</v>
      </c>
      <c r="K397" t="s">
        <v>162</v>
      </c>
      <c r="L397" t="s">
        <v>162</v>
      </c>
      <c r="M397" t="s">
        <v>162</v>
      </c>
      <c r="N397" t="s">
        <v>162</v>
      </c>
      <c r="O397" t="s">
        <v>162</v>
      </c>
      <c r="P397" t="s">
        <v>162</v>
      </c>
      <c r="Q397" t="s">
        <v>162</v>
      </c>
      <c r="R397" t="s">
        <v>162</v>
      </c>
      <c r="S397" t="s">
        <v>115</v>
      </c>
    </row>
    <row r="398" spans="1:19" x14ac:dyDescent="0.25">
      <c r="A398" t="s">
        <v>204</v>
      </c>
      <c r="B398">
        <v>389.6</v>
      </c>
      <c r="C398">
        <v>15.2</v>
      </c>
      <c r="D398">
        <v>19.3</v>
      </c>
      <c r="E398">
        <v>16.8</v>
      </c>
      <c r="F398">
        <v>14</v>
      </c>
      <c r="G398">
        <v>14.4</v>
      </c>
      <c r="H398">
        <v>24.5</v>
      </c>
      <c r="I398">
        <v>14</v>
      </c>
      <c r="J398" t="s">
        <v>162</v>
      </c>
      <c r="K398" t="s">
        <v>162</v>
      </c>
      <c r="L398" t="s">
        <v>162</v>
      </c>
      <c r="M398" t="s">
        <v>162</v>
      </c>
      <c r="N398" t="s">
        <v>162</v>
      </c>
      <c r="O398" t="s">
        <v>162</v>
      </c>
      <c r="P398" t="s">
        <v>162</v>
      </c>
      <c r="Q398" t="s">
        <v>162</v>
      </c>
      <c r="R398" t="s">
        <v>162</v>
      </c>
      <c r="S398" t="s">
        <v>115</v>
      </c>
    </row>
    <row r="399" spans="1:19" x14ac:dyDescent="0.25">
      <c r="A399" t="s">
        <v>205</v>
      </c>
      <c r="B399">
        <v>12.9</v>
      </c>
      <c r="C399">
        <v>4.9000000000000004</v>
      </c>
      <c r="D399">
        <v>13.5</v>
      </c>
      <c r="E399">
        <v>12.2</v>
      </c>
      <c r="F399">
        <v>0</v>
      </c>
      <c r="G399">
        <v>0</v>
      </c>
      <c r="H399">
        <v>0</v>
      </c>
      <c r="I399">
        <v>0</v>
      </c>
      <c r="J399">
        <v>0.4</v>
      </c>
      <c r="K399">
        <v>2.2000000000000002</v>
      </c>
      <c r="L399">
        <v>39.4</v>
      </c>
      <c r="M399">
        <v>63.4</v>
      </c>
      <c r="N399">
        <v>65</v>
      </c>
      <c r="O399">
        <v>61.3</v>
      </c>
      <c r="P399" t="s">
        <v>162</v>
      </c>
      <c r="Q399" t="s">
        <v>162</v>
      </c>
      <c r="R399" t="s">
        <v>162</v>
      </c>
      <c r="S399" t="s">
        <v>115</v>
      </c>
    </row>
    <row r="400" spans="1:19" x14ac:dyDescent="0.25">
      <c r="A400" t="s">
        <v>206</v>
      </c>
      <c r="B400">
        <v>312</v>
      </c>
      <c r="C400">
        <v>4.5999999999999996</v>
      </c>
      <c r="D400">
        <v>16.100000000000001</v>
      </c>
      <c r="E400">
        <v>15.3</v>
      </c>
      <c r="F400">
        <v>14.7</v>
      </c>
      <c r="G400">
        <v>14</v>
      </c>
      <c r="H400">
        <v>28.8</v>
      </c>
      <c r="I400">
        <v>9.1</v>
      </c>
      <c r="J400">
        <v>7.9</v>
      </c>
      <c r="K400">
        <v>16.2</v>
      </c>
      <c r="L400">
        <v>32.700000000000003</v>
      </c>
      <c r="M400">
        <v>71.900000000000006</v>
      </c>
      <c r="N400">
        <v>70.5</v>
      </c>
      <c r="O400">
        <v>73.599999999999994</v>
      </c>
      <c r="P400">
        <v>55.1</v>
      </c>
      <c r="Q400">
        <v>39.4</v>
      </c>
      <c r="R400">
        <v>55</v>
      </c>
      <c r="S400" t="s">
        <v>115</v>
      </c>
    </row>
    <row r="401" spans="1:19" x14ac:dyDescent="0.25">
      <c r="A401" t="s">
        <v>209</v>
      </c>
      <c r="B401">
        <v>1.8</v>
      </c>
      <c r="C401">
        <v>0.6</v>
      </c>
      <c r="D401">
        <v>0.7</v>
      </c>
      <c r="E401">
        <v>0.2</v>
      </c>
      <c r="F401">
        <v>0.9</v>
      </c>
      <c r="G401">
        <v>0</v>
      </c>
      <c r="H401">
        <v>0.1</v>
      </c>
      <c r="I401">
        <v>0.1</v>
      </c>
      <c r="J401">
        <v>0.1</v>
      </c>
      <c r="K401">
        <v>0.1</v>
      </c>
      <c r="L401">
        <v>0.2</v>
      </c>
      <c r="M401">
        <v>0.3</v>
      </c>
      <c r="N401">
        <v>0.1</v>
      </c>
      <c r="O401">
        <v>0.3</v>
      </c>
      <c r="P401">
        <v>0.6</v>
      </c>
      <c r="Q401">
        <v>0.3</v>
      </c>
      <c r="R401">
        <v>0.4</v>
      </c>
      <c r="S401" t="s">
        <v>115</v>
      </c>
    </row>
    <row r="402" spans="1:19" x14ac:dyDescent="0.25">
      <c r="A402" t="s">
        <v>219</v>
      </c>
      <c r="B402">
        <v>810.9</v>
      </c>
      <c r="C402">
        <v>0.6</v>
      </c>
      <c r="D402">
        <v>3.3</v>
      </c>
      <c r="E402">
        <v>0.1</v>
      </c>
      <c r="F402">
        <v>0.2</v>
      </c>
      <c r="G402">
        <v>0.1</v>
      </c>
      <c r="H402">
        <v>2.2000000000000002</v>
      </c>
      <c r="I402">
        <v>1.5</v>
      </c>
      <c r="J402">
        <v>1.3</v>
      </c>
      <c r="K402">
        <v>6.6</v>
      </c>
      <c r="L402">
        <v>3.4</v>
      </c>
      <c r="M402">
        <v>2.7</v>
      </c>
      <c r="N402">
        <v>0.8</v>
      </c>
      <c r="O402">
        <v>1.1000000000000001</v>
      </c>
      <c r="P402">
        <v>2.1</v>
      </c>
      <c r="Q402">
        <v>3</v>
      </c>
      <c r="R402">
        <v>2.6</v>
      </c>
      <c r="S402" t="s">
        <v>115</v>
      </c>
    </row>
    <row r="403" spans="1:19" x14ac:dyDescent="0.25">
      <c r="A403" t="s">
        <v>208</v>
      </c>
      <c r="B403">
        <v>32</v>
      </c>
      <c r="C403">
        <v>0.2</v>
      </c>
      <c r="D403">
        <v>0.1</v>
      </c>
      <c r="E403">
        <v>0.1</v>
      </c>
      <c r="F403">
        <v>0.6</v>
      </c>
      <c r="G403">
        <v>0.5</v>
      </c>
      <c r="H403">
        <v>0.7</v>
      </c>
      <c r="I403">
        <v>0.5</v>
      </c>
      <c r="J403">
        <v>0.2</v>
      </c>
      <c r="K403">
        <v>0.8</v>
      </c>
      <c r="L403">
        <v>0.7</v>
      </c>
      <c r="M403">
        <v>0.2</v>
      </c>
      <c r="N403">
        <v>0.1</v>
      </c>
      <c r="O403">
        <v>0.2</v>
      </c>
      <c r="P403">
        <v>0.2</v>
      </c>
      <c r="Q403">
        <v>0.1</v>
      </c>
      <c r="R403">
        <v>0.2</v>
      </c>
      <c r="S403" t="s">
        <v>115</v>
      </c>
    </row>
    <row r="404" spans="1:19" x14ac:dyDescent="0.25">
      <c r="A404" t="s">
        <v>201</v>
      </c>
      <c r="B404" t="s">
        <v>162</v>
      </c>
      <c r="C404" t="s">
        <v>162</v>
      </c>
      <c r="D404" t="s">
        <v>162</v>
      </c>
      <c r="E404" t="s">
        <v>162</v>
      </c>
      <c r="F404" t="s">
        <v>162</v>
      </c>
      <c r="G404" t="s">
        <v>162</v>
      </c>
      <c r="H404" t="s">
        <v>162</v>
      </c>
      <c r="I404" t="s">
        <v>162</v>
      </c>
      <c r="J404" t="s">
        <v>162</v>
      </c>
      <c r="K404" t="s">
        <v>162</v>
      </c>
      <c r="L404">
        <v>79</v>
      </c>
      <c r="M404">
        <v>82.1</v>
      </c>
      <c r="N404">
        <v>83.3</v>
      </c>
      <c r="O404">
        <v>84.4</v>
      </c>
      <c r="P404">
        <v>81</v>
      </c>
      <c r="Q404">
        <v>61.3</v>
      </c>
      <c r="R404">
        <v>76.900000000000006</v>
      </c>
      <c r="S404" t="s">
        <v>115</v>
      </c>
    </row>
    <row r="405" spans="1:19" x14ac:dyDescent="0.25">
      <c r="A405" t="s">
        <v>166</v>
      </c>
      <c r="B405" t="s">
        <v>162</v>
      </c>
      <c r="C405" t="s">
        <v>162</v>
      </c>
      <c r="D405" t="s">
        <v>162</v>
      </c>
      <c r="E405" t="s">
        <v>162</v>
      </c>
      <c r="F405" t="s">
        <v>162</v>
      </c>
      <c r="G405" t="s">
        <v>162</v>
      </c>
      <c r="H405" t="s">
        <v>162</v>
      </c>
      <c r="I405" t="s">
        <v>162</v>
      </c>
      <c r="J405">
        <v>28.4</v>
      </c>
      <c r="K405">
        <v>31.3</v>
      </c>
      <c r="L405">
        <v>29.1</v>
      </c>
      <c r="M405">
        <v>27.8</v>
      </c>
      <c r="N405">
        <v>25</v>
      </c>
      <c r="O405">
        <v>27.8</v>
      </c>
      <c r="P405">
        <v>25.4</v>
      </c>
      <c r="Q405">
        <v>28.8</v>
      </c>
      <c r="R405">
        <v>35.4</v>
      </c>
      <c r="S405" t="s">
        <v>115</v>
      </c>
    </row>
    <row r="406" spans="1:19" x14ac:dyDescent="0.25">
      <c r="A406" t="s">
        <v>211</v>
      </c>
      <c r="S406" t="s">
        <v>115</v>
      </c>
    </row>
    <row r="407" spans="1:19" x14ac:dyDescent="0.25">
      <c r="A407" t="s">
        <v>212</v>
      </c>
      <c r="B407">
        <v>56.4</v>
      </c>
      <c r="C407">
        <v>3.7</v>
      </c>
      <c r="D407">
        <v>4.5999999999999996</v>
      </c>
      <c r="E407">
        <v>6.7</v>
      </c>
      <c r="F407">
        <v>9.4</v>
      </c>
      <c r="G407">
        <v>9.9</v>
      </c>
      <c r="H407">
        <v>11</v>
      </c>
      <c r="I407">
        <v>11.6</v>
      </c>
      <c r="J407" t="s">
        <v>162</v>
      </c>
      <c r="K407" t="s">
        <v>162</v>
      </c>
      <c r="L407" t="s">
        <v>162</v>
      </c>
      <c r="M407" t="s">
        <v>162</v>
      </c>
      <c r="N407" t="s">
        <v>162</v>
      </c>
      <c r="O407" t="s">
        <v>162</v>
      </c>
      <c r="P407" t="s">
        <v>162</v>
      </c>
      <c r="Q407" t="s">
        <v>162</v>
      </c>
      <c r="R407" t="s">
        <v>162</v>
      </c>
      <c r="S407" t="s">
        <v>115</v>
      </c>
    </row>
    <row r="408" spans="1:19" x14ac:dyDescent="0.25">
      <c r="A408" t="s">
        <v>213</v>
      </c>
      <c r="B408">
        <v>5167.2</v>
      </c>
      <c r="C408" t="s">
        <v>162</v>
      </c>
      <c r="D408" t="s">
        <v>162</v>
      </c>
      <c r="E408" t="s">
        <v>162</v>
      </c>
      <c r="F408" t="s">
        <v>162</v>
      </c>
      <c r="G408" t="s">
        <v>162</v>
      </c>
      <c r="H408" t="s">
        <v>162</v>
      </c>
      <c r="I408" t="s">
        <v>162</v>
      </c>
      <c r="J408" t="s">
        <v>162</v>
      </c>
      <c r="K408" t="s">
        <v>162</v>
      </c>
      <c r="L408" t="s">
        <v>162</v>
      </c>
      <c r="M408" t="s">
        <v>162</v>
      </c>
      <c r="N408" t="s">
        <v>162</v>
      </c>
      <c r="O408" t="s">
        <v>162</v>
      </c>
      <c r="P408" t="s">
        <v>162</v>
      </c>
      <c r="Q408" t="s">
        <v>162</v>
      </c>
      <c r="R408" t="s">
        <v>162</v>
      </c>
      <c r="S408" t="s">
        <v>115</v>
      </c>
    </row>
    <row r="409" spans="1:19" x14ac:dyDescent="0.25">
      <c r="A409" t="s">
        <v>214</v>
      </c>
      <c r="S409" t="s">
        <v>115</v>
      </c>
    </row>
    <row r="410" spans="1:19" x14ac:dyDescent="0.25">
      <c r="A410" t="s">
        <v>116</v>
      </c>
      <c r="S410" t="s">
        <v>116</v>
      </c>
    </row>
    <row r="411" spans="1:19" x14ac:dyDescent="0.25">
      <c r="A411" t="s">
        <v>198</v>
      </c>
      <c r="B411" t="s">
        <v>257</v>
      </c>
      <c r="C411" t="s">
        <v>256</v>
      </c>
      <c r="D411" t="s">
        <v>181</v>
      </c>
      <c r="E411" t="s">
        <v>180</v>
      </c>
      <c r="F411" t="s">
        <v>179</v>
      </c>
      <c r="G411" t="s">
        <v>178</v>
      </c>
      <c r="H411" t="s">
        <v>177</v>
      </c>
      <c r="I411" t="s">
        <v>176</v>
      </c>
      <c r="J411" t="s">
        <v>175</v>
      </c>
      <c r="K411" t="s">
        <v>174</v>
      </c>
      <c r="L411" t="s">
        <v>173</v>
      </c>
      <c r="M411" t="s">
        <v>172</v>
      </c>
      <c r="N411" t="s">
        <v>171</v>
      </c>
      <c r="O411" t="s">
        <v>170</v>
      </c>
      <c r="P411" t="s">
        <v>169</v>
      </c>
      <c r="Q411" t="s">
        <v>168</v>
      </c>
      <c r="R411" t="s">
        <v>167</v>
      </c>
      <c r="S411" t="s">
        <v>116</v>
      </c>
    </row>
    <row r="412" spans="1:19" x14ac:dyDescent="0.25">
      <c r="A412" t="s">
        <v>199</v>
      </c>
      <c r="S412" t="s">
        <v>116</v>
      </c>
    </row>
    <row r="413" spans="1:19" x14ac:dyDescent="0.25">
      <c r="A413" t="s">
        <v>163</v>
      </c>
      <c r="B413">
        <v>1745.2</v>
      </c>
      <c r="C413">
        <v>98</v>
      </c>
      <c r="D413">
        <v>99</v>
      </c>
      <c r="E413">
        <v>100.2</v>
      </c>
      <c r="F413">
        <v>99.5</v>
      </c>
      <c r="G413">
        <v>100.4</v>
      </c>
      <c r="H413">
        <v>99.1</v>
      </c>
      <c r="I413">
        <v>101</v>
      </c>
      <c r="J413">
        <v>98.4</v>
      </c>
      <c r="K413">
        <v>97.9</v>
      </c>
      <c r="L413">
        <v>95.9</v>
      </c>
      <c r="M413">
        <v>94.9</v>
      </c>
      <c r="N413">
        <v>90.1</v>
      </c>
      <c r="O413">
        <v>96.4</v>
      </c>
      <c r="P413">
        <v>93.7</v>
      </c>
      <c r="Q413">
        <v>97.4</v>
      </c>
      <c r="R413">
        <v>96.3</v>
      </c>
      <c r="S413" t="s">
        <v>116</v>
      </c>
    </row>
    <row r="414" spans="1:19" x14ac:dyDescent="0.25">
      <c r="A414" t="s">
        <v>202</v>
      </c>
      <c r="B414">
        <v>2745.7</v>
      </c>
      <c r="C414">
        <v>56</v>
      </c>
      <c r="D414">
        <v>52.7</v>
      </c>
      <c r="E414">
        <v>54.1</v>
      </c>
      <c r="F414">
        <v>51.9</v>
      </c>
      <c r="G414">
        <v>54.6</v>
      </c>
      <c r="H414">
        <v>57.1</v>
      </c>
      <c r="I414">
        <v>56.2</v>
      </c>
      <c r="J414">
        <v>63.7</v>
      </c>
      <c r="K414">
        <v>61.5</v>
      </c>
      <c r="L414">
        <v>44.2</v>
      </c>
      <c r="M414">
        <v>46.2</v>
      </c>
      <c r="N414">
        <v>33.5</v>
      </c>
      <c r="O414">
        <v>27.5</v>
      </c>
      <c r="P414">
        <v>28.6</v>
      </c>
      <c r="Q414">
        <v>32.1</v>
      </c>
      <c r="R414">
        <v>24.4</v>
      </c>
      <c r="S414" t="s">
        <v>116</v>
      </c>
    </row>
    <row r="415" spans="1:19" x14ac:dyDescent="0.25">
      <c r="A415" t="s">
        <v>200</v>
      </c>
      <c r="B415">
        <v>137.30000000000001</v>
      </c>
      <c r="C415">
        <v>53.1</v>
      </c>
      <c r="D415">
        <v>50.6</v>
      </c>
      <c r="E415">
        <v>62.1</v>
      </c>
      <c r="F415">
        <v>53.7</v>
      </c>
      <c r="G415">
        <v>54.6</v>
      </c>
      <c r="H415">
        <v>61.7</v>
      </c>
      <c r="I415">
        <v>61</v>
      </c>
      <c r="J415">
        <v>61.5</v>
      </c>
      <c r="K415">
        <v>58.9</v>
      </c>
      <c r="L415">
        <v>58.8</v>
      </c>
      <c r="M415">
        <v>57.5</v>
      </c>
      <c r="N415">
        <v>56.9</v>
      </c>
      <c r="O415">
        <v>56.7</v>
      </c>
      <c r="P415">
        <v>57.5</v>
      </c>
      <c r="Q415">
        <v>54</v>
      </c>
      <c r="R415">
        <v>61</v>
      </c>
      <c r="S415" t="s">
        <v>116</v>
      </c>
    </row>
    <row r="416" spans="1:19" x14ac:dyDescent="0.25">
      <c r="A416" t="s">
        <v>203</v>
      </c>
      <c r="B416">
        <v>514.9</v>
      </c>
      <c r="C416">
        <v>41</v>
      </c>
      <c r="D416">
        <v>34.4</v>
      </c>
      <c r="E416">
        <v>41</v>
      </c>
      <c r="F416">
        <v>32.700000000000003</v>
      </c>
      <c r="G416">
        <v>42.3</v>
      </c>
      <c r="H416">
        <v>54.8</v>
      </c>
      <c r="I416">
        <v>38</v>
      </c>
      <c r="J416">
        <v>26.9</v>
      </c>
      <c r="K416">
        <v>31.4</v>
      </c>
      <c r="L416">
        <v>31.3</v>
      </c>
      <c r="M416">
        <v>33.4</v>
      </c>
      <c r="N416">
        <v>32</v>
      </c>
      <c r="O416">
        <v>49.3</v>
      </c>
      <c r="P416">
        <v>32.299999999999997</v>
      </c>
      <c r="Q416">
        <v>36.5</v>
      </c>
      <c r="R416">
        <v>38.1</v>
      </c>
      <c r="S416" t="s">
        <v>116</v>
      </c>
    </row>
    <row r="417" spans="1:19" x14ac:dyDescent="0.25">
      <c r="A417" t="s">
        <v>216</v>
      </c>
      <c r="B417">
        <v>190</v>
      </c>
      <c r="C417">
        <v>28.9</v>
      </c>
      <c r="D417">
        <v>29.9</v>
      </c>
      <c r="E417">
        <v>31.1</v>
      </c>
      <c r="F417">
        <v>32.700000000000003</v>
      </c>
      <c r="G417">
        <v>31.3</v>
      </c>
      <c r="H417">
        <v>34.200000000000003</v>
      </c>
      <c r="I417">
        <v>33.700000000000003</v>
      </c>
      <c r="J417" t="s">
        <v>162</v>
      </c>
      <c r="K417" t="s">
        <v>162</v>
      </c>
      <c r="L417" t="s">
        <v>162</v>
      </c>
      <c r="M417" t="s">
        <v>162</v>
      </c>
      <c r="N417" t="s">
        <v>162</v>
      </c>
      <c r="O417" t="s">
        <v>162</v>
      </c>
      <c r="P417" t="s">
        <v>162</v>
      </c>
      <c r="Q417" t="s">
        <v>162</v>
      </c>
      <c r="R417" t="s">
        <v>162</v>
      </c>
      <c r="S417" t="s">
        <v>116</v>
      </c>
    </row>
    <row r="418" spans="1:19" x14ac:dyDescent="0.25">
      <c r="A418" t="s">
        <v>204</v>
      </c>
      <c r="B418">
        <v>553.9</v>
      </c>
      <c r="C418">
        <v>19.399999999999999</v>
      </c>
      <c r="D418">
        <v>19</v>
      </c>
      <c r="E418">
        <v>19.100000000000001</v>
      </c>
      <c r="F418">
        <v>17.899999999999999</v>
      </c>
      <c r="G418">
        <v>18.8</v>
      </c>
      <c r="H418">
        <v>18.899999999999999</v>
      </c>
      <c r="I418">
        <v>18.3</v>
      </c>
      <c r="J418">
        <v>19.100000000000001</v>
      </c>
      <c r="K418">
        <v>19</v>
      </c>
      <c r="L418">
        <v>18.899999999999999</v>
      </c>
      <c r="M418">
        <v>18</v>
      </c>
      <c r="N418">
        <v>17.100000000000001</v>
      </c>
      <c r="O418">
        <v>13.3</v>
      </c>
      <c r="P418" t="s">
        <v>162</v>
      </c>
      <c r="Q418" t="s">
        <v>162</v>
      </c>
      <c r="R418" t="s">
        <v>162</v>
      </c>
      <c r="S418" t="s">
        <v>116</v>
      </c>
    </row>
    <row r="419" spans="1:19" x14ac:dyDescent="0.25">
      <c r="A419" t="s">
        <v>201</v>
      </c>
      <c r="B419">
        <v>1453</v>
      </c>
      <c r="C419">
        <v>13.3</v>
      </c>
      <c r="D419">
        <v>23.7</v>
      </c>
      <c r="E419">
        <v>20.2</v>
      </c>
      <c r="F419">
        <v>9.9</v>
      </c>
      <c r="G419">
        <v>15.8</v>
      </c>
      <c r="H419">
        <v>26.4</v>
      </c>
      <c r="I419">
        <v>21.3</v>
      </c>
      <c r="J419">
        <v>34.5</v>
      </c>
      <c r="K419">
        <v>34.4</v>
      </c>
      <c r="L419">
        <v>43.2</v>
      </c>
      <c r="M419">
        <v>38.200000000000003</v>
      </c>
      <c r="N419">
        <v>39.700000000000003</v>
      </c>
      <c r="O419">
        <v>50</v>
      </c>
      <c r="P419">
        <v>56.5</v>
      </c>
      <c r="Q419">
        <v>53</v>
      </c>
      <c r="R419">
        <v>63.8</v>
      </c>
      <c r="S419" t="s">
        <v>116</v>
      </c>
    </row>
    <row r="420" spans="1:19" x14ac:dyDescent="0.25">
      <c r="A420" t="s">
        <v>165</v>
      </c>
      <c r="B420">
        <v>2.6</v>
      </c>
      <c r="C420">
        <v>12.5</v>
      </c>
      <c r="D420">
        <v>30.5</v>
      </c>
      <c r="E420">
        <v>37.6</v>
      </c>
      <c r="F420">
        <v>45.3</v>
      </c>
      <c r="G420">
        <v>50.7</v>
      </c>
      <c r="H420">
        <v>50.3</v>
      </c>
      <c r="I420">
        <v>18.399999999999999</v>
      </c>
      <c r="J420">
        <v>49.9</v>
      </c>
      <c r="K420">
        <v>49.6</v>
      </c>
      <c r="L420">
        <v>49.9</v>
      </c>
      <c r="M420">
        <v>66.400000000000006</v>
      </c>
      <c r="N420">
        <v>78.3</v>
      </c>
      <c r="O420">
        <v>72.5</v>
      </c>
      <c r="P420">
        <v>71.8</v>
      </c>
      <c r="Q420">
        <v>68.599999999999994</v>
      </c>
      <c r="R420">
        <v>73</v>
      </c>
      <c r="S420" t="s">
        <v>116</v>
      </c>
    </row>
    <row r="421" spans="1:19" x14ac:dyDescent="0.25">
      <c r="A421" t="s">
        <v>205</v>
      </c>
      <c r="B421">
        <v>1199.8</v>
      </c>
      <c r="C421">
        <v>7.1</v>
      </c>
      <c r="D421">
        <v>2.9</v>
      </c>
      <c r="E421">
        <v>1.6</v>
      </c>
      <c r="F421">
        <v>6</v>
      </c>
      <c r="G421">
        <v>5</v>
      </c>
      <c r="H421">
        <v>7.4</v>
      </c>
      <c r="I421">
        <v>3.7</v>
      </c>
      <c r="J421">
        <v>11.4</v>
      </c>
      <c r="K421">
        <v>7</v>
      </c>
      <c r="L421">
        <v>4.9000000000000004</v>
      </c>
      <c r="M421">
        <v>5.4</v>
      </c>
      <c r="N421">
        <v>6.9</v>
      </c>
      <c r="O421">
        <v>5.3</v>
      </c>
      <c r="P421">
        <v>4.4000000000000004</v>
      </c>
      <c r="Q421">
        <v>3.1</v>
      </c>
      <c r="R421">
        <v>5.3</v>
      </c>
      <c r="S421" t="s">
        <v>116</v>
      </c>
    </row>
    <row r="422" spans="1:19" x14ac:dyDescent="0.25">
      <c r="A422" t="s">
        <v>206</v>
      </c>
      <c r="B422">
        <v>1675.6</v>
      </c>
      <c r="C422">
        <v>7</v>
      </c>
      <c r="D422">
        <v>5.5</v>
      </c>
      <c r="E422">
        <v>5.3</v>
      </c>
      <c r="F422">
        <v>5.3</v>
      </c>
      <c r="G422">
        <v>5</v>
      </c>
      <c r="H422">
        <v>8.1999999999999993</v>
      </c>
      <c r="I422">
        <v>7.7</v>
      </c>
      <c r="J422">
        <v>12.5</v>
      </c>
      <c r="K422">
        <v>14.8</v>
      </c>
      <c r="L422">
        <v>7.4</v>
      </c>
      <c r="M422">
        <v>6.7</v>
      </c>
      <c r="N422">
        <v>5.9</v>
      </c>
      <c r="O422">
        <v>4.5999999999999996</v>
      </c>
      <c r="P422">
        <v>5.6</v>
      </c>
      <c r="Q422">
        <v>3.7</v>
      </c>
      <c r="R422">
        <v>4.0999999999999996</v>
      </c>
      <c r="S422" t="s">
        <v>116</v>
      </c>
    </row>
    <row r="423" spans="1:19" x14ac:dyDescent="0.25">
      <c r="A423" t="s">
        <v>208</v>
      </c>
      <c r="B423">
        <v>591.1</v>
      </c>
      <c r="C423">
        <v>1.9</v>
      </c>
      <c r="D423">
        <v>2.7</v>
      </c>
      <c r="E423">
        <v>2.2999999999999998</v>
      </c>
      <c r="F423">
        <v>1.9</v>
      </c>
      <c r="G423">
        <v>1.8</v>
      </c>
      <c r="H423">
        <v>2.7</v>
      </c>
      <c r="I423">
        <v>2</v>
      </c>
      <c r="J423">
        <v>4.7</v>
      </c>
      <c r="K423">
        <v>3.3</v>
      </c>
      <c r="L423">
        <v>2.2999999999999998</v>
      </c>
      <c r="M423">
        <v>1.2</v>
      </c>
      <c r="N423">
        <v>1.3</v>
      </c>
      <c r="O423">
        <v>1.2</v>
      </c>
      <c r="P423">
        <v>1.7</v>
      </c>
      <c r="Q423">
        <v>0.9</v>
      </c>
      <c r="R423">
        <v>1.8</v>
      </c>
      <c r="S423" t="s">
        <v>116</v>
      </c>
    </row>
    <row r="424" spans="1:19" x14ac:dyDescent="0.25">
      <c r="A424" t="s">
        <v>215</v>
      </c>
      <c r="B424">
        <v>10.5</v>
      </c>
      <c r="C424">
        <v>1.5</v>
      </c>
      <c r="D424">
        <v>1.4</v>
      </c>
      <c r="E424">
        <v>0.7</v>
      </c>
      <c r="F424">
        <v>4.4000000000000004</v>
      </c>
      <c r="G424">
        <v>0.9</v>
      </c>
      <c r="H424">
        <v>1.6</v>
      </c>
      <c r="I424">
        <v>2.2000000000000002</v>
      </c>
      <c r="J424">
        <v>1.7</v>
      </c>
      <c r="K424">
        <v>1</v>
      </c>
      <c r="L424">
        <v>2.4</v>
      </c>
      <c r="M424">
        <v>2</v>
      </c>
      <c r="N424">
        <v>2.2999999999999998</v>
      </c>
      <c r="O424">
        <v>25.6</v>
      </c>
      <c r="P424">
        <v>26.2</v>
      </c>
      <c r="Q424">
        <v>30.6</v>
      </c>
      <c r="R424">
        <v>24.2</v>
      </c>
      <c r="S424" t="s">
        <v>116</v>
      </c>
    </row>
    <row r="425" spans="1:19" x14ac:dyDescent="0.25">
      <c r="A425" t="s">
        <v>219</v>
      </c>
      <c r="B425">
        <v>981</v>
      </c>
      <c r="C425">
        <v>0.8</v>
      </c>
      <c r="D425">
        <v>0.5</v>
      </c>
      <c r="E425">
        <v>0.2</v>
      </c>
      <c r="F425">
        <v>0.1</v>
      </c>
      <c r="G425">
        <v>0.2</v>
      </c>
      <c r="H425">
        <v>1</v>
      </c>
      <c r="I425">
        <v>0.2</v>
      </c>
      <c r="J425">
        <v>0.4</v>
      </c>
      <c r="K425">
        <v>1.4</v>
      </c>
      <c r="L425">
        <v>3.4</v>
      </c>
      <c r="M425">
        <v>4.8</v>
      </c>
      <c r="N425">
        <v>18.5</v>
      </c>
      <c r="O425">
        <v>4.8</v>
      </c>
      <c r="P425">
        <v>7</v>
      </c>
      <c r="Q425">
        <v>2.4</v>
      </c>
      <c r="R425">
        <v>3.2</v>
      </c>
      <c r="S425" t="s">
        <v>116</v>
      </c>
    </row>
    <row r="426" spans="1:19" x14ac:dyDescent="0.25">
      <c r="A426" t="s">
        <v>209</v>
      </c>
      <c r="B426">
        <v>84.2</v>
      </c>
      <c r="C426">
        <v>0.4</v>
      </c>
      <c r="D426">
        <v>1.6</v>
      </c>
      <c r="E426">
        <v>0.4</v>
      </c>
      <c r="F426">
        <v>0.5</v>
      </c>
      <c r="G426">
        <v>0.3</v>
      </c>
      <c r="H426">
        <v>1.2</v>
      </c>
      <c r="I426">
        <v>0.6</v>
      </c>
      <c r="J426">
        <v>0.4</v>
      </c>
      <c r="K426">
        <v>1.5</v>
      </c>
      <c r="L426">
        <v>1.7</v>
      </c>
      <c r="M426">
        <v>2.6</v>
      </c>
      <c r="N426">
        <v>0.8</v>
      </c>
      <c r="O426">
        <v>1</v>
      </c>
      <c r="P426">
        <v>0.5</v>
      </c>
      <c r="Q426">
        <v>0.2</v>
      </c>
      <c r="R426">
        <v>1.1000000000000001</v>
      </c>
      <c r="S426" t="s">
        <v>116</v>
      </c>
    </row>
    <row r="427" spans="1:19" x14ac:dyDescent="0.25">
      <c r="A427" t="s">
        <v>210</v>
      </c>
      <c r="B427" t="s">
        <v>162</v>
      </c>
      <c r="C427" t="s">
        <v>162</v>
      </c>
      <c r="D427" t="s">
        <v>162</v>
      </c>
      <c r="E427" t="s">
        <v>162</v>
      </c>
      <c r="F427" t="s">
        <v>162</v>
      </c>
      <c r="G427" t="s">
        <v>162</v>
      </c>
      <c r="H427" t="s">
        <v>162</v>
      </c>
      <c r="I427" t="s">
        <v>162</v>
      </c>
      <c r="J427">
        <v>73.400000000000006</v>
      </c>
      <c r="K427">
        <v>64.5</v>
      </c>
      <c r="L427">
        <v>81.2</v>
      </c>
      <c r="M427">
        <v>39.5</v>
      </c>
      <c r="N427" t="s">
        <v>162</v>
      </c>
      <c r="O427" t="s">
        <v>162</v>
      </c>
      <c r="P427" t="s">
        <v>162</v>
      </c>
      <c r="Q427" t="s">
        <v>162</v>
      </c>
      <c r="R427" t="s">
        <v>162</v>
      </c>
      <c r="S427" t="s">
        <v>116</v>
      </c>
    </row>
    <row r="428" spans="1:19" x14ac:dyDescent="0.25">
      <c r="A428" t="s">
        <v>207</v>
      </c>
      <c r="B428" t="s">
        <v>162</v>
      </c>
      <c r="C428" t="s">
        <v>162</v>
      </c>
      <c r="D428" t="s">
        <v>162</v>
      </c>
      <c r="E428" t="s">
        <v>162</v>
      </c>
      <c r="F428" t="s">
        <v>162</v>
      </c>
      <c r="G428" t="s">
        <v>162</v>
      </c>
      <c r="H428" t="s">
        <v>162</v>
      </c>
      <c r="I428" t="s">
        <v>162</v>
      </c>
      <c r="J428" t="s">
        <v>162</v>
      </c>
      <c r="K428" t="s">
        <v>162</v>
      </c>
      <c r="L428" t="s">
        <v>162</v>
      </c>
      <c r="M428" t="s">
        <v>162</v>
      </c>
      <c r="N428" t="s">
        <v>162</v>
      </c>
      <c r="O428">
        <v>15.5</v>
      </c>
      <c r="P428" t="s">
        <v>162</v>
      </c>
      <c r="Q428" t="s">
        <v>162</v>
      </c>
      <c r="R428" t="s">
        <v>162</v>
      </c>
      <c r="S428" t="s">
        <v>116</v>
      </c>
    </row>
    <row r="429" spans="1:19" x14ac:dyDescent="0.25">
      <c r="A429" t="s">
        <v>217</v>
      </c>
      <c r="B429" t="s">
        <v>162</v>
      </c>
      <c r="C429" t="s">
        <v>162</v>
      </c>
      <c r="D429" t="s">
        <v>162</v>
      </c>
      <c r="E429" t="s">
        <v>162</v>
      </c>
      <c r="F429">
        <v>0</v>
      </c>
      <c r="G429">
        <v>0</v>
      </c>
      <c r="H429">
        <v>0</v>
      </c>
      <c r="I429" t="s">
        <v>162</v>
      </c>
      <c r="J429" t="s">
        <v>162</v>
      </c>
      <c r="K429" t="s">
        <v>162</v>
      </c>
      <c r="L429" t="s">
        <v>162</v>
      </c>
      <c r="M429" t="s">
        <v>162</v>
      </c>
      <c r="N429" t="s">
        <v>162</v>
      </c>
      <c r="O429" t="s">
        <v>162</v>
      </c>
      <c r="P429" t="s">
        <v>162</v>
      </c>
      <c r="Q429" t="s">
        <v>162</v>
      </c>
      <c r="R429" t="s">
        <v>162</v>
      </c>
      <c r="S429" t="s">
        <v>116</v>
      </c>
    </row>
    <row r="430" spans="1:19" x14ac:dyDescent="0.25">
      <c r="A430" t="s">
        <v>166</v>
      </c>
      <c r="B430" t="s">
        <v>162</v>
      </c>
      <c r="C430" t="s">
        <v>162</v>
      </c>
      <c r="D430" t="s">
        <v>162</v>
      </c>
      <c r="E430" t="s">
        <v>162</v>
      </c>
      <c r="F430" t="s">
        <v>162</v>
      </c>
      <c r="G430" t="s">
        <v>162</v>
      </c>
      <c r="H430" t="s">
        <v>162</v>
      </c>
      <c r="I430" t="s">
        <v>162</v>
      </c>
      <c r="J430">
        <v>31.6</v>
      </c>
      <c r="K430">
        <v>30.3</v>
      </c>
      <c r="L430">
        <v>29.9</v>
      </c>
      <c r="M430">
        <v>30.6</v>
      </c>
      <c r="N430">
        <v>30.5</v>
      </c>
      <c r="O430">
        <v>34.5</v>
      </c>
      <c r="P430" t="s">
        <v>162</v>
      </c>
      <c r="Q430" t="s">
        <v>162</v>
      </c>
      <c r="R430" t="s">
        <v>162</v>
      </c>
      <c r="S430" t="s">
        <v>116</v>
      </c>
    </row>
    <row r="431" spans="1:19" x14ac:dyDescent="0.25">
      <c r="A431" t="s">
        <v>211</v>
      </c>
      <c r="S431" t="s">
        <v>116</v>
      </c>
    </row>
    <row r="432" spans="1:19" x14ac:dyDescent="0.25">
      <c r="A432" t="s">
        <v>212</v>
      </c>
      <c r="B432">
        <v>7.7</v>
      </c>
      <c r="C432">
        <v>12.7</v>
      </c>
      <c r="D432">
        <v>19</v>
      </c>
      <c r="E432">
        <v>20.7</v>
      </c>
      <c r="F432">
        <v>21.3</v>
      </c>
      <c r="G432">
        <v>16.600000000000001</v>
      </c>
      <c r="H432">
        <v>3.1</v>
      </c>
      <c r="I432">
        <v>14.6</v>
      </c>
      <c r="J432">
        <v>6.7</v>
      </c>
      <c r="K432" t="s">
        <v>162</v>
      </c>
      <c r="L432" t="s">
        <v>162</v>
      </c>
      <c r="M432" t="s">
        <v>162</v>
      </c>
      <c r="N432" t="s">
        <v>162</v>
      </c>
      <c r="O432" t="s">
        <v>162</v>
      </c>
      <c r="P432" t="s">
        <v>162</v>
      </c>
      <c r="Q432" t="s">
        <v>162</v>
      </c>
      <c r="R432" t="s">
        <v>162</v>
      </c>
      <c r="S432" t="s">
        <v>116</v>
      </c>
    </row>
    <row r="433" spans="1:19" x14ac:dyDescent="0.25">
      <c r="A433" t="s">
        <v>213</v>
      </c>
      <c r="B433">
        <v>11892.5</v>
      </c>
      <c r="C433" t="s">
        <v>162</v>
      </c>
      <c r="D433" t="s">
        <v>162</v>
      </c>
      <c r="E433" t="s">
        <v>162</v>
      </c>
      <c r="F433" t="s">
        <v>162</v>
      </c>
      <c r="G433" t="s">
        <v>162</v>
      </c>
      <c r="H433" t="s">
        <v>162</v>
      </c>
      <c r="I433" t="s">
        <v>162</v>
      </c>
      <c r="J433" t="s">
        <v>162</v>
      </c>
      <c r="K433" t="s">
        <v>162</v>
      </c>
      <c r="L433" t="s">
        <v>162</v>
      </c>
      <c r="M433" t="s">
        <v>162</v>
      </c>
      <c r="N433" t="s">
        <v>162</v>
      </c>
      <c r="O433" t="s">
        <v>162</v>
      </c>
      <c r="P433" t="s">
        <v>162</v>
      </c>
      <c r="Q433" t="s">
        <v>162</v>
      </c>
      <c r="R433" t="s">
        <v>162</v>
      </c>
      <c r="S433" t="s">
        <v>116</v>
      </c>
    </row>
    <row r="434" spans="1:19" x14ac:dyDescent="0.25">
      <c r="A434" t="s">
        <v>214</v>
      </c>
      <c r="S434" t="s">
        <v>116</v>
      </c>
    </row>
    <row r="435" spans="1:19" x14ac:dyDescent="0.25">
      <c r="A435" t="s">
        <v>117</v>
      </c>
      <c r="S435" t="s">
        <v>117</v>
      </c>
    </row>
    <row r="436" spans="1:19" x14ac:dyDescent="0.25">
      <c r="A436" t="s">
        <v>198</v>
      </c>
      <c r="B436" t="s">
        <v>257</v>
      </c>
      <c r="C436" t="s">
        <v>256</v>
      </c>
      <c r="D436" t="s">
        <v>181</v>
      </c>
      <c r="E436" t="s">
        <v>180</v>
      </c>
      <c r="F436" t="s">
        <v>179</v>
      </c>
      <c r="G436" t="s">
        <v>178</v>
      </c>
      <c r="H436" t="s">
        <v>177</v>
      </c>
      <c r="I436" t="s">
        <v>176</v>
      </c>
      <c r="J436" t="s">
        <v>175</v>
      </c>
      <c r="K436" t="s">
        <v>174</v>
      </c>
      <c r="L436" t="s">
        <v>173</v>
      </c>
      <c r="M436" t="s">
        <v>172</v>
      </c>
      <c r="N436" t="s">
        <v>171</v>
      </c>
      <c r="O436" t="s">
        <v>170</v>
      </c>
      <c r="P436" t="s">
        <v>169</v>
      </c>
      <c r="Q436" t="s">
        <v>168</v>
      </c>
      <c r="R436" t="s">
        <v>167</v>
      </c>
      <c r="S436" t="s">
        <v>117</v>
      </c>
    </row>
    <row r="437" spans="1:19" x14ac:dyDescent="0.25">
      <c r="A437" t="s">
        <v>199</v>
      </c>
      <c r="S437" t="s">
        <v>117</v>
      </c>
    </row>
    <row r="438" spans="1:19" x14ac:dyDescent="0.25">
      <c r="A438" t="s">
        <v>210</v>
      </c>
      <c r="B438">
        <v>7.5</v>
      </c>
      <c r="C438">
        <v>90.9</v>
      </c>
      <c r="D438">
        <v>95.1</v>
      </c>
      <c r="E438">
        <v>81.099999999999994</v>
      </c>
      <c r="F438">
        <v>98.3</v>
      </c>
      <c r="G438" t="s">
        <v>162</v>
      </c>
      <c r="H438" t="s">
        <v>162</v>
      </c>
      <c r="I438" t="s">
        <v>162</v>
      </c>
      <c r="J438" t="s">
        <v>162</v>
      </c>
      <c r="K438" t="s">
        <v>162</v>
      </c>
      <c r="L438" t="s">
        <v>162</v>
      </c>
      <c r="M438" t="s">
        <v>162</v>
      </c>
      <c r="N438" t="s">
        <v>162</v>
      </c>
      <c r="O438" t="s">
        <v>162</v>
      </c>
      <c r="P438" t="s">
        <v>162</v>
      </c>
      <c r="Q438" t="s">
        <v>162</v>
      </c>
      <c r="R438" t="s">
        <v>162</v>
      </c>
      <c r="S438" t="s">
        <v>117</v>
      </c>
    </row>
    <row r="439" spans="1:19" x14ac:dyDescent="0.25">
      <c r="A439" t="s">
        <v>200</v>
      </c>
      <c r="B439">
        <v>258.2</v>
      </c>
      <c r="C439">
        <v>80.5</v>
      </c>
      <c r="D439">
        <v>79.2</v>
      </c>
      <c r="E439">
        <v>77.900000000000006</v>
      </c>
      <c r="F439">
        <v>77.099999999999994</v>
      </c>
      <c r="G439">
        <v>77.7</v>
      </c>
      <c r="H439">
        <v>81.3</v>
      </c>
      <c r="I439">
        <v>78.900000000000006</v>
      </c>
      <c r="J439">
        <v>82.7</v>
      </c>
      <c r="K439">
        <v>82.9</v>
      </c>
      <c r="L439">
        <v>85.1</v>
      </c>
      <c r="M439">
        <v>84.3</v>
      </c>
      <c r="N439">
        <v>83.9</v>
      </c>
      <c r="O439">
        <v>82</v>
      </c>
      <c r="P439">
        <v>82.1</v>
      </c>
      <c r="Q439">
        <v>78.599999999999994</v>
      </c>
      <c r="R439">
        <v>80.2</v>
      </c>
      <c r="S439" t="s">
        <v>117</v>
      </c>
    </row>
    <row r="440" spans="1:19" x14ac:dyDescent="0.25">
      <c r="A440" t="s">
        <v>203</v>
      </c>
      <c r="B440">
        <v>267.2</v>
      </c>
      <c r="C440">
        <v>49.8</v>
      </c>
      <c r="D440">
        <v>37.5</v>
      </c>
      <c r="E440">
        <v>47.7</v>
      </c>
      <c r="F440">
        <v>36.1</v>
      </c>
      <c r="G440">
        <v>41.7</v>
      </c>
      <c r="H440">
        <v>48.5</v>
      </c>
      <c r="I440">
        <v>44.3</v>
      </c>
      <c r="J440">
        <v>30.5</v>
      </c>
      <c r="K440">
        <v>35.9</v>
      </c>
      <c r="L440">
        <v>39.200000000000003</v>
      </c>
      <c r="M440">
        <v>43</v>
      </c>
      <c r="N440">
        <v>39.1</v>
      </c>
      <c r="O440">
        <v>48.8</v>
      </c>
      <c r="P440">
        <v>42.4</v>
      </c>
      <c r="Q440">
        <v>51.2</v>
      </c>
      <c r="R440">
        <v>50.7</v>
      </c>
      <c r="S440" t="s">
        <v>117</v>
      </c>
    </row>
    <row r="441" spans="1:19" x14ac:dyDescent="0.25">
      <c r="A441" t="s">
        <v>205</v>
      </c>
      <c r="B441">
        <v>48</v>
      </c>
      <c r="C441">
        <v>29.4</v>
      </c>
      <c r="D441">
        <v>35.200000000000003</v>
      </c>
      <c r="E441">
        <v>21.4</v>
      </c>
      <c r="F441">
        <v>14.6</v>
      </c>
      <c r="G441">
        <v>15.9</v>
      </c>
      <c r="H441">
        <v>16.3</v>
      </c>
      <c r="I441">
        <v>16.7</v>
      </c>
      <c r="J441">
        <v>14.5</v>
      </c>
      <c r="K441">
        <v>15.3</v>
      </c>
      <c r="L441">
        <v>6</v>
      </c>
      <c r="M441">
        <v>9.1</v>
      </c>
      <c r="N441">
        <v>6.5</v>
      </c>
      <c r="O441">
        <v>4.9000000000000004</v>
      </c>
      <c r="P441">
        <v>6.9</v>
      </c>
      <c r="Q441">
        <v>6</v>
      </c>
      <c r="R441">
        <v>9.9</v>
      </c>
      <c r="S441" t="s">
        <v>117</v>
      </c>
    </row>
    <row r="442" spans="1:19" x14ac:dyDescent="0.25">
      <c r="A442" t="s">
        <v>165</v>
      </c>
      <c r="B442">
        <v>14.9</v>
      </c>
      <c r="C442">
        <v>27.9</v>
      </c>
      <c r="D442">
        <v>35.5</v>
      </c>
      <c r="E442">
        <v>56.6</v>
      </c>
      <c r="F442">
        <v>80</v>
      </c>
      <c r="G442">
        <v>67.099999999999994</v>
      </c>
      <c r="H442">
        <v>75.900000000000006</v>
      </c>
      <c r="I442">
        <v>92.9</v>
      </c>
      <c r="J442">
        <v>91.4</v>
      </c>
      <c r="K442">
        <v>84.6</v>
      </c>
      <c r="L442">
        <v>88.5</v>
      </c>
      <c r="M442">
        <v>54</v>
      </c>
      <c r="N442">
        <v>74.599999999999994</v>
      </c>
      <c r="O442">
        <v>47.2</v>
      </c>
      <c r="P442">
        <v>57.1</v>
      </c>
      <c r="Q442">
        <v>54.4</v>
      </c>
      <c r="R442">
        <v>57.7</v>
      </c>
      <c r="S442" t="s">
        <v>117</v>
      </c>
    </row>
    <row r="443" spans="1:19" x14ac:dyDescent="0.25">
      <c r="A443" t="s">
        <v>202</v>
      </c>
      <c r="B443">
        <v>5942.9</v>
      </c>
      <c r="C443">
        <v>26.3</v>
      </c>
      <c r="D443">
        <v>27.3</v>
      </c>
      <c r="E443">
        <v>25.7</v>
      </c>
      <c r="F443">
        <v>24.1</v>
      </c>
      <c r="G443">
        <v>27.4</v>
      </c>
      <c r="H443">
        <v>35.299999999999997</v>
      </c>
      <c r="I443">
        <v>46.1</v>
      </c>
      <c r="J443">
        <v>44.4</v>
      </c>
      <c r="K443">
        <v>44.5</v>
      </c>
      <c r="L443">
        <v>39.6</v>
      </c>
      <c r="M443">
        <v>45.7</v>
      </c>
      <c r="N443">
        <v>48</v>
      </c>
      <c r="O443">
        <v>56.9</v>
      </c>
      <c r="P443">
        <v>55.9</v>
      </c>
      <c r="Q443">
        <v>46.2</v>
      </c>
      <c r="R443">
        <v>47</v>
      </c>
      <c r="S443" t="s">
        <v>117</v>
      </c>
    </row>
    <row r="444" spans="1:19" x14ac:dyDescent="0.25">
      <c r="A444" t="s">
        <v>206</v>
      </c>
      <c r="B444">
        <v>456.2</v>
      </c>
      <c r="C444">
        <v>22.4</v>
      </c>
      <c r="D444">
        <v>16.600000000000001</v>
      </c>
      <c r="E444">
        <v>11.8</v>
      </c>
      <c r="F444">
        <v>11.8</v>
      </c>
      <c r="G444">
        <v>14.6</v>
      </c>
      <c r="H444">
        <v>21.8</v>
      </c>
      <c r="I444">
        <v>18.600000000000001</v>
      </c>
      <c r="J444">
        <v>19.5</v>
      </c>
      <c r="K444">
        <v>16.600000000000001</v>
      </c>
      <c r="L444">
        <v>18.2</v>
      </c>
      <c r="M444">
        <v>14.9</v>
      </c>
      <c r="N444">
        <v>13.9</v>
      </c>
      <c r="O444">
        <v>13.9</v>
      </c>
      <c r="P444">
        <v>14.3</v>
      </c>
      <c r="Q444">
        <v>19</v>
      </c>
      <c r="R444">
        <v>21.8</v>
      </c>
      <c r="S444" t="s">
        <v>117</v>
      </c>
    </row>
    <row r="445" spans="1:19" x14ac:dyDescent="0.25">
      <c r="A445" t="s">
        <v>216</v>
      </c>
      <c r="B445">
        <v>101.8</v>
      </c>
      <c r="C445">
        <v>20.399999999999999</v>
      </c>
      <c r="D445">
        <v>24</v>
      </c>
      <c r="E445">
        <v>22.5</v>
      </c>
      <c r="F445">
        <v>25.7</v>
      </c>
      <c r="G445">
        <v>24.7</v>
      </c>
      <c r="H445">
        <v>26.4</v>
      </c>
      <c r="I445">
        <v>28.4</v>
      </c>
      <c r="J445" t="s">
        <v>162</v>
      </c>
      <c r="K445" t="s">
        <v>162</v>
      </c>
      <c r="L445" t="s">
        <v>162</v>
      </c>
      <c r="M445" t="s">
        <v>162</v>
      </c>
      <c r="N445" t="s">
        <v>162</v>
      </c>
      <c r="O445" t="s">
        <v>162</v>
      </c>
      <c r="P445" t="s">
        <v>162</v>
      </c>
      <c r="Q445" t="s">
        <v>162</v>
      </c>
      <c r="R445" t="s">
        <v>162</v>
      </c>
      <c r="S445" t="s">
        <v>117</v>
      </c>
    </row>
    <row r="446" spans="1:19" x14ac:dyDescent="0.25">
      <c r="A446" t="s">
        <v>204</v>
      </c>
      <c r="B446">
        <v>1325.4</v>
      </c>
      <c r="C446">
        <v>17.3</v>
      </c>
      <c r="D446">
        <v>17.899999999999999</v>
      </c>
      <c r="E446">
        <v>16.5</v>
      </c>
      <c r="F446">
        <v>17</v>
      </c>
      <c r="G446">
        <v>16.3</v>
      </c>
      <c r="H446">
        <v>16.2</v>
      </c>
      <c r="I446">
        <v>16</v>
      </c>
      <c r="J446">
        <v>17.3</v>
      </c>
      <c r="K446">
        <v>16.5</v>
      </c>
      <c r="L446">
        <v>15.7</v>
      </c>
      <c r="M446">
        <v>15.8</v>
      </c>
      <c r="N446">
        <v>14.3</v>
      </c>
      <c r="O446">
        <v>9.6</v>
      </c>
      <c r="P446">
        <v>15.9</v>
      </c>
      <c r="Q446">
        <v>4.8</v>
      </c>
      <c r="R446">
        <v>9.9</v>
      </c>
      <c r="S446" t="s">
        <v>117</v>
      </c>
    </row>
    <row r="447" spans="1:19" x14ac:dyDescent="0.25">
      <c r="A447" t="s">
        <v>215</v>
      </c>
      <c r="B447">
        <v>40</v>
      </c>
      <c r="C447">
        <v>6.3</v>
      </c>
      <c r="D447">
        <v>6</v>
      </c>
      <c r="E447">
        <v>6.5</v>
      </c>
      <c r="F447">
        <v>12.2</v>
      </c>
      <c r="G447">
        <v>11.6</v>
      </c>
      <c r="H447">
        <v>15.4</v>
      </c>
      <c r="I447">
        <v>26.9</v>
      </c>
      <c r="J447">
        <v>22.7</v>
      </c>
      <c r="K447">
        <v>24.3</v>
      </c>
      <c r="L447">
        <v>25.5</v>
      </c>
      <c r="M447">
        <v>19.100000000000001</v>
      </c>
      <c r="N447">
        <v>15.3</v>
      </c>
      <c r="O447">
        <v>18.5</v>
      </c>
      <c r="P447">
        <v>26.1</v>
      </c>
      <c r="Q447">
        <v>27.2</v>
      </c>
      <c r="R447">
        <v>25.4</v>
      </c>
      <c r="S447" t="s">
        <v>117</v>
      </c>
    </row>
    <row r="448" spans="1:19" x14ac:dyDescent="0.25">
      <c r="A448" t="s">
        <v>219</v>
      </c>
      <c r="B448">
        <v>1118.8</v>
      </c>
      <c r="C448">
        <v>0.8</v>
      </c>
      <c r="D448">
        <v>3</v>
      </c>
      <c r="E448">
        <v>0.5</v>
      </c>
      <c r="F448">
        <v>0.2</v>
      </c>
      <c r="G448">
        <v>0.5</v>
      </c>
      <c r="H448">
        <v>2</v>
      </c>
      <c r="I448">
        <v>1.1000000000000001</v>
      </c>
      <c r="J448">
        <v>1.8</v>
      </c>
      <c r="K448">
        <v>3.7</v>
      </c>
      <c r="L448">
        <v>3.5</v>
      </c>
      <c r="M448">
        <v>1</v>
      </c>
      <c r="N448">
        <v>1</v>
      </c>
      <c r="O448">
        <v>0.7</v>
      </c>
      <c r="P448">
        <v>1.3</v>
      </c>
      <c r="Q448">
        <v>3.6</v>
      </c>
      <c r="R448">
        <v>10</v>
      </c>
      <c r="S448" t="s">
        <v>117</v>
      </c>
    </row>
    <row r="449" spans="1:19" x14ac:dyDescent="0.25">
      <c r="A449" t="s">
        <v>209</v>
      </c>
      <c r="B449">
        <v>113.2</v>
      </c>
      <c r="C449">
        <v>0.6</v>
      </c>
      <c r="D449">
        <v>0.9</v>
      </c>
      <c r="E449">
        <v>0.5</v>
      </c>
      <c r="F449">
        <v>0.5</v>
      </c>
      <c r="G449">
        <v>1.6</v>
      </c>
      <c r="H449">
        <v>0.8</v>
      </c>
      <c r="I449">
        <v>0.6</v>
      </c>
      <c r="J449">
        <v>0.9</v>
      </c>
      <c r="K449">
        <v>1.5</v>
      </c>
      <c r="L449">
        <v>2.7</v>
      </c>
      <c r="M449">
        <v>3</v>
      </c>
      <c r="N449">
        <v>3</v>
      </c>
      <c r="O449">
        <v>1.8</v>
      </c>
      <c r="P449">
        <v>1.9</v>
      </c>
      <c r="Q449">
        <v>2</v>
      </c>
      <c r="R449">
        <v>1.3</v>
      </c>
      <c r="S449" t="s">
        <v>117</v>
      </c>
    </row>
    <row r="450" spans="1:19" x14ac:dyDescent="0.25">
      <c r="A450" t="s">
        <v>208</v>
      </c>
      <c r="B450">
        <v>739.8</v>
      </c>
      <c r="C450">
        <v>0.2</v>
      </c>
      <c r="D450">
        <v>0.3</v>
      </c>
      <c r="E450">
        <v>0.2</v>
      </c>
      <c r="F450">
        <v>0.2</v>
      </c>
      <c r="G450">
        <v>0.3</v>
      </c>
      <c r="H450">
        <v>0.5</v>
      </c>
      <c r="I450">
        <v>0.5</v>
      </c>
      <c r="J450">
        <v>0.5</v>
      </c>
      <c r="K450">
        <v>0.4</v>
      </c>
      <c r="L450">
        <v>0.7</v>
      </c>
      <c r="M450">
        <v>0.3</v>
      </c>
      <c r="N450">
        <v>0.4</v>
      </c>
      <c r="O450">
        <v>0.5</v>
      </c>
      <c r="P450">
        <v>1.2</v>
      </c>
      <c r="Q450">
        <v>0.6</v>
      </c>
      <c r="R450">
        <v>0.6</v>
      </c>
      <c r="S450" t="s">
        <v>117</v>
      </c>
    </row>
    <row r="451" spans="1:19" x14ac:dyDescent="0.25">
      <c r="A451" t="s">
        <v>201</v>
      </c>
      <c r="B451" t="s">
        <v>162</v>
      </c>
      <c r="C451" t="s">
        <v>162</v>
      </c>
      <c r="D451" t="s">
        <v>162</v>
      </c>
      <c r="E451" t="s">
        <v>162</v>
      </c>
      <c r="F451" t="s">
        <v>162</v>
      </c>
      <c r="G451" t="s">
        <v>162</v>
      </c>
      <c r="H451" t="s">
        <v>162</v>
      </c>
      <c r="I451">
        <v>30.7</v>
      </c>
      <c r="J451">
        <v>20.9</v>
      </c>
      <c r="K451">
        <v>24.4</v>
      </c>
      <c r="L451">
        <v>28</v>
      </c>
      <c r="M451">
        <v>33.5</v>
      </c>
      <c r="N451">
        <v>17.100000000000001</v>
      </c>
      <c r="O451">
        <v>31.5</v>
      </c>
      <c r="P451">
        <v>57.4</v>
      </c>
      <c r="Q451">
        <v>62.8</v>
      </c>
      <c r="R451">
        <v>73.400000000000006</v>
      </c>
      <c r="S451" t="s">
        <v>117</v>
      </c>
    </row>
    <row r="452" spans="1:19" x14ac:dyDescent="0.25">
      <c r="A452" t="s">
        <v>163</v>
      </c>
      <c r="B452" t="s">
        <v>162</v>
      </c>
      <c r="C452" t="s">
        <v>162</v>
      </c>
      <c r="D452" t="s">
        <v>162</v>
      </c>
      <c r="E452" t="s">
        <v>162</v>
      </c>
      <c r="F452" t="s">
        <v>162</v>
      </c>
      <c r="G452">
        <v>96.6</v>
      </c>
      <c r="H452">
        <v>74.7</v>
      </c>
      <c r="I452">
        <v>85.1</v>
      </c>
      <c r="J452">
        <v>91</v>
      </c>
      <c r="K452">
        <v>83.6</v>
      </c>
      <c r="L452">
        <v>97.2</v>
      </c>
      <c r="M452">
        <v>73</v>
      </c>
      <c r="N452">
        <v>98.5</v>
      </c>
      <c r="O452">
        <v>84.8</v>
      </c>
      <c r="P452">
        <v>98.7</v>
      </c>
      <c r="Q452">
        <v>90</v>
      </c>
      <c r="R452">
        <v>97.6</v>
      </c>
      <c r="S452" t="s">
        <v>117</v>
      </c>
    </row>
    <row r="453" spans="1:19" x14ac:dyDescent="0.25">
      <c r="A453" t="s">
        <v>217</v>
      </c>
      <c r="B453" t="s">
        <v>162</v>
      </c>
      <c r="C453" t="s">
        <v>162</v>
      </c>
      <c r="D453" t="s">
        <v>162</v>
      </c>
      <c r="E453" t="s">
        <v>162</v>
      </c>
      <c r="F453" t="s">
        <v>162</v>
      </c>
      <c r="G453" t="s">
        <v>162</v>
      </c>
      <c r="H453" t="s">
        <v>162</v>
      </c>
      <c r="I453" t="s">
        <v>162</v>
      </c>
      <c r="J453">
        <v>0</v>
      </c>
      <c r="K453">
        <v>0.4</v>
      </c>
      <c r="L453">
        <v>2.2000000000000002</v>
      </c>
      <c r="M453">
        <v>1.7</v>
      </c>
      <c r="N453">
        <v>0</v>
      </c>
      <c r="O453">
        <v>0</v>
      </c>
      <c r="P453">
        <v>0</v>
      </c>
      <c r="Q453" t="s">
        <v>162</v>
      </c>
      <c r="R453" t="s">
        <v>162</v>
      </c>
      <c r="S453" t="s">
        <v>117</v>
      </c>
    </row>
    <row r="454" spans="1:19" x14ac:dyDescent="0.25">
      <c r="A454" t="s">
        <v>166</v>
      </c>
      <c r="B454" t="s">
        <v>162</v>
      </c>
      <c r="C454" t="s">
        <v>162</v>
      </c>
      <c r="D454" t="s">
        <v>162</v>
      </c>
      <c r="E454" t="s">
        <v>162</v>
      </c>
      <c r="F454" t="s">
        <v>162</v>
      </c>
      <c r="G454" t="s">
        <v>162</v>
      </c>
      <c r="H454" t="s">
        <v>162</v>
      </c>
      <c r="I454" t="s">
        <v>162</v>
      </c>
      <c r="J454">
        <v>27.4</v>
      </c>
      <c r="K454">
        <v>29.7</v>
      </c>
      <c r="L454">
        <v>31.1</v>
      </c>
      <c r="M454">
        <v>33.299999999999997</v>
      </c>
      <c r="N454">
        <v>27</v>
      </c>
      <c r="O454">
        <v>26.8</v>
      </c>
      <c r="P454">
        <v>24.4</v>
      </c>
      <c r="Q454">
        <v>33.299999999999997</v>
      </c>
      <c r="R454">
        <v>23.2</v>
      </c>
      <c r="S454" t="s">
        <v>117</v>
      </c>
    </row>
    <row r="455" spans="1:19" x14ac:dyDescent="0.25">
      <c r="A455" t="s">
        <v>211</v>
      </c>
      <c r="S455" t="s">
        <v>117</v>
      </c>
    </row>
    <row r="456" spans="1:19" x14ac:dyDescent="0.25">
      <c r="A456" t="s">
        <v>220</v>
      </c>
      <c r="B456">
        <v>1834</v>
      </c>
      <c r="C456">
        <v>7.4</v>
      </c>
      <c r="D456">
        <v>8.3000000000000007</v>
      </c>
      <c r="E456">
        <v>7.7</v>
      </c>
      <c r="F456">
        <v>7.4</v>
      </c>
      <c r="G456">
        <v>8</v>
      </c>
      <c r="H456">
        <v>8.6</v>
      </c>
      <c r="I456">
        <v>8.1</v>
      </c>
      <c r="J456">
        <v>9.3000000000000007</v>
      </c>
      <c r="K456">
        <v>9.4</v>
      </c>
      <c r="L456">
        <v>8.9</v>
      </c>
      <c r="M456">
        <v>8</v>
      </c>
      <c r="N456" t="s">
        <v>162</v>
      </c>
      <c r="O456" t="s">
        <v>162</v>
      </c>
      <c r="P456" t="s">
        <v>162</v>
      </c>
      <c r="Q456" t="s">
        <v>162</v>
      </c>
      <c r="R456" t="s">
        <v>162</v>
      </c>
      <c r="S456" t="s">
        <v>117</v>
      </c>
    </row>
    <row r="457" spans="1:19" x14ac:dyDescent="0.25">
      <c r="A457" t="s">
        <v>212</v>
      </c>
      <c r="B457">
        <v>260.2</v>
      </c>
      <c r="C457">
        <v>1.8</v>
      </c>
      <c r="D457">
        <v>1.8</v>
      </c>
      <c r="E457">
        <v>1.1000000000000001</v>
      </c>
      <c r="F457">
        <v>1.1000000000000001</v>
      </c>
      <c r="G457">
        <v>2.2999999999999998</v>
      </c>
      <c r="H457">
        <v>2.5</v>
      </c>
      <c r="I457">
        <v>0.5</v>
      </c>
      <c r="J457" t="s">
        <v>162</v>
      </c>
      <c r="K457" t="s">
        <v>162</v>
      </c>
      <c r="L457" t="s">
        <v>162</v>
      </c>
      <c r="M457" t="s">
        <v>162</v>
      </c>
      <c r="N457" t="s">
        <v>162</v>
      </c>
      <c r="O457" t="s">
        <v>162</v>
      </c>
      <c r="P457" t="s">
        <v>162</v>
      </c>
      <c r="Q457" t="s">
        <v>162</v>
      </c>
      <c r="R457" t="s">
        <v>162</v>
      </c>
      <c r="S457" t="s">
        <v>117</v>
      </c>
    </row>
    <row r="458" spans="1:19" x14ac:dyDescent="0.25">
      <c r="A458" t="s">
        <v>213</v>
      </c>
      <c r="B458">
        <v>12833.3</v>
      </c>
      <c r="C458" t="s">
        <v>162</v>
      </c>
      <c r="D458" t="s">
        <v>162</v>
      </c>
      <c r="E458" t="s">
        <v>162</v>
      </c>
      <c r="F458" t="s">
        <v>162</v>
      </c>
      <c r="G458" t="s">
        <v>162</v>
      </c>
      <c r="H458" t="s">
        <v>162</v>
      </c>
      <c r="I458" t="s">
        <v>162</v>
      </c>
      <c r="J458" t="s">
        <v>162</v>
      </c>
      <c r="K458" t="s">
        <v>162</v>
      </c>
      <c r="L458" t="s">
        <v>162</v>
      </c>
      <c r="M458" t="s">
        <v>162</v>
      </c>
      <c r="N458" t="s">
        <v>162</v>
      </c>
      <c r="O458" t="s">
        <v>162</v>
      </c>
      <c r="P458" t="s">
        <v>162</v>
      </c>
      <c r="Q458" t="s">
        <v>162</v>
      </c>
      <c r="R458" t="s">
        <v>162</v>
      </c>
      <c r="S458" t="s">
        <v>117</v>
      </c>
    </row>
    <row r="459" spans="1:19" x14ac:dyDescent="0.25">
      <c r="A459" t="s">
        <v>214</v>
      </c>
      <c r="S459" t="s">
        <v>117</v>
      </c>
    </row>
    <row r="460" spans="1:19" x14ac:dyDescent="0.25">
      <c r="A460" t="s">
        <v>118</v>
      </c>
      <c r="S460" t="s">
        <v>118</v>
      </c>
    </row>
    <row r="461" spans="1:19" x14ac:dyDescent="0.25">
      <c r="A461" t="s">
        <v>198</v>
      </c>
      <c r="B461" t="s">
        <v>257</v>
      </c>
      <c r="C461" t="s">
        <v>256</v>
      </c>
      <c r="D461" t="s">
        <v>181</v>
      </c>
      <c r="E461" t="s">
        <v>180</v>
      </c>
      <c r="F461" t="s">
        <v>179</v>
      </c>
      <c r="G461" t="s">
        <v>178</v>
      </c>
      <c r="H461" t="s">
        <v>177</v>
      </c>
      <c r="I461" t="s">
        <v>176</v>
      </c>
      <c r="J461" t="s">
        <v>175</v>
      </c>
      <c r="K461" t="s">
        <v>174</v>
      </c>
      <c r="L461" t="s">
        <v>173</v>
      </c>
      <c r="M461" t="s">
        <v>172</v>
      </c>
      <c r="N461" t="s">
        <v>171</v>
      </c>
      <c r="O461" t="s">
        <v>170</v>
      </c>
      <c r="P461" t="s">
        <v>169</v>
      </c>
      <c r="Q461" t="s">
        <v>168</v>
      </c>
      <c r="R461" t="s">
        <v>167</v>
      </c>
      <c r="S461" t="s">
        <v>118</v>
      </c>
    </row>
    <row r="462" spans="1:19" x14ac:dyDescent="0.25">
      <c r="A462" t="s">
        <v>199</v>
      </c>
      <c r="S462" t="s">
        <v>118</v>
      </c>
    </row>
    <row r="463" spans="1:19" x14ac:dyDescent="0.25">
      <c r="A463" t="s">
        <v>163</v>
      </c>
      <c r="B463">
        <v>3318</v>
      </c>
      <c r="C463">
        <v>96.3</v>
      </c>
      <c r="D463">
        <v>81.7</v>
      </c>
      <c r="E463">
        <v>95.3</v>
      </c>
      <c r="F463">
        <v>84.6</v>
      </c>
      <c r="G463">
        <v>91.9</v>
      </c>
      <c r="H463">
        <v>84.4</v>
      </c>
      <c r="I463">
        <v>89.7</v>
      </c>
      <c r="J463">
        <v>87.5</v>
      </c>
      <c r="K463">
        <v>84.2</v>
      </c>
      <c r="L463">
        <v>89.6</v>
      </c>
      <c r="M463">
        <v>84</v>
      </c>
      <c r="N463">
        <v>81.099999999999994</v>
      </c>
      <c r="O463">
        <v>94.9</v>
      </c>
      <c r="P463">
        <v>85.7</v>
      </c>
      <c r="Q463">
        <v>63.2</v>
      </c>
      <c r="R463">
        <v>90.3</v>
      </c>
      <c r="S463" t="s">
        <v>118</v>
      </c>
    </row>
    <row r="464" spans="1:19" x14ac:dyDescent="0.25">
      <c r="A464" t="s">
        <v>203</v>
      </c>
      <c r="B464">
        <v>263.8</v>
      </c>
      <c r="C464">
        <v>60.4</v>
      </c>
      <c r="D464">
        <v>59.9</v>
      </c>
      <c r="E464">
        <v>58</v>
      </c>
      <c r="F464">
        <v>73.099999999999994</v>
      </c>
      <c r="G464">
        <v>68.900000000000006</v>
      </c>
      <c r="H464">
        <v>66.400000000000006</v>
      </c>
      <c r="I464">
        <v>71.8</v>
      </c>
      <c r="J464">
        <v>66.900000000000006</v>
      </c>
      <c r="K464">
        <v>51.7</v>
      </c>
      <c r="L464">
        <v>54.8</v>
      </c>
      <c r="M464">
        <v>48.9</v>
      </c>
      <c r="N464">
        <v>57.8</v>
      </c>
      <c r="O464">
        <v>64.7</v>
      </c>
      <c r="P464">
        <v>59.9</v>
      </c>
      <c r="Q464">
        <v>61.9</v>
      </c>
      <c r="R464">
        <v>61.7</v>
      </c>
      <c r="S464" t="s">
        <v>118</v>
      </c>
    </row>
    <row r="465" spans="1:19" x14ac:dyDescent="0.25">
      <c r="A465" t="s">
        <v>202</v>
      </c>
      <c r="B465">
        <v>7691.6</v>
      </c>
      <c r="C465">
        <v>58.9</v>
      </c>
      <c r="D465">
        <v>58.7</v>
      </c>
      <c r="E465">
        <v>54.8</v>
      </c>
      <c r="F465">
        <v>63.9</v>
      </c>
      <c r="G465">
        <v>64.3</v>
      </c>
      <c r="H465">
        <v>57.9</v>
      </c>
      <c r="I465">
        <v>51.6</v>
      </c>
      <c r="J465">
        <v>56.7</v>
      </c>
      <c r="K465">
        <v>41.1</v>
      </c>
      <c r="L465">
        <v>24.5</v>
      </c>
      <c r="M465">
        <v>23.7</v>
      </c>
      <c r="N465">
        <v>45.1</v>
      </c>
      <c r="O465">
        <v>27.8</v>
      </c>
      <c r="P465">
        <v>24.9</v>
      </c>
      <c r="Q465">
        <v>18.100000000000001</v>
      </c>
      <c r="R465">
        <v>19.600000000000001</v>
      </c>
      <c r="S465" t="s">
        <v>118</v>
      </c>
    </row>
    <row r="466" spans="1:19" x14ac:dyDescent="0.25">
      <c r="A466" t="s">
        <v>200</v>
      </c>
      <c r="B466">
        <v>167.8</v>
      </c>
      <c r="C466">
        <v>54.7</v>
      </c>
      <c r="D466">
        <v>56.7</v>
      </c>
      <c r="E466">
        <v>65.400000000000006</v>
      </c>
      <c r="F466">
        <v>69.7</v>
      </c>
      <c r="G466">
        <v>63.1</v>
      </c>
      <c r="H466">
        <v>55.1</v>
      </c>
      <c r="I466">
        <v>57.4</v>
      </c>
      <c r="J466">
        <v>57</v>
      </c>
      <c r="K466">
        <v>63</v>
      </c>
      <c r="L466">
        <v>65.599999999999994</v>
      </c>
      <c r="M466">
        <v>64.2</v>
      </c>
      <c r="N466">
        <v>66.5</v>
      </c>
      <c r="O466">
        <v>61.4</v>
      </c>
      <c r="P466">
        <v>59.3</v>
      </c>
      <c r="Q466">
        <v>66.099999999999994</v>
      </c>
      <c r="R466">
        <v>59.8</v>
      </c>
      <c r="S466" t="s">
        <v>118</v>
      </c>
    </row>
    <row r="467" spans="1:19" x14ac:dyDescent="0.25">
      <c r="A467" t="s">
        <v>165</v>
      </c>
      <c r="B467">
        <v>322.60000000000002</v>
      </c>
      <c r="C467">
        <v>51.4</v>
      </c>
      <c r="D467">
        <v>59.6</v>
      </c>
      <c r="E467">
        <v>57.2</v>
      </c>
      <c r="F467">
        <v>48.3</v>
      </c>
      <c r="G467">
        <v>56.2</v>
      </c>
      <c r="H467">
        <v>62.4</v>
      </c>
      <c r="I467">
        <v>59.8</v>
      </c>
      <c r="J467">
        <v>60.9</v>
      </c>
      <c r="K467">
        <v>58</v>
      </c>
      <c r="L467">
        <v>68.3</v>
      </c>
      <c r="M467">
        <v>67.3</v>
      </c>
      <c r="N467">
        <v>66.7</v>
      </c>
      <c r="O467">
        <v>71.400000000000006</v>
      </c>
      <c r="P467">
        <v>71.5</v>
      </c>
      <c r="Q467">
        <v>65</v>
      </c>
      <c r="R467">
        <v>71.7</v>
      </c>
      <c r="S467" t="s">
        <v>118</v>
      </c>
    </row>
    <row r="468" spans="1:19" x14ac:dyDescent="0.25">
      <c r="A468" t="s">
        <v>217</v>
      </c>
      <c r="B468">
        <v>3.8</v>
      </c>
      <c r="C468">
        <v>47.7</v>
      </c>
      <c r="D468">
        <v>45.8</v>
      </c>
      <c r="E468" t="s">
        <v>162</v>
      </c>
      <c r="F468" t="s">
        <v>162</v>
      </c>
      <c r="G468" t="s">
        <v>162</v>
      </c>
      <c r="H468" t="s">
        <v>162</v>
      </c>
      <c r="I468" t="s">
        <v>162</v>
      </c>
      <c r="J468" t="s">
        <v>162</v>
      </c>
      <c r="K468" t="s">
        <v>162</v>
      </c>
      <c r="L468">
        <v>52.5</v>
      </c>
      <c r="M468" t="s">
        <v>162</v>
      </c>
      <c r="N468" t="s">
        <v>162</v>
      </c>
      <c r="O468" t="s">
        <v>162</v>
      </c>
      <c r="P468" t="s">
        <v>162</v>
      </c>
      <c r="Q468" t="s">
        <v>162</v>
      </c>
      <c r="R468" t="s">
        <v>162</v>
      </c>
      <c r="S468" t="s">
        <v>118</v>
      </c>
    </row>
    <row r="469" spans="1:19" x14ac:dyDescent="0.25">
      <c r="A469" t="s">
        <v>201</v>
      </c>
      <c r="B469">
        <v>5961.7</v>
      </c>
      <c r="C469">
        <v>47.6</v>
      </c>
      <c r="D469">
        <v>52.5</v>
      </c>
      <c r="E469">
        <v>53.8</v>
      </c>
      <c r="F469">
        <v>39.1</v>
      </c>
      <c r="G469">
        <v>50.5</v>
      </c>
      <c r="H469">
        <v>54.4</v>
      </c>
      <c r="I469">
        <v>52.9</v>
      </c>
      <c r="J469">
        <v>48.2</v>
      </c>
      <c r="K469">
        <v>56.9</v>
      </c>
      <c r="L469">
        <v>56.4</v>
      </c>
      <c r="M469">
        <v>59.4</v>
      </c>
      <c r="N469">
        <v>55.1</v>
      </c>
      <c r="O469">
        <v>60.2</v>
      </c>
      <c r="P469">
        <v>65.900000000000006</v>
      </c>
      <c r="Q469">
        <v>64.900000000000006</v>
      </c>
      <c r="R469">
        <v>67.599999999999994</v>
      </c>
      <c r="S469" t="s">
        <v>118</v>
      </c>
    </row>
    <row r="470" spans="1:19" x14ac:dyDescent="0.25">
      <c r="A470" t="s">
        <v>219</v>
      </c>
      <c r="B470">
        <v>47.2</v>
      </c>
      <c r="C470">
        <v>45.4</v>
      </c>
      <c r="D470">
        <v>40.5</v>
      </c>
      <c r="E470">
        <v>39.799999999999997</v>
      </c>
      <c r="F470">
        <v>42.8</v>
      </c>
      <c r="G470">
        <v>41.3</v>
      </c>
      <c r="H470">
        <v>38</v>
      </c>
      <c r="I470">
        <v>40.4</v>
      </c>
      <c r="J470">
        <v>44.3</v>
      </c>
      <c r="K470">
        <v>47.1</v>
      </c>
      <c r="L470">
        <v>42.9</v>
      </c>
      <c r="M470">
        <v>45.3</v>
      </c>
      <c r="N470">
        <v>48.7</v>
      </c>
      <c r="O470">
        <v>46.2</v>
      </c>
      <c r="P470">
        <v>42.3</v>
      </c>
      <c r="Q470">
        <v>40.9</v>
      </c>
      <c r="R470">
        <v>51.5</v>
      </c>
      <c r="S470" t="s">
        <v>118</v>
      </c>
    </row>
    <row r="471" spans="1:19" x14ac:dyDescent="0.25">
      <c r="A471" t="s">
        <v>215</v>
      </c>
      <c r="B471">
        <v>359.6</v>
      </c>
      <c r="C471">
        <v>29.2</v>
      </c>
      <c r="D471">
        <v>28.3</v>
      </c>
      <c r="E471">
        <v>31.4</v>
      </c>
      <c r="F471">
        <v>30.1</v>
      </c>
      <c r="G471">
        <v>28.3</v>
      </c>
      <c r="H471">
        <v>6.5</v>
      </c>
      <c r="I471">
        <v>3</v>
      </c>
      <c r="J471">
        <v>2</v>
      </c>
      <c r="K471">
        <v>1.3</v>
      </c>
      <c r="L471">
        <v>0.1</v>
      </c>
      <c r="M471">
        <v>0.4</v>
      </c>
      <c r="N471">
        <v>0.5</v>
      </c>
      <c r="O471">
        <v>0.4</v>
      </c>
      <c r="P471">
        <v>0.2</v>
      </c>
      <c r="Q471">
        <v>0.1</v>
      </c>
      <c r="R471">
        <v>0.2</v>
      </c>
      <c r="S471" t="s">
        <v>118</v>
      </c>
    </row>
    <row r="472" spans="1:19" x14ac:dyDescent="0.25">
      <c r="A472" t="s">
        <v>206</v>
      </c>
      <c r="B472">
        <v>3570</v>
      </c>
      <c r="C472">
        <v>28.6</v>
      </c>
      <c r="D472">
        <v>20.399999999999999</v>
      </c>
      <c r="E472">
        <v>18.5</v>
      </c>
      <c r="F472">
        <v>24.3</v>
      </c>
      <c r="G472">
        <v>19.5</v>
      </c>
      <c r="H472">
        <v>19.8</v>
      </c>
      <c r="I472">
        <v>14.2</v>
      </c>
      <c r="J472">
        <v>20.100000000000001</v>
      </c>
      <c r="K472">
        <v>12.3</v>
      </c>
      <c r="L472">
        <v>8.1999999999999993</v>
      </c>
      <c r="M472">
        <v>8.4</v>
      </c>
      <c r="N472">
        <v>6.5</v>
      </c>
      <c r="O472">
        <v>3.1</v>
      </c>
      <c r="P472">
        <v>4.0999999999999996</v>
      </c>
      <c r="Q472">
        <v>2.1</v>
      </c>
      <c r="R472">
        <v>2.5</v>
      </c>
      <c r="S472" t="s">
        <v>118</v>
      </c>
    </row>
    <row r="473" spans="1:19" x14ac:dyDescent="0.25">
      <c r="A473" t="s">
        <v>216</v>
      </c>
      <c r="B473">
        <v>3464.4</v>
      </c>
      <c r="C473">
        <v>27.1</v>
      </c>
      <c r="D473">
        <v>32.200000000000003</v>
      </c>
      <c r="E473">
        <v>29.5</v>
      </c>
      <c r="F473">
        <v>32.6</v>
      </c>
      <c r="G473">
        <v>32.5</v>
      </c>
      <c r="H473">
        <v>32.700000000000003</v>
      </c>
      <c r="I473">
        <v>37.299999999999997</v>
      </c>
      <c r="J473" t="s">
        <v>162</v>
      </c>
      <c r="K473" t="s">
        <v>162</v>
      </c>
      <c r="L473" t="s">
        <v>162</v>
      </c>
      <c r="M473" t="s">
        <v>162</v>
      </c>
      <c r="N473" t="s">
        <v>162</v>
      </c>
      <c r="O473" t="s">
        <v>162</v>
      </c>
      <c r="P473" t="s">
        <v>162</v>
      </c>
      <c r="Q473" t="s">
        <v>162</v>
      </c>
      <c r="R473" t="s">
        <v>162</v>
      </c>
      <c r="S473" t="s">
        <v>118</v>
      </c>
    </row>
    <row r="474" spans="1:19" x14ac:dyDescent="0.25">
      <c r="A474" t="s">
        <v>204</v>
      </c>
      <c r="B474">
        <v>742.7</v>
      </c>
      <c r="C474">
        <v>19.5</v>
      </c>
      <c r="D474">
        <v>21.2</v>
      </c>
      <c r="E474">
        <v>19.8</v>
      </c>
      <c r="F474">
        <v>17</v>
      </c>
      <c r="G474">
        <v>16.3</v>
      </c>
      <c r="H474">
        <v>15.3</v>
      </c>
      <c r="I474">
        <v>16.3</v>
      </c>
      <c r="J474">
        <v>14.7</v>
      </c>
      <c r="K474">
        <v>12.1</v>
      </c>
      <c r="L474" t="s">
        <v>162</v>
      </c>
      <c r="M474" t="s">
        <v>162</v>
      </c>
      <c r="N474" t="s">
        <v>162</v>
      </c>
      <c r="O474" t="s">
        <v>162</v>
      </c>
      <c r="P474" t="s">
        <v>162</v>
      </c>
      <c r="Q474" t="s">
        <v>162</v>
      </c>
      <c r="R474" t="s">
        <v>162</v>
      </c>
      <c r="S474" t="s">
        <v>118</v>
      </c>
    </row>
    <row r="475" spans="1:19" x14ac:dyDescent="0.25">
      <c r="A475" t="s">
        <v>205</v>
      </c>
      <c r="B475">
        <v>2153.9</v>
      </c>
      <c r="C475">
        <v>6.7</v>
      </c>
      <c r="D475">
        <v>4.3</v>
      </c>
      <c r="E475">
        <v>6.5</v>
      </c>
      <c r="F475">
        <v>7.9</v>
      </c>
      <c r="G475">
        <v>7.8</v>
      </c>
      <c r="H475">
        <v>5.9</v>
      </c>
      <c r="I475">
        <v>5</v>
      </c>
      <c r="J475">
        <v>4.3</v>
      </c>
      <c r="K475">
        <v>2.2999999999999998</v>
      </c>
      <c r="L475">
        <v>8.8000000000000007</v>
      </c>
      <c r="M475">
        <v>8</v>
      </c>
      <c r="N475">
        <v>3.8</v>
      </c>
      <c r="O475">
        <v>1.8</v>
      </c>
      <c r="P475">
        <v>2.7</v>
      </c>
      <c r="Q475">
        <v>1.1000000000000001</v>
      </c>
      <c r="R475">
        <v>2.1</v>
      </c>
      <c r="S475" t="s">
        <v>118</v>
      </c>
    </row>
    <row r="476" spans="1:19" x14ac:dyDescent="0.25">
      <c r="A476" t="s">
        <v>209</v>
      </c>
      <c r="B476">
        <v>246.6</v>
      </c>
      <c r="C476">
        <v>0.2</v>
      </c>
      <c r="D476">
        <v>0.3</v>
      </c>
      <c r="E476">
        <v>0.3</v>
      </c>
      <c r="F476">
        <v>0.1</v>
      </c>
      <c r="G476">
        <v>0.1</v>
      </c>
      <c r="H476">
        <v>0.1</v>
      </c>
      <c r="I476">
        <v>0.1</v>
      </c>
      <c r="J476">
        <v>0.1</v>
      </c>
      <c r="K476">
        <v>0</v>
      </c>
      <c r="L476">
        <v>0.1</v>
      </c>
      <c r="M476">
        <v>0.1</v>
      </c>
      <c r="N476">
        <v>0.3</v>
      </c>
      <c r="O476">
        <v>0.3</v>
      </c>
      <c r="P476">
        <v>0.2</v>
      </c>
      <c r="Q476">
        <v>0.4</v>
      </c>
      <c r="R476">
        <v>0.2</v>
      </c>
      <c r="S476" t="s">
        <v>118</v>
      </c>
    </row>
    <row r="477" spans="1:19" x14ac:dyDescent="0.25">
      <c r="A477" t="s">
        <v>208</v>
      </c>
      <c r="B477">
        <v>203.6</v>
      </c>
      <c r="C477">
        <v>0.1</v>
      </c>
      <c r="D477">
        <v>0.2</v>
      </c>
      <c r="E477">
        <v>0.3</v>
      </c>
      <c r="F477">
        <v>0.1</v>
      </c>
      <c r="G477">
        <v>0</v>
      </c>
      <c r="H477">
        <v>0.6</v>
      </c>
      <c r="I477">
        <v>0.3</v>
      </c>
      <c r="J477">
        <v>0.4</v>
      </c>
      <c r="K477">
        <v>0.1</v>
      </c>
      <c r="L477">
        <v>0.2</v>
      </c>
      <c r="M477">
        <v>0.1</v>
      </c>
      <c r="N477">
        <v>0.1</v>
      </c>
      <c r="O477">
        <v>0.2</v>
      </c>
      <c r="P477">
        <v>0.2</v>
      </c>
      <c r="Q477">
        <v>0.3</v>
      </c>
      <c r="R477">
        <v>0.3</v>
      </c>
      <c r="S477" t="s">
        <v>118</v>
      </c>
    </row>
    <row r="478" spans="1:19" x14ac:dyDescent="0.25">
      <c r="A478" t="s">
        <v>207</v>
      </c>
      <c r="B478">
        <v>250</v>
      </c>
      <c r="C478">
        <v>0</v>
      </c>
      <c r="D478">
        <v>74.3</v>
      </c>
      <c r="E478">
        <v>66.5</v>
      </c>
      <c r="F478">
        <v>71.5</v>
      </c>
      <c r="G478">
        <v>80.7</v>
      </c>
      <c r="H478">
        <v>75</v>
      </c>
      <c r="I478">
        <v>77.3</v>
      </c>
      <c r="J478">
        <v>74.599999999999994</v>
      </c>
      <c r="K478">
        <v>53.6</v>
      </c>
      <c r="L478" t="s">
        <v>162</v>
      </c>
      <c r="M478" t="s">
        <v>162</v>
      </c>
      <c r="N478" t="s">
        <v>162</v>
      </c>
      <c r="O478" t="s">
        <v>162</v>
      </c>
      <c r="P478" t="s">
        <v>162</v>
      </c>
      <c r="Q478" t="s">
        <v>162</v>
      </c>
      <c r="R478" t="s">
        <v>162</v>
      </c>
      <c r="S478" t="s">
        <v>118</v>
      </c>
    </row>
    <row r="479" spans="1:19" x14ac:dyDescent="0.25">
      <c r="A479" t="s">
        <v>166</v>
      </c>
      <c r="B479" t="s">
        <v>162</v>
      </c>
      <c r="C479" t="s">
        <v>162</v>
      </c>
      <c r="D479" t="s">
        <v>162</v>
      </c>
      <c r="E479" t="s">
        <v>162</v>
      </c>
      <c r="F479" t="s">
        <v>162</v>
      </c>
      <c r="G479" t="s">
        <v>162</v>
      </c>
      <c r="H479" t="s">
        <v>162</v>
      </c>
      <c r="I479" t="s">
        <v>162</v>
      </c>
      <c r="J479">
        <v>39.1</v>
      </c>
      <c r="K479">
        <v>40.299999999999997</v>
      </c>
      <c r="L479">
        <v>37.4</v>
      </c>
      <c r="M479">
        <v>34.4</v>
      </c>
      <c r="N479">
        <v>30.5</v>
      </c>
      <c r="O479">
        <v>27.7</v>
      </c>
      <c r="P479">
        <v>25.3</v>
      </c>
      <c r="Q479">
        <v>26.6</v>
      </c>
      <c r="R479">
        <v>26.2</v>
      </c>
      <c r="S479" t="s">
        <v>118</v>
      </c>
    </row>
    <row r="480" spans="1:19" x14ac:dyDescent="0.25">
      <c r="A480" t="s">
        <v>211</v>
      </c>
      <c r="S480" t="s">
        <v>118</v>
      </c>
    </row>
    <row r="481" spans="1:19" x14ac:dyDescent="0.25">
      <c r="A481" t="s">
        <v>220</v>
      </c>
      <c r="B481">
        <v>2185.6</v>
      </c>
      <c r="C481">
        <v>11.9</v>
      </c>
      <c r="D481">
        <v>12.6</v>
      </c>
      <c r="E481">
        <v>10.3</v>
      </c>
      <c r="F481">
        <v>12.2</v>
      </c>
      <c r="G481">
        <v>9.8000000000000007</v>
      </c>
      <c r="H481">
        <v>9.5</v>
      </c>
      <c r="I481">
        <v>9.3000000000000007</v>
      </c>
      <c r="J481">
        <v>10.3</v>
      </c>
      <c r="K481">
        <v>6.8</v>
      </c>
      <c r="L481">
        <v>10.1</v>
      </c>
      <c r="M481">
        <v>12.8</v>
      </c>
      <c r="N481" t="s">
        <v>162</v>
      </c>
      <c r="O481" t="s">
        <v>162</v>
      </c>
      <c r="P481" t="s">
        <v>162</v>
      </c>
      <c r="Q481" t="s">
        <v>162</v>
      </c>
      <c r="R481" t="s">
        <v>162</v>
      </c>
      <c r="S481" t="s">
        <v>118</v>
      </c>
    </row>
    <row r="482" spans="1:19" x14ac:dyDescent="0.25">
      <c r="A482" t="s">
        <v>212</v>
      </c>
      <c r="B482">
        <v>1.3</v>
      </c>
      <c r="C482">
        <v>0.6</v>
      </c>
      <c r="D482">
        <v>0.6</v>
      </c>
      <c r="E482">
        <v>0.8</v>
      </c>
      <c r="F482">
        <v>1</v>
      </c>
      <c r="G482">
        <v>1.2</v>
      </c>
      <c r="H482">
        <v>0.5</v>
      </c>
      <c r="I482" t="s">
        <v>162</v>
      </c>
      <c r="J482" t="s">
        <v>162</v>
      </c>
      <c r="K482" t="s">
        <v>162</v>
      </c>
      <c r="L482" t="s">
        <v>162</v>
      </c>
      <c r="M482" t="s">
        <v>162</v>
      </c>
      <c r="N482" t="s">
        <v>162</v>
      </c>
      <c r="O482" t="s">
        <v>162</v>
      </c>
      <c r="P482" t="s">
        <v>162</v>
      </c>
      <c r="Q482" t="s">
        <v>162</v>
      </c>
      <c r="R482" t="s">
        <v>162</v>
      </c>
      <c r="S482" t="s">
        <v>118</v>
      </c>
    </row>
    <row r="483" spans="1:19" x14ac:dyDescent="0.25">
      <c r="A483" t="s">
        <v>213</v>
      </c>
      <c r="B483">
        <v>30954.1</v>
      </c>
      <c r="C483" t="s">
        <v>162</v>
      </c>
      <c r="D483" t="s">
        <v>162</v>
      </c>
      <c r="E483" t="s">
        <v>162</v>
      </c>
      <c r="F483" t="s">
        <v>162</v>
      </c>
      <c r="G483" t="s">
        <v>162</v>
      </c>
      <c r="H483" t="s">
        <v>162</v>
      </c>
      <c r="I483" t="s">
        <v>162</v>
      </c>
      <c r="J483" t="s">
        <v>162</v>
      </c>
      <c r="K483" t="s">
        <v>162</v>
      </c>
      <c r="L483" t="s">
        <v>162</v>
      </c>
      <c r="M483" t="s">
        <v>162</v>
      </c>
      <c r="N483" t="s">
        <v>162</v>
      </c>
      <c r="O483" t="s">
        <v>162</v>
      </c>
      <c r="P483" t="s">
        <v>162</v>
      </c>
      <c r="Q483" t="s">
        <v>162</v>
      </c>
      <c r="R483" t="s">
        <v>162</v>
      </c>
      <c r="S483" t="s">
        <v>118</v>
      </c>
    </row>
    <row r="484" spans="1:19" x14ac:dyDescent="0.25">
      <c r="A484" t="s">
        <v>214</v>
      </c>
      <c r="S484" t="s">
        <v>118</v>
      </c>
    </row>
    <row r="485" spans="1:19" x14ac:dyDescent="0.25">
      <c r="A485" t="s">
        <v>119</v>
      </c>
      <c r="S485" t="s">
        <v>119</v>
      </c>
    </row>
    <row r="486" spans="1:19" x14ac:dyDescent="0.25">
      <c r="A486" t="s">
        <v>198</v>
      </c>
      <c r="B486" t="s">
        <v>257</v>
      </c>
      <c r="C486" t="s">
        <v>256</v>
      </c>
      <c r="D486" t="s">
        <v>181</v>
      </c>
      <c r="E486" t="s">
        <v>180</v>
      </c>
      <c r="F486" t="s">
        <v>179</v>
      </c>
      <c r="G486" t="s">
        <v>178</v>
      </c>
      <c r="H486" t="s">
        <v>177</v>
      </c>
      <c r="I486" t="s">
        <v>176</v>
      </c>
      <c r="J486" t="s">
        <v>175</v>
      </c>
      <c r="K486" t="s">
        <v>174</v>
      </c>
      <c r="L486" t="s">
        <v>173</v>
      </c>
      <c r="M486" t="s">
        <v>172</v>
      </c>
      <c r="N486" t="s">
        <v>171</v>
      </c>
      <c r="O486" t="s">
        <v>170</v>
      </c>
      <c r="P486" t="s">
        <v>169</v>
      </c>
      <c r="Q486" t="s">
        <v>168</v>
      </c>
      <c r="R486" t="s">
        <v>167</v>
      </c>
      <c r="S486" t="s">
        <v>119</v>
      </c>
    </row>
    <row r="487" spans="1:19" x14ac:dyDescent="0.25">
      <c r="A487" t="s">
        <v>199</v>
      </c>
      <c r="S487" t="s">
        <v>119</v>
      </c>
    </row>
    <row r="488" spans="1:19" x14ac:dyDescent="0.25">
      <c r="A488" t="s">
        <v>217</v>
      </c>
      <c r="B488">
        <v>6.1</v>
      </c>
      <c r="C488">
        <v>92.5</v>
      </c>
      <c r="D488">
        <v>106.9</v>
      </c>
      <c r="E488">
        <v>108.9</v>
      </c>
      <c r="F488">
        <v>54.4</v>
      </c>
      <c r="G488">
        <v>68.3</v>
      </c>
      <c r="H488">
        <v>72.7</v>
      </c>
      <c r="I488">
        <v>68.5</v>
      </c>
      <c r="J488">
        <v>72.8</v>
      </c>
      <c r="K488">
        <v>70.2</v>
      </c>
      <c r="L488">
        <v>68</v>
      </c>
      <c r="M488">
        <v>66.099999999999994</v>
      </c>
      <c r="N488">
        <v>59.9</v>
      </c>
      <c r="O488">
        <v>44.2</v>
      </c>
      <c r="P488">
        <v>22.4</v>
      </c>
      <c r="Q488">
        <v>54.5</v>
      </c>
      <c r="R488">
        <v>42.4</v>
      </c>
      <c r="S488" t="s">
        <v>119</v>
      </c>
    </row>
    <row r="489" spans="1:19" x14ac:dyDescent="0.25">
      <c r="A489" t="s">
        <v>163</v>
      </c>
      <c r="B489">
        <v>1657</v>
      </c>
      <c r="C489">
        <v>82.1</v>
      </c>
      <c r="D489">
        <v>101.2</v>
      </c>
      <c r="E489">
        <v>97.3</v>
      </c>
      <c r="F489">
        <v>100.8</v>
      </c>
      <c r="G489">
        <v>97.2</v>
      </c>
      <c r="H489">
        <v>100.6</v>
      </c>
      <c r="I489">
        <v>95.8</v>
      </c>
      <c r="J489">
        <v>95.3</v>
      </c>
      <c r="K489">
        <v>83.5</v>
      </c>
      <c r="L489">
        <v>91</v>
      </c>
      <c r="M489">
        <v>76.5</v>
      </c>
      <c r="N489">
        <v>85.4</v>
      </c>
      <c r="O489">
        <v>85.7</v>
      </c>
      <c r="P489">
        <v>96.5</v>
      </c>
      <c r="Q489">
        <v>84.9</v>
      </c>
      <c r="R489">
        <v>88.7</v>
      </c>
      <c r="S489" t="s">
        <v>119</v>
      </c>
    </row>
    <row r="490" spans="1:19" x14ac:dyDescent="0.25">
      <c r="A490" t="s">
        <v>200</v>
      </c>
      <c r="B490">
        <v>110.6</v>
      </c>
      <c r="C490">
        <v>57.7</v>
      </c>
      <c r="D490">
        <v>56.5</v>
      </c>
      <c r="E490">
        <v>58.5</v>
      </c>
      <c r="F490">
        <v>59</v>
      </c>
      <c r="G490">
        <v>59.8</v>
      </c>
      <c r="H490">
        <v>59.4</v>
      </c>
      <c r="I490">
        <v>59.2</v>
      </c>
      <c r="J490">
        <v>62.5</v>
      </c>
      <c r="K490">
        <v>59.9</v>
      </c>
      <c r="L490">
        <v>63.6</v>
      </c>
      <c r="M490">
        <v>56</v>
      </c>
      <c r="N490">
        <v>72.599999999999994</v>
      </c>
      <c r="O490">
        <v>63.6</v>
      </c>
      <c r="P490">
        <v>59.7</v>
      </c>
      <c r="Q490">
        <v>61.1</v>
      </c>
      <c r="R490">
        <v>61</v>
      </c>
      <c r="S490" t="s">
        <v>119</v>
      </c>
    </row>
    <row r="491" spans="1:19" x14ac:dyDescent="0.25">
      <c r="A491" t="s">
        <v>165</v>
      </c>
      <c r="B491">
        <v>206</v>
      </c>
      <c r="C491">
        <v>54.5</v>
      </c>
      <c r="D491">
        <v>56.7</v>
      </c>
      <c r="E491">
        <v>59.7</v>
      </c>
      <c r="F491">
        <v>52.4</v>
      </c>
      <c r="G491">
        <v>48.9</v>
      </c>
      <c r="H491">
        <v>48.5</v>
      </c>
      <c r="I491">
        <v>56.3</v>
      </c>
      <c r="J491">
        <v>53.2</v>
      </c>
      <c r="K491">
        <v>52.7</v>
      </c>
      <c r="L491">
        <v>46.4</v>
      </c>
      <c r="M491">
        <v>46.9</v>
      </c>
      <c r="N491">
        <v>47.1</v>
      </c>
      <c r="O491">
        <v>39.6</v>
      </c>
      <c r="P491">
        <v>51.1</v>
      </c>
      <c r="Q491">
        <v>44.5</v>
      </c>
      <c r="R491">
        <v>48.6</v>
      </c>
      <c r="S491" t="s">
        <v>119</v>
      </c>
    </row>
    <row r="492" spans="1:19" x14ac:dyDescent="0.25">
      <c r="A492" t="s">
        <v>202</v>
      </c>
      <c r="B492">
        <v>2532.9</v>
      </c>
      <c r="C492">
        <v>50.9</v>
      </c>
      <c r="D492">
        <v>32</v>
      </c>
      <c r="E492">
        <v>47.4</v>
      </c>
      <c r="F492">
        <v>47.2</v>
      </c>
      <c r="G492">
        <v>53.8</v>
      </c>
      <c r="H492">
        <v>37.5</v>
      </c>
      <c r="I492">
        <v>30.9</v>
      </c>
      <c r="J492">
        <v>39.799999999999997</v>
      </c>
      <c r="K492">
        <v>35</v>
      </c>
      <c r="L492">
        <v>17.7</v>
      </c>
      <c r="M492">
        <v>27.8</v>
      </c>
      <c r="N492">
        <v>29.8</v>
      </c>
      <c r="O492">
        <v>12.7</v>
      </c>
      <c r="P492">
        <v>17</v>
      </c>
      <c r="Q492">
        <v>10.6</v>
      </c>
      <c r="R492">
        <v>13.1</v>
      </c>
      <c r="S492" t="s">
        <v>119</v>
      </c>
    </row>
    <row r="493" spans="1:19" x14ac:dyDescent="0.25">
      <c r="A493" t="s">
        <v>203</v>
      </c>
      <c r="B493">
        <v>212</v>
      </c>
      <c r="C493">
        <v>40.4</v>
      </c>
      <c r="D493">
        <v>51.2</v>
      </c>
      <c r="E493">
        <v>36.1</v>
      </c>
      <c r="F493">
        <v>53.2</v>
      </c>
      <c r="G493">
        <v>58.5</v>
      </c>
      <c r="H493">
        <v>58.4</v>
      </c>
      <c r="I493">
        <v>69.7</v>
      </c>
      <c r="J493">
        <v>66.8</v>
      </c>
      <c r="K493">
        <v>49.8</v>
      </c>
      <c r="L493">
        <v>32.1</v>
      </c>
      <c r="M493">
        <v>31.5</v>
      </c>
      <c r="N493">
        <v>38.9</v>
      </c>
      <c r="O493">
        <v>45.4</v>
      </c>
      <c r="P493">
        <v>49.6</v>
      </c>
      <c r="Q493">
        <v>47.7</v>
      </c>
      <c r="R493">
        <v>42.8</v>
      </c>
      <c r="S493" t="s">
        <v>119</v>
      </c>
    </row>
    <row r="494" spans="1:19" x14ac:dyDescent="0.25">
      <c r="A494" t="s">
        <v>201</v>
      </c>
      <c r="B494">
        <v>3790.8</v>
      </c>
      <c r="C494">
        <v>38.700000000000003</v>
      </c>
      <c r="D494">
        <v>46.7</v>
      </c>
      <c r="E494">
        <v>44.6</v>
      </c>
      <c r="F494">
        <v>38.700000000000003</v>
      </c>
      <c r="G494">
        <v>48.8</v>
      </c>
      <c r="H494">
        <v>62.4</v>
      </c>
      <c r="I494">
        <v>60.4</v>
      </c>
      <c r="J494">
        <v>61.6</v>
      </c>
      <c r="K494">
        <v>62.9</v>
      </c>
      <c r="L494">
        <v>66.900000000000006</v>
      </c>
      <c r="M494">
        <v>56.4</v>
      </c>
      <c r="N494">
        <v>55.8</v>
      </c>
      <c r="O494">
        <v>68.900000000000006</v>
      </c>
      <c r="P494">
        <v>67.400000000000006</v>
      </c>
      <c r="Q494">
        <v>69.7</v>
      </c>
      <c r="R494">
        <v>67.599999999999994</v>
      </c>
      <c r="S494" t="s">
        <v>119</v>
      </c>
    </row>
    <row r="495" spans="1:19" x14ac:dyDescent="0.25">
      <c r="A495" t="s">
        <v>216</v>
      </c>
      <c r="B495">
        <v>4920.2</v>
      </c>
      <c r="C495">
        <v>33.4</v>
      </c>
      <c r="D495">
        <v>36.6</v>
      </c>
      <c r="E495">
        <v>30.4</v>
      </c>
      <c r="F495">
        <v>33.4</v>
      </c>
      <c r="G495">
        <v>32.6</v>
      </c>
      <c r="H495">
        <v>33</v>
      </c>
      <c r="I495">
        <v>35.9</v>
      </c>
      <c r="J495" t="s">
        <v>162</v>
      </c>
      <c r="K495" t="s">
        <v>162</v>
      </c>
      <c r="L495" t="s">
        <v>162</v>
      </c>
      <c r="M495" t="s">
        <v>162</v>
      </c>
      <c r="N495" t="s">
        <v>162</v>
      </c>
      <c r="O495" t="s">
        <v>162</v>
      </c>
      <c r="P495" t="s">
        <v>162</v>
      </c>
      <c r="Q495" t="s">
        <v>162</v>
      </c>
      <c r="R495" t="s">
        <v>162</v>
      </c>
      <c r="S495" t="s">
        <v>119</v>
      </c>
    </row>
    <row r="496" spans="1:19" x14ac:dyDescent="0.25">
      <c r="A496" t="s">
        <v>204</v>
      </c>
      <c r="B496">
        <v>1183.4000000000001</v>
      </c>
      <c r="C496">
        <v>20</v>
      </c>
      <c r="D496">
        <v>19.600000000000001</v>
      </c>
      <c r="E496">
        <v>20.399999999999999</v>
      </c>
      <c r="F496">
        <v>19.399999999999999</v>
      </c>
      <c r="G496">
        <v>17.3</v>
      </c>
      <c r="H496">
        <v>18.600000000000001</v>
      </c>
      <c r="I496">
        <v>18.2</v>
      </c>
      <c r="J496">
        <v>15.7</v>
      </c>
      <c r="K496">
        <v>18.2</v>
      </c>
      <c r="L496">
        <v>17.8</v>
      </c>
      <c r="M496">
        <v>19.2</v>
      </c>
      <c r="N496" t="s">
        <v>162</v>
      </c>
      <c r="O496" t="s">
        <v>162</v>
      </c>
      <c r="P496" t="s">
        <v>162</v>
      </c>
      <c r="Q496" t="s">
        <v>162</v>
      </c>
      <c r="R496" t="s">
        <v>162</v>
      </c>
      <c r="S496" t="s">
        <v>119</v>
      </c>
    </row>
    <row r="497" spans="1:19" x14ac:dyDescent="0.25">
      <c r="A497" t="s">
        <v>205</v>
      </c>
      <c r="B497">
        <v>191.1</v>
      </c>
      <c r="C497">
        <v>16.5</v>
      </c>
      <c r="D497">
        <v>12.7</v>
      </c>
      <c r="E497">
        <v>13.4</v>
      </c>
      <c r="F497">
        <v>8.6999999999999993</v>
      </c>
      <c r="G497">
        <v>6.8</v>
      </c>
      <c r="H497">
        <v>7.6</v>
      </c>
      <c r="I497">
        <v>5.0999999999999996</v>
      </c>
      <c r="J497">
        <v>4.8</v>
      </c>
      <c r="K497">
        <v>8.1</v>
      </c>
      <c r="L497">
        <v>5.4</v>
      </c>
      <c r="M497">
        <v>5.4</v>
      </c>
      <c r="N497">
        <v>17.3</v>
      </c>
      <c r="O497">
        <v>18.2</v>
      </c>
      <c r="P497">
        <v>13.2</v>
      </c>
      <c r="Q497">
        <v>11.7</v>
      </c>
      <c r="R497">
        <v>8.1999999999999993</v>
      </c>
      <c r="S497" t="s">
        <v>119</v>
      </c>
    </row>
    <row r="498" spans="1:19" x14ac:dyDescent="0.25">
      <c r="A498" t="s">
        <v>206</v>
      </c>
      <c r="B498">
        <v>2545</v>
      </c>
      <c r="C498">
        <v>8.6</v>
      </c>
      <c r="D498">
        <v>4.5999999999999996</v>
      </c>
      <c r="E498">
        <v>7.5</v>
      </c>
      <c r="F498">
        <v>4.8</v>
      </c>
      <c r="G498">
        <v>3.6</v>
      </c>
      <c r="H498">
        <v>4.3</v>
      </c>
      <c r="I498">
        <v>1.9</v>
      </c>
      <c r="J498">
        <v>3.9</v>
      </c>
      <c r="K498">
        <v>1.7</v>
      </c>
      <c r="L498">
        <v>1.2</v>
      </c>
      <c r="M498">
        <v>3.2</v>
      </c>
      <c r="N498">
        <v>4.0999999999999996</v>
      </c>
      <c r="O498">
        <v>2.2000000000000002</v>
      </c>
      <c r="P498">
        <v>2.4</v>
      </c>
      <c r="Q498">
        <v>1.2</v>
      </c>
      <c r="R498">
        <v>1.9</v>
      </c>
      <c r="S498" t="s">
        <v>119</v>
      </c>
    </row>
    <row r="499" spans="1:19" x14ac:dyDescent="0.25">
      <c r="A499" t="s">
        <v>215</v>
      </c>
      <c r="B499">
        <v>230.8</v>
      </c>
      <c r="C499">
        <v>8.3000000000000007</v>
      </c>
      <c r="D499">
        <v>7.3</v>
      </c>
      <c r="E499">
        <v>8.8000000000000007</v>
      </c>
      <c r="F499">
        <v>5.3</v>
      </c>
      <c r="G499">
        <v>5.3</v>
      </c>
      <c r="H499">
        <v>7.1</v>
      </c>
      <c r="I499">
        <v>2.2999999999999998</v>
      </c>
      <c r="J499">
        <v>2.1</v>
      </c>
      <c r="K499">
        <v>2</v>
      </c>
      <c r="L499">
        <v>2.1</v>
      </c>
      <c r="M499">
        <v>1.8</v>
      </c>
      <c r="N499">
        <v>0.6</v>
      </c>
      <c r="O499">
        <v>4.7</v>
      </c>
      <c r="P499">
        <v>4.5999999999999996</v>
      </c>
      <c r="Q499">
        <v>4.3</v>
      </c>
      <c r="R499">
        <v>4.8</v>
      </c>
      <c r="S499" t="s">
        <v>119</v>
      </c>
    </row>
    <row r="500" spans="1:19" x14ac:dyDescent="0.25">
      <c r="A500" t="s">
        <v>208</v>
      </c>
      <c r="B500">
        <v>342.7</v>
      </c>
      <c r="C500">
        <v>1</v>
      </c>
      <c r="D500">
        <v>1.2</v>
      </c>
      <c r="E500">
        <v>2.1</v>
      </c>
      <c r="F500">
        <v>1.8</v>
      </c>
      <c r="G500">
        <v>0.8</v>
      </c>
      <c r="H500">
        <v>1.4</v>
      </c>
      <c r="I500">
        <v>1</v>
      </c>
      <c r="J500">
        <v>2.2999999999999998</v>
      </c>
      <c r="K500">
        <v>0.9</v>
      </c>
      <c r="L500">
        <v>0.5</v>
      </c>
      <c r="M500">
        <v>1.5</v>
      </c>
      <c r="N500">
        <v>3</v>
      </c>
      <c r="O500">
        <v>1.2</v>
      </c>
      <c r="P500">
        <v>1.4</v>
      </c>
      <c r="Q500">
        <v>0.4</v>
      </c>
      <c r="R500">
        <v>0.5</v>
      </c>
      <c r="S500" t="s">
        <v>119</v>
      </c>
    </row>
    <row r="501" spans="1:19" x14ac:dyDescent="0.25">
      <c r="A501" t="s">
        <v>209</v>
      </c>
      <c r="B501">
        <v>429.3</v>
      </c>
      <c r="C501">
        <v>0.2</v>
      </c>
      <c r="D501">
        <v>0.4</v>
      </c>
      <c r="E501">
        <v>0.4</v>
      </c>
      <c r="F501">
        <v>0.3</v>
      </c>
      <c r="G501">
        <v>0.3</v>
      </c>
      <c r="H501">
        <v>0.3</v>
      </c>
      <c r="I501">
        <v>0.3</v>
      </c>
      <c r="J501">
        <v>0.3</v>
      </c>
      <c r="K501">
        <v>0.3</v>
      </c>
      <c r="L501">
        <v>0.3</v>
      </c>
      <c r="M501">
        <v>0.2</v>
      </c>
      <c r="N501">
        <v>0.2</v>
      </c>
      <c r="O501">
        <v>0.2</v>
      </c>
      <c r="P501">
        <v>0.3</v>
      </c>
      <c r="Q501">
        <v>0.2</v>
      </c>
      <c r="R501">
        <v>0.2</v>
      </c>
      <c r="S501" t="s">
        <v>119</v>
      </c>
    </row>
    <row r="502" spans="1:19" x14ac:dyDescent="0.25">
      <c r="A502" t="s">
        <v>166</v>
      </c>
      <c r="B502" t="s">
        <v>162</v>
      </c>
      <c r="C502" t="s">
        <v>162</v>
      </c>
      <c r="D502" t="s">
        <v>162</v>
      </c>
      <c r="E502" t="s">
        <v>162</v>
      </c>
      <c r="F502" t="s">
        <v>162</v>
      </c>
      <c r="G502" t="s">
        <v>162</v>
      </c>
      <c r="H502" t="s">
        <v>162</v>
      </c>
      <c r="I502" t="s">
        <v>162</v>
      </c>
      <c r="J502">
        <v>35.6</v>
      </c>
      <c r="K502">
        <v>35.9</v>
      </c>
      <c r="L502">
        <v>39.799999999999997</v>
      </c>
      <c r="M502">
        <v>33.200000000000003</v>
      </c>
      <c r="N502">
        <v>34.1</v>
      </c>
      <c r="O502">
        <v>32.799999999999997</v>
      </c>
      <c r="P502">
        <v>32.700000000000003</v>
      </c>
      <c r="Q502">
        <v>33.1</v>
      </c>
      <c r="R502">
        <v>36</v>
      </c>
      <c r="S502" t="s">
        <v>119</v>
      </c>
    </row>
    <row r="503" spans="1:19" x14ac:dyDescent="0.25">
      <c r="A503" t="s">
        <v>211</v>
      </c>
      <c r="S503" t="s">
        <v>119</v>
      </c>
    </row>
    <row r="504" spans="1:19" x14ac:dyDescent="0.25">
      <c r="A504" t="s">
        <v>212</v>
      </c>
      <c r="B504">
        <v>16</v>
      </c>
      <c r="C504">
        <v>0.2</v>
      </c>
      <c r="D504">
        <v>0.5</v>
      </c>
      <c r="E504">
        <v>0.5</v>
      </c>
      <c r="F504">
        <v>0.6</v>
      </c>
      <c r="G504">
        <v>1.3</v>
      </c>
      <c r="H504">
        <v>23.7</v>
      </c>
      <c r="I504">
        <v>14.9</v>
      </c>
      <c r="J504">
        <v>5</v>
      </c>
      <c r="K504">
        <v>0.1</v>
      </c>
      <c r="L504">
        <v>0</v>
      </c>
      <c r="M504">
        <v>0</v>
      </c>
      <c r="N504" t="s">
        <v>162</v>
      </c>
      <c r="O504" t="s">
        <v>162</v>
      </c>
      <c r="P504" t="s">
        <v>162</v>
      </c>
      <c r="Q504" t="s">
        <v>162</v>
      </c>
      <c r="R504" t="s">
        <v>162</v>
      </c>
      <c r="S504" t="s">
        <v>119</v>
      </c>
    </row>
    <row r="505" spans="1:19" x14ac:dyDescent="0.25">
      <c r="A505" t="s">
        <v>213</v>
      </c>
      <c r="B505">
        <v>18373.900000000001</v>
      </c>
      <c r="C505" t="s">
        <v>162</v>
      </c>
      <c r="D505" t="s">
        <v>162</v>
      </c>
      <c r="E505" t="s">
        <v>162</v>
      </c>
      <c r="F505" t="s">
        <v>162</v>
      </c>
      <c r="G505" t="s">
        <v>162</v>
      </c>
      <c r="H505" t="s">
        <v>162</v>
      </c>
      <c r="I505" t="s">
        <v>162</v>
      </c>
      <c r="J505" t="s">
        <v>162</v>
      </c>
      <c r="K505" t="s">
        <v>162</v>
      </c>
      <c r="L505" t="s">
        <v>162</v>
      </c>
      <c r="M505" t="s">
        <v>162</v>
      </c>
      <c r="N505" t="s">
        <v>162</v>
      </c>
      <c r="O505" t="s">
        <v>162</v>
      </c>
      <c r="P505" t="s">
        <v>162</v>
      </c>
      <c r="Q505" t="s">
        <v>162</v>
      </c>
      <c r="R505" t="s">
        <v>162</v>
      </c>
      <c r="S505" t="s">
        <v>119</v>
      </c>
    </row>
    <row r="506" spans="1:19" x14ac:dyDescent="0.25">
      <c r="A506" t="s">
        <v>214</v>
      </c>
      <c r="S506" t="s">
        <v>119</v>
      </c>
    </row>
    <row r="507" spans="1:19" x14ac:dyDescent="0.25">
      <c r="A507" t="s">
        <v>120</v>
      </c>
      <c r="S507" t="s">
        <v>120</v>
      </c>
    </row>
    <row r="508" spans="1:19" x14ac:dyDescent="0.25">
      <c r="A508" t="s">
        <v>198</v>
      </c>
      <c r="B508" t="s">
        <v>257</v>
      </c>
      <c r="C508" t="s">
        <v>256</v>
      </c>
      <c r="D508" t="s">
        <v>181</v>
      </c>
      <c r="E508" t="s">
        <v>180</v>
      </c>
      <c r="F508" t="s">
        <v>179</v>
      </c>
      <c r="G508" t="s">
        <v>178</v>
      </c>
      <c r="H508" t="s">
        <v>177</v>
      </c>
      <c r="I508" t="s">
        <v>176</v>
      </c>
      <c r="J508" t="s">
        <v>175</v>
      </c>
      <c r="K508" t="s">
        <v>174</v>
      </c>
      <c r="L508" t="s">
        <v>173</v>
      </c>
      <c r="M508" t="s">
        <v>172</v>
      </c>
      <c r="N508" t="s">
        <v>171</v>
      </c>
      <c r="O508" t="s">
        <v>170</v>
      </c>
      <c r="P508" t="s">
        <v>169</v>
      </c>
      <c r="Q508" t="s">
        <v>168</v>
      </c>
      <c r="R508" t="s">
        <v>167</v>
      </c>
      <c r="S508" t="s">
        <v>120</v>
      </c>
    </row>
    <row r="509" spans="1:19" x14ac:dyDescent="0.25">
      <c r="A509" t="s">
        <v>199</v>
      </c>
      <c r="S509" t="s">
        <v>120</v>
      </c>
    </row>
    <row r="510" spans="1:19" x14ac:dyDescent="0.25">
      <c r="A510" t="s">
        <v>163</v>
      </c>
      <c r="B510">
        <v>1383</v>
      </c>
      <c r="C510">
        <v>97</v>
      </c>
      <c r="D510">
        <v>70.099999999999994</v>
      </c>
      <c r="E510">
        <v>95.9</v>
      </c>
      <c r="F510">
        <v>52.7</v>
      </c>
      <c r="G510">
        <v>89.9</v>
      </c>
      <c r="H510">
        <v>56.5</v>
      </c>
      <c r="I510">
        <v>60.2</v>
      </c>
      <c r="J510">
        <v>48.2</v>
      </c>
      <c r="K510">
        <v>95.5</v>
      </c>
      <c r="L510">
        <v>83.1</v>
      </c>
      <c r="M510">
        <v>92.7</v>
      </c>
      <c r="N510">
        <v>70</v>
      </c>
      <c r="O510">
        <v>99.2</v>
      </c>
      <c r="P510">
        <v>88</v>
      </c>
      <c r="Q510">
        <v>100.4</v>
      </c>
      <c r="R510">
        <v>85</v>
      </c>
      <c r="S510" t="s">
        <v>120</v>
      </c>
    </row>
    <row r="511" spans="1:19" x14ac:dyDescent="0.25">
      <c r="A511" t="s">
        <v>202</v>
      </c>
      <c r="B511">
        <v>8253.7000000000007</v>
      </c>
      <c r="C511">
        <v>67.8</v>
      </c>
      <c r="D511">
        <v>66.5</v>
      </c>
      <c r="E511">
        <v>62.8</v>
      </c>
      <c r="F511">
        <v>67.400000000000006</v>
      </c>
      <c r="G511">
        <v>61</v>
      </c>
      <c r="H511">
        <v>63.6</v>
      </c>
      <c r="I511">
        <v>60.2</v>
      </c>
      <c r="J511">
        <v>68.3</v>
      </c>
      <c r="K511">
        <v>62.4</v>
      </c>
      <c r="L511">
        <v>47</v>
      </c>
      <c r="M511">
        <v>43.4</v>
      </c>
      <c r="N511">
        <v>50.3</v>
      </c>
      <c r="O511">
        <v>38.6</v>
      </c>
      <c r="P511">
        <v>39.9</v>
      </c>
      <c r="Q511">
        <v>32.200000000000003</v>
      </c>
      <c r="R511">
        <v>26.2</v>
      </c>
      <c r="S511" t="s">
        <v>120</v>
      </c>
    </row>
    <row r="512" spans="1:19" x14ac:dyDescent="0.25">
      <c r="A512" t="s">
        <v>165</v>
      </c>
      <c r="B512">
        <v>300.8</v>
      </c>
      <c r="C512">
        <v>62.6</v>
      </c>
      <c r="D512">
        <v>58.8</v>
      </c>
      <c r="E512">
        <v>63.2</v>
      </c>
      <c r="F512">
        <v>65.099999999999994</v>
      </c>
      <c r="G512">
        <v>62.6</v>
      </c>
      <c r="H512">
        <v>63.6</v>
      </c>
      <c r="I512">
        <v>71.7</v>
      </c>
      <c r="J512">
        <v>72.900000000000006</v>
      </c>
      <c r="K512">
        <v>71.900000000000006</v>
      </c>
      <c r="L512">
        <v>68.099999999999994</v>
      </c>
      <c r="M512">
        <v>65.7</v>
      </c>
      <c r="N512">
        <v>59.3</v>
      </c>
      <c r="O512">
        <v>57.8</v>
      </c>
      <c r="P512">
        <v>59.8</v>
      </c>
      <c r="Q512">
        <v>58.8</v>
      </c>
      <c r="R512">
        <v>55.9</v>
      </c>
      <c r="S512" t="s">
        <v>120</v>
      </c>
    </row>
    <row r="513" spans="1:19" x14ac:dyDescent="0.25">
      <c r="A513" t="s">
        <v>200</v>
      </c>
      <c r="B513">
        <v>1.6</v>
      </c>
      <c r="C513">
        <v>55.4</v>
      </c>
      <c r="D513">
        <v>66.5</v>
      </c>
      <c r="E513">
        <v>76.8</v>
      </c>
      <c r="F513">
        <v>78.599999999999994</v>
      </c>
      <c r="G513">
        <v>92</v>
      </c>
      <c r="H513">
        <v>89.8</v>
      </c>
      <c r="I513">
        <v>86.5</v>
      </c>
      <c r="J513">
        <v>72.8</v>
      </c>
      <c r="K513">
        <v>92.3</v>
      </c>
      <c r="L513">
        <v>90.1</v>
      </c>
      <c r="M513">
        <v>88.2</v>
      </c>
      <c r="N513">
        <v>66.7</v>
      </c>
      <c r="O513" t="s">
        <v>162</v>
      </c>
      <c r="P513" t="s">
        <v>162</v>
      </c>
      <c r="Q513" t="s">
        <v>162</v>
      </c>
      <c r="R513" t="s">
        <v>162</v>
      </c>
      <c r="S513" t="s">
        <v>120</v>
      </c>
    </row>
    <row r="514" spans="1:19" x14ac:dyDescent="0.25">
      <c r="A514" t="s">
        <v>201</v>
      </c>
      <c r="B514">
        <v>1444</v>
      </c>
      <c r="C514">
        <v>32.4</v>
      </c>
      <c r="D514">
        <v>44.9</v>
      </c>
      <c r="E514">
        <v>44</v>
      </c>
      <c r="F514">
        <v>36.4</v>
      </c>
      <c r="G514">
        <v>35.1</v>
      </c>
      <c r="H514">
        <v>34.799999999999997</v>
      </c>
      <c r="I514">
        <v>29.5</v>
      </c>
      <c r="J514">
        <v>33.6</v>
      </c>
      <c r="K514">
        <v>35.9</v>
      </c>
      <c r="L514">
        <v>49.7</v>
      </c>
      <c r="M514">
        <v>39.9</v>
      </c>
      <c r="N514">
        <v>33.9</v>
      </c>
      <c r="O514">
        <v>44.5</v>
      </c>
      <c r="P514">
        <v>61.8</v>
      </c>
      <c r="Q514">
        <v>58.1</v>
      </c>
      <c r="R514">
        <v>74.599999999999994</v>
      </c>
      <c r="S514" t="s">
        <v>120</v>
      </c>
    </row>
    <row r="515" spans="1:19" x14ac:dyDescent="0.25">
      <c r="A515" t="s">
        <v>205</v>
      </c>
      <c r="B515">
        <v>1566.4</v>
      </c>
      <c r="C515">
        <v>25.8</v>
      </c>
      <c r="D515">
        <v>21.2</v>
      </c>
      <c r="E515">
        <v>19.600000000000001</v>
      </c>
      <c r="F515">
        <v>27.4</v>
      </c>
      <c r="G515">
        <v>25.9</v>
      </c>
      <c r="H515">
        <v>15.3</v>
      </c>
      <c r="I515">
        <v>10.5</v>
      </c>
      <c r="J515">
        <v>8.3000000000000007</v>
      </c>
      <c r="K515">
        <v>8</v>
      </c>
      <c r="L515">
        <v>1.1000000000000001</v>
      </c>
      <c r="M515">
        <v>14.8</v>
      </c>
      <c r="N515">
        <v>20.3</v>
      </c>
      <c r="O515">
        <v>19.399999999999999</v>
      </c>
      <c r="P515">
        <v>15.6</v>
      </c>
      <c r="Q515">
        <v>9.5</v>
      </c>
      <c r="R515">
        <v>13</v>
      </c>
      <c r="S515" t="s">
        <v>120</v>
      </c>
    </row>
    <row r="516" spans="1:19" x14ac:dyDescent="0.25">
      <c r="A516" t="s">
        <v>215</v>
      </c>
      <c r="B516">
        <v>25.8</v>
      </c>
      <c r="C516">
        <v>25.6</v>
      </c>
      <c r="D516">
        <v>30.3</v>
      </c>
      <c r="E516">
        <v>29.2</v>
      </c>
      <c r="F516">
        <v>27</v>
      </c>
      <c r="G516" t="s">
        <v>162</v>
      </c>
      <c r="H516">
        <v>1.7</v>
      </c>
      <c r="I516">
        <v>2</v>
      </c>
      <c r="J516">
        <v>3.2</v>
      </c>
      <c r="K516">
        <v>1.9</v>
      </c>
      <c r="L516">
        <v>1.4</v>
      </c>
      <c r="M516">
        <v>4.9000000000000004</v>
      </c>
      <c r="N516">
        <v>10.4</v>
      </c>
      <c r="O516">
        <v>7.3</v>
      </c>
      <c r="P516">
        <v>2.2000000000000002</v>
      </c>
      <c r="Q516">
        <v>0</v>
      </c>
      <c r="R516">
        <v>0</v>
      </c>
      <c r="S516" t="s">
        <v>120</v>
      </c>
    </row>
    <row r="517" spans="1:19" x14ac:dyDescent="0.25">
      <c r="A517" t="s">
        <v>204</v>
      </c>
      <c r="B517">
        <v>328.4</v>
      </c>
      <c r="C517">
        <v>21.5</v>
      </c>
      <c r="D517">
        <v>22.7</v>
      </c>
      <c r="E517">
        <v>22.2</v>
      </c>
      <c r="F517">
        <v>22.5</v>
      </c>
      <c r="G517">
        <v>22.1</v>
      </c>
      <c r="H517">
        <v>23.2</v>
      </c>
      <c r="I517">
        <v>22.1</v>
      </c>
      <c r="J517" t="s">
        <v>162</v>
      </c>
      <c r="K517" t="s">
        <v>162</v>
      </c>
      <c r="L517" t="s">
        <v>162</v>
      </c>
      <c r="M517" t="s">
        <v>162</v>
      </c>
      <c r="N517" t="s">
        <v>162</v>
      </c>
      <c r="O517" t="s">
        <v>162</v>
      </c>
      <c r="P517" t="s">
        <v>162</v>
      </c>
      <c r="Q517" t="s">
        <v>162</v>
      </c>
      <c r="R517" t="s">
        <v>162</v>
      </c>
      <c r="S517" t="s">
        <v>120</v>
      </c>
    </row>
    <row r="518" spans="1:19" x14ac:dyDescent="0.25">
      <c r="A518" t="s">
        <v>206</v>
      </c>
      <c r="B518">
        <v>1369.3</v>
      </c>
      <c r="C518">
        <v>18.600000000000001</v>
      </c>
      <c r="D518">
        <v>16.5</v>
      </c>
      <c r="E518">
        <v>16.399999999999999</v>
      </c>
      <c r="F518">
        <v>17.100000000000001</v>
      </c>
      <c r="G518">
        <v>17.100000000000001</v>
      </c>
      <c r="H518">
        <v>19.3</v>
      </c>
      <c r="I518">
        <v>15.4</v>
      </c>
      <c r="J518">
        <v>13.9</v>
      </c>
      <c r="K518">
        <v>12.4</v>
      </c>
      <c r="L518">
        <v>11.7</v>
      </c>
      <c r="M518">
        <v>9.8000000000000007</v>
      </c>
      <c r="N518">
        <v>14.3</v>
      </c>
      <c r="O518">
        <v>11.8</v>
      </c>
      <c r="P518">
        <v>10.6</v>
      </c>
      <c r="Q518">
        <v>9.1</v>
      </c>
      <c r="R518">
        <v>8.5</v>
      </c>
      <c r="S518" t="s">
        <v>120</v>
      </c>
    </row>
    <row r="519" spans="1:19" x14ac:dyDescent="0.25">
      <c r="A519" t="s">
        <v>209</v>
      </c>
      <c r="B519">
        <v>9</v>
      </c>
      <c r="C519">
        <v>0.5</v>
      </c>
      <c r="D519">
        <v>0</v>
      </c>
      <c r="E519">
        <v>0.1</v>
      </c>
      <c r="F519">
        <v>0</v>
      </c>
      <c r="G519">
        <v>0</v>
      </c>
      <c r="H519">
        <v>0.5</v>
      </c>
      <c r="I519">
        <v>1</v>
      </c>
      <c r="J519">
        <v>1.6</v>
      </c>
      <c r="K519">
        <v>1</v>
      </c>
      <c r="L519">
        <v>0.7</v>
      </c>
      <c r="M519">
        <v>0.2</v>
      </c>
      <c r="N519">
        <v>0.6</v>
      </c>
      <c r="O519">
        <v>0.8</v>
      </c>
      <c r="P519">
        <v>0.6</v>
      </c>
      <c r="Q519">
        <v>0</v>
      </c>
      <c r="R519">
        <v>0</v>
      </c>
      <c r="S519" t="s">
        <v>120</v>
      </c>
    </row>
    <row r="520" spans="1:19" x14ac:dyDescent="0.25">
      <c r="A520" t="s">
        <v>217</v>
      </c>
      <c r="B520">
        <v>1.4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69.099999999999994</v>
      </c>
      <c r="M520">
        <v>48.4</v>
      </c>
      <c r="N520">
        <v>0</v>
      </c>
      <c r="O520">
        <v>0</v>
      </c>
      <c r="P520" t="s">
        <v>162</v>
      </c>
      <c r="Q520" t="s">
        <v>162</v>
      </c>
      <c r="R520" t="s">
        <v>162</v>
      </c>
      <c r="S520" t="s">
        <v>120</v>
      </c>
    </row>
    <row r="521" spans="1:19" x14ac:dyDescent="0.25">
      <c r="A521" t="s">
        <v>207</v>
      </c>
      <c r="B521" t="s">
        <v>162</v>
      </c>
      <c r="C521" t="s">
        <v>162</v>
      </c>
      <c r="D521" t="s">
        <v>162</v>
      </c>
      <c r="E521" t="s">
        <v>162</v>
      </c>
      <c r="F521" t="s">
        <v>162</v>
      </c>
      <c r="G521" t="s">
        <v>162</v>
      </c>
      <c r="H521" t="s">
        <v>162</v>
      </c>
      <c r="I521" t="s">
        <v>162</v>
      </c>
      <c r="J521" t="s">
        <v>162</v>
      </c>
      <c r="K521" t="s">
        <v>162</v>
      </c>
      <c r="L521" t="s">
        <v>162</v>
      </c>
      <c r="M521" t="s">
        <v>162</v>
      </c>
      <c r="N521" t="s">
        <v>162</v>
      </c>
      <c r="O521">
        <v>0</v>
      </c>
      <c r="P521">
        <v>0</v>
      </c>
      <c r="Q521">
        <v>53.4</v>
      </c>
      <c r="R521">
        <v>97.4</v>
      </c>
      <c r="S521" t="s">
        <v>120</v>
      </c>
    </row>
    <row r="522" spans="1:19" x14ac:dyDescent="0.25">
      <c r="A522" t="s">
        <v>208</v>
      </c>
      <c r="B522" t="s">
        <v>162</v>
      </c>
      <c r="C522" t="s">
        <v>162</v>
      </c>
      <c r="D522" t="s">
        <v>162</v>
      </c>
      <c r="E522" t="s">
        <v>162</v>
      </c>
      <c r="F522" t="s">
        <v>162</v>
      </c>
      <c r="G522">
        <v>0.1</v>
      </c>
      <c r="H522">
        <v>0.3</v>
      </c>
      <c r="I522">
        <v>0.3</v>
      </c>
      <c r="J522">
        <v>0.2</v>
      </c>
      <c r="K522">
        <v>0</v>
      </c>
      <c r="L522">
        <v>0.1</v>
      </c>
      <c r="M522">
        <v>0.1</v>
      </c>
      <c r="N522">
        <v>0</v>
      </c>
      <c r="O522">
        <v>0</v>
      </c>
      <c r="P522">
        <v>0</v>
      </c>
      <c r="Q522">
        <v>0</v>
      </c>
      <c r="R522">
        <v>0</v>
      </c>
      <c r="S522" t="s">
        <v>120</v>
      </c>
    </row>
    <row r="523" spans="1:19" x14ac:dyDescent="0.25">
      <c r="A523" t="s">
        <v>211</v>
      </c>
      <c r="S523" t="s">
        <v>120</v>
      </c>
    </row>
    <row r="524" spans="1:19" x14ac:dyDescent="0.25">
      <c r="A524" t="s">
        <v>212</v>
      </c>
      <c r="B524">
        <v>0.6</v>
      </c>
      <c r="C524">
        <v>0</v>
      </c>
      <c r="D524" t="s">
        <v>162</v>
      </c>
      <c r="E524" t="s">
        <v>162</v>
      </c>
      <c r="F524" t="s">
        <v>162</v>
      </c>
      <c r="G524" t="s">
        <v>162</v>
      </c>
      <c r="H524" t="s">
        <v>162</v>
      </c>
      <c r="I524" t="s">
        <v>162</v>
      </c>
      <c r="J524" t="s">
        <v>162</v>
      </c>
      <c r="K524" t="s">
        <v>162</v>
      </c>
      <c r="L524" t="s">
        <v>162</v>
      </c>
      <c r="M524" t="s">
        <v>162</v>
      </c>
      <c r="N524" t="s">
        <v>162</v>
      </c>
      <c r="O524" t="s">
        <v>162</v>
      </c>
      <c r="P524" t="s">
        <v>162</v>
      </c>
      <c r="Q524" t="s">
        <v>162</v>
      </c>
      <c r="R524" t="s">
        <v>162</v>
      </c>
      <c r="S524" t="s">
        <v>120</v>
      </c>
    </row>
    <row r="525" spans="1:19" x14ac:dyDescent="0.25">
      <c r="A525" t="s">
        <v>213</v>
      </c>
      <c r="B525">
        <v>14684</v>
      </c>
      <c r="C525" t="s">
        <v>162</v>
      </c>
      <c r="D525" t="s">
        <v>162</v>
      </c>
      <c r="E525" t="s">
        <v>162</v>
      </c>
      <c r="F525" t="s">
        <v>162</v>
      </c>
      <c r="G525" t="s">
        <v>162</v>
      </c>
      <c r="H525" t="s">
        <v>162</v>
      </c>
      <c r="I525" t="s">
        <v>162</v>
      </c>
      <c r="J525" t="s">
        <v>162</v>
      </c>
      <c r="K525" t="s">
        <v>162</v>
      </c>
      <c r="L525" t="s">
        <v>162</v>
      </c>
      <c r="M525" t="s">
        <v>162</v>
      </c>
      <c r="N525" t="s">
        <v>162</v>
      </c>
      <c r="O525" t="s">
        <v>162</v>
      </c>
      <c r="P525" t="s">
        <v>162</v>
      </c>
      <c r="Q525" t="s">
        <v>162</v>
      </c>
      <c r="R525" t="s">
        <v>162</v>
      </c>
      <c r="S525" t="s">
        <v>120</v>
      </c>
    </row>
    <row r="526" spans="1:19" x14ac:dyDescent="0.25">
      <c r="A526" t="s">
        <v>214</v>
      </c>
      <c r="S526" t="s">
        <v>120</v>
      </c>
    </row>
    <row r="527" spans="1:19" x14ac:dyDescent="0.25">
      <c r="A527" t="s">
        <v>121</v>
      </c>
      <c r="S527" t="s">
        <v>121</v>
      </c>
    </row>
    <row r="528" spans="1:19" x14ac:dyDescent="0.25">
      <c r="A528" t="s">
        <v>198</v>
      </c>
      <c r="B528" t="s">
        <v>257</v>
      </c>
      <c r="C528" t="s">
        <v>256</v>
      </c>
      <c r="D528" t="s">
        <v>181</v>
      </c>
      <c r="E528" t="s">
        <v>180</v>
      </c>
      <c r="F528" t="s">
        <v>179</v>
      </c>
      <c r="G528" t="s">
        <v>178</v>
      </c>
      <c r="H528" t="s">
        <v>177</v>
      </c>
      <c r="I528" t="s">
        <v>176</v>
      </c>
      <c r="J528" t="s">
        <v>175</v>
      </c>
      <c r="K528" t="s">
        <v>174</v>
      </c>
      <c r="L528" t="s">
        <v>173</v>
      </c>
      <c r="M528" t="s">
        <v>172</v>
      </c>
      <c r="N528" t="s">
        <v>171</v>
      </c>
      <c r="O528" t="s">
        <v>170</v>
      </c>
      <c r="P528" t="s">
        <v>169</v>
      </c>
      <c r="Q528" t="s">
        <v>168</v>
      </c>
      <c r="R528" t="s">
        <v>167</v>
      </c>
      <c r="S528" t="s">
        <v>121</v>
      </c>
    </row>
    <row r="529" spans="1:19" x14ac:dyDescent="0.25">
      <c r="A529" t="s">
        <v>199</v>
      </c>
      <c r="S529" t="s">
        <v>121</v>
      </c>
    </row>
    <row r="530" spans="1:19" x14ac:dyDescent="0.25">
      <c r="A530" t="s">
        <v>163</v>
      </c>
      <c r="B530">
        <v>1190</v>
      </c>
      <c r="C530">
        <v>88.1</v>
      </c>
      <c r="D530">
        <v>85.1</v>
      </c>
      <c r="E530">
        <v>39.6</v>
      </c>
      <c r="F530">
        <v>70.7</v>
      </c>
      <c r="G530">
        <v>88.2</v>
      </c>
      <c r="H530">
        <v>102.2</v>
      </c>
      <c r="I530">
        <v>79.8</v>
      </c>
      <c r="J530">
        <v>90.2</v>
      </c>
      <c r="K530">
        <v>100.2</v>
      </c>
      <c r="L530">
        <v>88.8</v>
      </c>
      <c r="M530">
        <v>80</v>
      </c>
      <c r="N530">
        <v>102.5</v>
      </c>
      <c r="O530">
        <v>89.9</v>
      </c>
      <c r="P530">
        <v>86.4</v>
      </c>
      <c r="Q530">
        <v>98.3</v>
      </c>
      <c r="R530">
        <v>89.7</v>
      </c>
      <c r="S530" t="s">
        <v>121</v>
      </c>
    </row>
    <row r="531" spans="1:19" x14ac:dyDescent="0.25">
      <c r="A531" t="s">
        <v>201</v>
      </c>
      <c r="B531">
        <v>9714.2000000000007</v>
      </c>
      <c r="C531">
        <v>47.7</v>
      </c>
      <c r="D531">
        <v>59.8</v>
      </c>
      <c r="E531">
        <v>64.7</v>
      </c>
      <c r="F531">
        <v>56.1</v>
      </c>
      <c r="G531">
        <v>60.8</v>
      </c>
      <c r="H531">
        <v>65</v>
      </c>
      <c r="I531">
        <v>68.099999999999994</v>
      </c>
      <c r="J531">
        <v>58</v>
      </c>
      <c r="K531">
        <v>61.3</v>
      </c>
      <c r="L531">
        <v>67.400000000000006</v>
      </c>
      <c r="M531">
        <v>70.599999999999994</v>
      </c>
      <c r="N531">
        <v>66.900000000000006</v>
      </c>
      <c r="O531">
        <v>72.3</v>
      </c>
      <c r="P531">
        <v>74.7</v>
      </c>
      <c r="Q531">
        <v>73</v>
      </c>
      <c r="R531">
        <v>74.7</v>
      </c>
      <c r="S531" t="s">
        <v>121</v>
      </c>
    </row>
    <row r="532" spans="1:19" x14ac:dyDescent="0.25">
      <c r="A532" t="s">
        <v>202</v>
      </c>
      <c r="B532">
        <v>1892.5</v>
      </c>
      <c r="C532">
        <v>43.3</v>
      </c>
      <c r="D532">
        <v>33.5</v>
      </c>
      <c r="E532">
        <v>27.9</v>
      </c>
      <c r="F532">
        <v>37.200000000000003</v>
      </c>
      <c r="G532">
        <v>39.1</v>
      </c>
      <c r="H532">
        <v>35.9</v>
      </c>
      <c r="I532">
        <v>25.8</v>
      </c>
      <c r="J532">
        <v>30.5</v>
      </c>
      <c r="K532">
        <v>23.2</v>
      </c>
      <c r="L532">
        <v>20.2</v>
      </c>
      <c r="M532">
        <v>23.6</v>
      </c>
      <c r="N532">
        <v>30.4</v>
      </c>
      <c r="O532">
        <v>23.2</v>
      </c>
      <c r="P532">
        <v>22.4</v>
      </c>
      <c r="Q532">
        <v>16.600000000000001</v>
      </c>
      <c r="R532">
        <v>26.8</v>
      </c>
      <c r="S532" t="s">
        <v>121</v>
      </c>
    </row>
    <row r="533" spans="1:19" x14ac:dyDescent="0.25">
      <c r="A533" t="s">
        <v>200</v>
      </c>
      <c r="B533">
        <v>14</v>
      </c>
      <c r="C533">
        <v>37.799999999999997</v>
      </c>
      <c r="D533">
        <v>45.7</v>
      </c>
      <c r="E533">
        <v>52.9</v>
      </c>
      <c r="F533">
        <v>55.9</v>
      </c>
      <c r="G533">
        <v>51.3</v>
      </c>
      <c r="H533">
        <v>46.9</v>
      </c>
      <c r="I533">
        <v>50</v>
      </c>
      <c r="J533">
        <v>53</v>
      </c>
      <c r="K533">
        <v>59.2</v>
      </c>
      <c r="L533">
        <v>58.7</v>
      </c>
      <c r="M533">
        <v>61.7</v>
      </c>
      <c r="N533">
        <v>60.1</v>
      </c>
      <c r="O533">
        <v>68.8</v>
      </c>
      <c r="P533">
        <v>68.900000000000006</v>
      </c>
      <c r="Q533">
        <v>62.9</v>
      </c>
      <c r="R533">
        <v>66.400000000000006</v>
      </c>
      <c r="S533" t="s">
        <v>121</v>
      </c>
    </row>
    <row r="534" spans="1:19" x14ac:dyDescent="0.25">
      <c r="A534" t="s">
        <v>216</v>
      </c>
      <c r="B534">
        <v>2374.9</v>
      </c>
      <c r="C534">
        <v>32.6</v>
      </c>
      <c r="D534">
        <v>36.200000000000003</v>
      </c>
      <c r="E534">
        <v>36.799999999999997</v>
      </c>
      <c r="F534">
        <v>32.9</v>
      </c>
      <c r="G534">
        <v>34.200000000000003</v>
      </c>
      <c r="H534">
        <v>33.9</v>
      </c>
      <c r="I534">
        <v>32.5</v>
      </c>
      <c r="J534" t="s">
        <v>162</v>
      </c>
      <c r="K534" t="s">
        <v>162</v>
      </c>
      <c r="L534" t="s">
        <v>162</v>
      </c>
      <c r="M534" t="s">
        <v>162</v>
      </c>
      <c r="N534" t="s">
        <v>162</v>
      </c>
      <c r="O534" t="s">
        <v>162</v>
      </c>
      <c r="P534" t="s">
        <v>162</v>
      </c>
      <c r="Q534" t="s">
        <v>162</v>
      </c>
      <c r="R534" t="s">
        <v>162</v>
      </c>
      <c r="S534" t="s">
        <v>121</v>
      </c>
    </row>
    <row r="535" spans="1:19" x14ac:dyDescent="0.25">
      <c r="A535" t="s">
        <v>204</v>
      </c>
      <c r="B535">
        <v>100</v>
      </c>
      <c r="C535">
        <v>19.8</v>
      </c>
      <c r="D535">
        <v>19.600000000000001</v>
      </c>
      <c r="E535">
        <v>18.399999999999999</v>
      </c>
      <c r="F535">
        <v>18</v>
      </c>
      <c r="G535">
        <v>18.3</v>
      </c>
      <c r="H535">
        <v>18.5</v>
      </c>
      <c r="I535">
        <v>17.5</v>
      </c>
      <c r="J535">
        <v>19.3</v>
      </c>
      <c r="K535">
        <v>19.8</v>
      </c>
      <c r="L535">
        <v>18.899999999999999</v>
      </c>
      <c r="M535" t="s">
        <v>162</v>
      </c>
      <c r="N535" t="s">
        <v>162</v>
      </c>
      <c r="O535" t="s">
        <v>162</v>
      </c>
      <c r="P535" t="s">
        <v>162</v>
      </c>
      <c r="Q535" t="s">
        <v>162</v>
      </c>
      <c r="R535" t="s">
        <v>162</v>
      </c>
      <c r="S535" t="s">
        <v>121</v>
      </c>
    </row>
    <row r="536" spans="1:19" x14ac:dyDescent="0.25">
      <c r="A536" t="s">
        <v>203</v>
      </c>
      <c r="B536">
        <v>548.5</v>
      </c>
      <c r="C536">
        <v>16.3</v>
      </c>
      <c r="D536">
        <v>28.8</v>
      </c>
      <c r="E536">
        <v>35.299999999999997</v>
      </c>
      <c r="F536">
        <v>39</v>
      </c>
      <c r="G536">
        <v>46.1</v>
      </c>
      <c r="H536">
        <v>17.2</v>
      </c>
      <c r="I536">
        <v>24.6</v>
      </c>
      <c r="J536">
        <v>26.5</v>
      </c>
      <c r="K536">
        <v>33.4</v>
      </c>
      <c r="L536">
        <v>14</v>
      </c>
      <c r="M536">
        <v>22.8</v>
      </c>
      <c r="N536">
        <v>14.3</v>
      </c>
      <c r="O536">
        <v>23.7</v>
      </c>
      <c r="P536">
        <v>31.1</v>
      </c>
      <c r="Q536">
        <v>36.799999999999997</v>
      </c>
      <c r="R536">
        <v>41.2</v>
      </c>
      <c r="S536" t="s">
        <v>121</v>
      </c>
    </row>
    <row r="537" spans="1:19" x14ac:dyDescent="0.25">
      <c r="A537" t="s">
        <v>205</v>
      </c>
      <c r="B537">
        <v>261.60000000000002</v>
      </c>
      <c r="C537">
        <v>10.8</v>
      </c>
      <c r="D537">
        <v>7.6</v>
      </c>
      <c r="E537">
        <v>5.5</v>
      </c>
      <c r="F537">
        <v>3.3</v>
      </c>
      <c r="G537">
        <v>3.8</v>
      </c>
      <c r="H537">
        <v>4.3</v>
      </c>
      <c r="I537">
        <v>3</v>
      </c>
      <c r="J537">
        <v>7.4</v>
      </c>
      <c r="K537">
        <v>8.8000000000000007</v>
      </c>
      <c r="L537">
        <v>3.1</v>
      </c>
      <c r="M537">
        <v>5.2</v>
      </c>
      <c r="N537">
        <v>0.6</v>
      </c>
      <c r="O537">
        <v>2.1</v>
      </c>
      <c r="P537">
        <v>4.5999999999999996</v>
      </c>
      <c r="Q537">
        <v>5.8</v>
      </c>
      <c r="R537">
        <v>4.7</v>
      </c>
      <c r="S537" t="s">
        <v>121</v>
      </c>
    </row>
    <row r="538" spans="1:19" x14ac:dyDescent="0.25">
      <c r="A538" t="s">
        <v>206</v>
      </c>
      <c r="B538">
        <v>3200.8</v>
      </c>
      <c r="C538">
        <v>7.3</v>
      </c>
      <c r="D538">
        <v>7.5</v>
      </c>
      <c r="E538">
        <v>4.5</v>
      </c>
      <c r="F538">
        <v>4.8</v>
      </c>
      <c r="G538">
        <v>4.4000000000000004</v>
      </c>
      <c r="H538">
        <v>3.9</v>
      </c>
      <c r="I538">
        <v>3.2</v>
      </c>
      <c r="J538">
        <v>2.7</v>
      </c>
      <c r="K538">
        <v>2.2999999999999998</v>
      </c>
      <c r="L538">
        <v>2.2999999999999998</v>
      </c>
      <c r="M538">
        <v>1.4</v>
      </c>
      <c r="N538">
        <v>3.3</v>
      </c>
      <c r="O538">
        <v>2.2999999999999998</v>
      </c>
      <c r="P538">
        <v>2.4</v>
      </c>
      <c r="Q538">
        <v>1.9</v>
      </c>
      <c r="R538">
        <v>2.1</v>
      </c>
      <c r="S538" t="s">
        <v>121</v>
      </c>
    </row>
    <row r="539" spans="1:19" x14ac:dyDescent="0.25">
      <c r="A539" t="s">
        <v>208</v>
      </c>
      <c r="B539">
        <v>860.5</v>
      </c>
      <c r="C539">
        <v>0.6</v>
      </c>
      <c r="D539">
        <v>0.5</v>
      </c>
      <c r="E539">
        <v>0.6</v>
      </c>
      <c r="F539">
        <v>0.1</v>
      </c>
      <c r="G539">
        <v>0.2</v>
      </c>
      <c r="H539">
        <v>0.1</v>
      </c>
      <c r="I539">
        <v>0</v>
      </c>
      <c r="J539">
        <v>0</v>
      </c>
      <c r="K539">
        <v>0</v>
      </c>
      <c r="L539">
        <v>0.1</v>
      </c>
      <c r="M539">
        <v>0</v>
      </c>
      <c r="N539">
        <v>0.1</v>
      </c>
      <c r="O539">
        <v>0.1</v>
      </c>
      <c r="P539">
        <v>0</v>
      </c>
      <c r="Q539">
        <v>0</v>
      </c>
      <c r="R539">
        <v>0</v>
      </c>
      <c r="S539" t="s">
        <v>121</v>
      </c>
    </row>
    <row r="540" spans="1:19" x14ac:dyDescent="0.25">
      <c r="A540" t="s">
        <v>209</v>
      </c>
      <c r="B540">
        <v>229.3</v>
      </c>
      <c r="C540">
        <v>0.5</v>
      </c>
      <c r="D540">
        <v>0.6</v>
      </c>
      <c r="E540">
        <v>0.8</v>
      </c>
      <c r="F540">
        <v>0.5</v>
      </c>
      <c r="G540">
        <v>0.5</v>
      </c>
      <c r="H540">
        <v>0.6</v>
      </c>
      <c r="I540">
        <v>0.6</v>
      </c>
      <c r="J540">
        <v>0.6</v>
      </c>
      <c r="K540">
        <v>0.6</v>
      </c>
      <c r="L540">
        <v>0.7</v>
      </c>
      <c r="M540">
        <v>0.5</v>
      </c>
      <c r="N540">
        <v>0.1</v>
      </c>
      <c r="O540">
        <v>0.5</v>
      </c>
      <c r="P540">
        <v>0.5</v>
      </c>
      <c r="Q540">
        <v>0.5</v>
      </c>
      <c r="R540">
        <v>0.3</v>
      </c>
      <c r="S540" t="s">
        <v>121</v>
      </c>
    </row>
    <row r="541" spans="1:19" x14ac:dyDescent="0.25">
      <c r="A541" t="s">
        <v>215</v>
      </c>
      <c r="B541">
        <v>135.69999999999999</v>
      </c>
      <c r="C541">
        <v>0.4</v>
      </c>
      <c r="D541">
        <v>0.9</v>
      </c>
      <c r="E541">
        <v>0.5</v>
      </c>
      <c r="F541">
        <v>0.2</v>
      </c>
      <c r="G541">
        <v>0.2</v>
      </c>
      <c r="H541">
        <v>0.3</v>
      </c>
      <c r="I541">
        <v>0.2</v>
      </c>
      <c r="J541">
        <v>0.3</v>
      </c>
      <c r="K541">
        <v>0.1</v>
      </c>
      <c r="L541">
        <v>0.2</v>
      </c>
      <c r="M541">
        <v>0.1</v>
      </c>
      <c r="N541">
        <v>1.3</v>
      </c>
      <c r="O541">
        <v>0.5</v>
      </c>
      <c r="P541">
        <v>0.4</v>
      </c>
      <c r="Q541">
        <v>0.3</v>
      </c>
      <c r="R541">
        <v>0.4</v>
      </c>
      <c r="S541" t="s">
        <v>121</v>
      </c>
    </row>
    <row r="542" spans="1:19" x14ac:dyDescent="0.25">
      <c r="A542" t="s">
        <v>166</v>
      </c>
      <c r="B542" t="s">
        <v>162</v>
      </c>
      <c r="C542" t="s">
        <v>162</v>
      </c>
      <c r="D542" t="s">
        <v>162</v>
      </c>
      <c r="E542" t="s">
        <v>162</v>
      </c>
      <c r="F542" t="s">
        <v>162</v>
      </c>
      <c r="G542" t="s">
        <v>162</v>
      </c>
      <c r="H542" t="s">
        <v>162</v>
      </c>
      <c r="I542" t="s">
        <v>162</v>
      </c>
      <c r="J542">
        <v>27.2</v>
      </c>
      <c r="K542">
        <v>25.7</v>
      </c>
      <c r="L542">
        <v>28.2</v>
      </c>
      <c r="M542">
        <v>29.1</v>
      </c>
      <c r="N542">
        <v>30.9</v>
      </c>
      <c r="O542">
        <v>29.3</v>
      </c>
      <c r="P542">
        <v>25.7</v>
      </c>
      <c r="Q542">
        <v>20.7</v>
      </c>
      <c r="R542">
        <v>16.5</v>
      </c>
      <c r="S542" t="s">
        <v>121</v>
      </c>
    </row>
    <row r="543" spans="1:19" x14ac:dyDescent="0.25">
      <c r="A543" t="s">
        <v>211</v>
      </c>
      <c r="S543" t="s">
        <v>121</v>
      </c>
    </row>
    <row r="544" spans="1:19" x14ac:dyDescent="0.25">
      <c r="A544" t="s">
        <v>220</v>
      </c>
      <c r="B544">
        <v>657</v>
      </c>
      <c r="C544">
        <v>7.4</v>
      </c>
      <c r="D544">
        <v>12.2</v>
      </c>
      <c r="E544">
        <v>13.1</v>
      </c>
      <c r="F544">
        <v>11.9</v>
      </c>
      <c r="G544">
        <v>11.9</v>
      </c>
      <c r="H544">
        <v>8.4</v>
      </c>
      <c r="I544">
        <v>10.9</v>
      </c>
      <c r="J544">
        <v>12.5</v>
      </c>
      <c r="K544">
        <v>10.1</v>
      </c>
      <c r="L544">
        <v>8.6</v>
      </c>
      <c r="M544">
        <v>11.6</v>
      </c>
      <c r="N544" t="s">
        <v>162</v>
      </c>
      <c r="O544" t="s">
        <v>162</v>
      </c>
      <c r="P544" t="s">
        <v>162</v>
      </c>
      <c r="Q544" t="s">
        <v>162</v>
      </c>
      <c r="R544" t="s">
        <v>162</v>
      </c>
      <c r="S544" t="s">
        <v>121</v>
      </c>
    </row>
    <row r="545" spans="1:19" x14ac:dyDescent="0.25">
      <c r="A545" t="s">
        <v>212</v>
      </c>
      <c r="B545">
        <v>2.1</v>
      </c>
      <c r="C545">
        <v>0</v>
      </c>
      <c r="D545">
        <v>0</v>
      </c>
      <c r="E545">
        <v>0</v>
      </c>
      <c r="F545">
        <v>0.4</v>
      </c>
      <c r="G545">
        <v>0.6</v>
      </c>
      <c r="H545">
        <v>1.5</v>
      </c>
      <c r="I545">
        <v>0.3</v>
      </c>
      <c r="J545">
        <v>0</v>
      </c>
      <c r="K545">
        <v>0.4</v>
      </c>
      <c r="L545">
        <v>2.2000000000000002</v>
      </c>
      <c r="M545" t="s">
        <v>162</v>
      </c>
      <c r="N545" t="s">
        <v>162</v>
      </c>
      <c r="O545" t="s">
        <v>162</v>
      </c>
      <c r="P545" t="s">
        <v>162</v>
      </c>
      <c r="Q545" t="s">
        <v>162</v>
      </c>
      <c r="R545" t="s">
        <v>162</v>
      </c>
      <c r="S545" t="s">
        <v>121</v>
      </c>
    </row>
    <row r="546" spans="1:19" x14ac:dyDescent="0.25">
      <c r="A546" t="s">
        <v>213</v>
      </c>
      <c r="B546">
        <v>21181</v>
      </c>
      <c r="C546" t="s">
        <v>162</v>
      </c>
      <c r="D546" t="s">
        <v>162</v>
      </c>
      <c r="E546" t="s">
        <v>162</v>
      </c>
      <c r="F546" t="s">
        <v>162</v>
      </c>
      <c r="G546" t="s">
        <v>162</v>
      </c>
      <c r="H546" t="s">
        <v>162</v>
      </c>
      <c r="I546" t="s">
        <v>162</v>
      </c>
      <c r="J546" t="s">
        <v>162</v>
      </c>
      <c r="K546" t="s">
        <v>162</v>
      </c>
      <c r="L546" t="s">
        <v>162</v>
      </c>
      <c r="M546" t="s">
        <v>162</v>
      </c>
      <c r="N546" t="s">
        <v>162</v>
      </c>
      <c r="O546" t="s">
        <v>162</v>
      </c>
      <c r="P546" t="s">
        <v>162</v>
      </c>
      <c r="Q546" t="s">
        <v>162</v>
      </c>
      <c r="R546" t="s">
        <v>162</v>
      </c>
      <c r="S546" t="s">
        <v>121</v>
      </c>
    </row>
    <row r="547" spans="1:19" x14ac:dyDescent="0.25">
      <c r="A547" t="s">
        <v>214</v>
      </c>
      <c r="S547" t="s">
        <v>121</v>
      </c>
    </row>
    <row r="548" spans="1:19" x14ac:dyDescent="0.25">
      <c r="A548" t="s">
        <v>122</v>
      </c>
      <c r="S548" t="s">
        <v>122</v>
      </c>
    </row>
    <row r="549" spans="1:19" x14ac:dyDescent="0.25">
      <c r="A549" t="s">
        <v>198</v>
      </c>
      <c r="B549" t="s">
        <v>257</v>
      </c>
      <c r="C549" t="s">
        <v>256</v>
      </c>
      <c r="D549" t="s">
        <v>181</v>
      </c>
      <c r="E549" t="s">
        <v>180</v>
      </c>
      <c r="F549" t="s">
        <v>179</v>
      </c>
      <c r="G549" t="s">
        <v>178</v>
      </c>
      <c r="H549" t="s">
        <v>177</v>
      </c>
      <c r="I549" t="s">
        <v>176</v>
      </c>
      <c r="J549" t="s">
        <v>175</v>
      </c>
      <c r="K549" t="s">
        <v>174</v>
      </c>
      <c r="L549" t="s">
        <v>173</v>
      </c>
      <c r="M549" t="s">
        <v>172</v>
      </c>
      <c r="N549" t="s">
        <v>171</v>
      </c>
      <c r="O549" t="s">
        <v>170</v>
      </c>
      <c r="P549" t="s">
        <v>169</v>
      </c>
      <c r="Q549" t="s">
        <v>168</v>
      </c>
      <c r="R549" t="s">
        <v>167</v>
      </c>
      <c r="S549" t="s">
        <v>122</v>
      </c>
    </row>
    <row r="550" spans="1:19" x14ac:dyDescent="0.25">
      <c r="A550" t="s">
        <v>199</v>
      </c>
      <c r="S550" t="s">
        <v>122</v>
      </c>
    </row>
    <row r="551" spans="1:19" x14ac:dyDescent="0.25">
      <c r="A551" t="s">
        <v>219</v>
      </c>
      <c r="B551">
        <v>52</v>
      </c>
      <c r="C551">
        <v>107.7</v>
      </c>
      <c r="D551">
        <v>100.8</v>
      </c>
      <c r="E551">
        <v>99.7</v>
      </c>
      <c r="F551">
        <v>100.6</v>
      </c>
      <c r="G551">
        <v>100.9</v>
      </c>
      <c r="H551">
        <v>97.2</v>
      </c>
      <c r="I551">
        <v>100.9</v>
      </c>
      <c r="J551">
        <v>99</v>
      </c>
      <c r="K551">
        <v>109.8</v>
      </c>
      <c r="L551">
        <v>88.8</v>
      </c>
      <c r="M551">
        <v>98.5</v>
      </c>
      <c r="N551">
        <v>99.6</v>
      </c>
      <c r="O551">
        <v>97.5</v>
      </c>
      <c r="P551">
        <v>87.3</v>
      </c>
      <c r="Q551">
        <v>99.5</v>
      </c>
      <c r="R551">
        <v>83.8</v>
      </c>
      <c r="S551" t="s">
        <v>122</v>
      </c>
    </row>
    <row r="552" spans="1:19" x14ac:dyDescent="0.25">
      <c r="A552" t="s">
        <v>201</v>
      </c>
      <c r="B552">
        <v>1626.5</v>
      </c>
      <c r="C552">
        <v>81.2</v>
      </c>
      <c r="D552">
        <v>81.7</v>
      </c>
      <c r="E552">
        <v>75.7</v>
      </c>
      <c r="F552">
        <v>57.4</v>
      </c>
      <c r="G552">
        <v>70.2</v>
      </c>
      <c r="H552">
        <v>66.5</v>
      </c>
      <c r="I552">
        <v>69.099999999999994</v>
      </c>
      <c r="J552">
        <v>71</v>
      </c>
      <c r="K552">
        <v>79.099999999999994</v>
      </c>
      <c r="L552">
        <v>73.599999999999994</v>
      </c>
      <c r="M552">
        <v>69.599999999999994</v>
      </c>
      <c r="N552">
        <v>64.8</v>
      </c>
      <c r="O552">
        <v>70.2</v>
      </c>
      <c r="P552">
        <v>86.7</v>
      </c>
      <c r="Q552">
        <v>72.7</v>
      </c>
      <c r="R552">
        <v>85.4</v>
      </c>
      <c r="S552" t="s">
        <v>122</v>
      </c>
    </row>
    <row r="553" spans="1:19" x14ac:dyDescent="0.25">
      <c r="A553" t="s">
        <v>165</v>
      </c>
      <c r="B553">
        <v>3</v>
      </c>
      <c r="C553">
        <v>74.900000000000006</v>
      </c>
      <c r="D553">
        <v>72.5</v>
      </c>
      <c r="E553">
        <v>78.900000000000006</v>
      </c>
      <c r="F553">
        <v>80.900000000000006</v>
      </c>
      <c r="G553">
        <v>76.599999999999994</v>
      </c>
      <c r="H553">
        <v>81.2</v>
      </c>
      <c r="I553">
        <v>80.599999999999994</v>
      </c>
      <c r="J553">
        <v>76.5</v>
      </c>
      <c r="K553">
        <v>81</v>
      </c>
      <c r="L553">
        <v>45.6</v>
      </c>
      <c r="M553">
        <v>73.2</v>
      </c>
      <c r="N553" t="s">
        <v>162</v>
      </c>
      <c r="O553" t="s">
        <v>162</v>
      </c>
      <c r="P553" t="s">
        <v>162</v>
      </c>
      <c r="Q553">
        <v>65.7</v>
      </c>
      <c r="R553">
        <v>80.099999999999994</v>
      </c>
      <c r="S553" t="s">
        <v>122</v>
      </c>
    </row>
    <row r="554" spans="1:19" x14ac:dyDescent="0.25">
      <c r="A554" t="s">
        <v>217</v>
      </c>
      <c r="B554">
        <v>40</v>
      </c>
      <c r="C554">
        <v>63.8</v>
      </c>
      <c r="D554">
        <v>77.7</v>
      </c>
      <c r="E554">
        <v>80.7</v>
      </c>
      <c r="F554">
        <v>65.8</v>
      </c>
      <c r="G554">
        <v>82</v>
      </c>
      <c r="H554">
        <v>87</v>
      </c>
      <c r="I554">
        <v>86.1</v>
      </c>
      <c r="J554">
        <v>84.6</v>
      </c>
      <c r="K554">
        <v>78.599999999999994</v>
      </c>
      <c r="L554">
        <v>68.7</v>
      </c>
      <c r="M554">
        <v>44.9</v>
      </c>
      <c r="N554" t="s">
        <v>162</v>
      </c>
      <c r="O554" t="s">
        <v>162</v>
      </c>
      <c r="P554" t="s">
        <v>162</v>
      </c>
      <c r="Q554" t="s">
        <v>162</v>
      </c>
      <c r="R554" t="s">
        <v>162</v>
      </c>
      <c r="S554" t="s">
        <v>122</v>
      </c>
    </row>
    <row r="555" spans="1:19" x14ac:dyDescent="0.25">
      <c r="A555" t="s">
        <v>200</v>
      </c>
      <c r="B555">
        <v>1.9</v>
      </c>
      <c r="C555">
        <v>45.4</v>
      </c>
      <c r="D555">
        <v>63.6</v>
      </c>
      <c r="E555">
        <v>82.5</v>
      </c>
      <c r="F555">
        <v>85.3</v>
      </c>
      <c r="G555" t="s">
        <v>162</v>
      </c>
      <c r="H555" t="s">
        <v>162</v>
      </c>
      <c r="I555" t="s">
        <v>162</v>
      </c>
      <c r="J555" t="s">
        <v>162</v>
      </c>
      <c r="K555" t="s">
        <v>162</v>
      </c>
      <c r="L555" t="s">
        <v>162</v>
      </c>
      <c r="M555" t="s">
        <v>162</v>
      </c>
      <c r="N555" t="s">
        <v>162</v>
      </c>
      <c r="O555" t="s">
        <v>162</v>
      </c>
      <c r="P555" t="s">
        <v>162</v>
      </c>
      <c r="Q555" t="s">
        <v>162</v>
      </c>
      <c r="R555" t="s">
        <v>162</v>
      </c>
      <c r="S555" t="s">
        <v>122</v>
      </c>
    </row>
    <row r="556" spans="1:19" x14ac:dyDescent="0.25">
      <c r="A556" t="s">
        <v>203</v>
      </c>
      <c r="B556">
        <v>2823.1</v>
      </c>
      <c r="C556">
        <v>35.5</v>
      </c>
      <c r="D556">
        <v>40</v>
      </c>
      <c r="E556">
        <v>37.5</v>
      </c>
      <c r="F556">
        <v>43.6</v>
      </c>
      <c r="G556">
        <v>41.1</v>
      </c>
      <c r="H556">
        <v>47</v>
      </c>
      <c r="I556">
        <v>45.4</v>
      </c>
      <c r="J556">
        <v>41.8</v>
      </c>
      <c r="K556">
        <v>40.9</v>
      </c>
      <c r="L556">
        <v>47.5</v>
      </c>
      <c r="M556">
        <v>39.9</v>
      </c>
      <c r="N556">
        <v>46.4</v>
      </c>
      <c r="O556">
        <v>52.3</v>
      </c>
      <c r="P556">
        <v>39.1</v>
      </c>
      <c r="Q556">
        <v>39.6</v>
      </c>
      <c r="R556">
        <v>42.2</v>
      </c>
      <c r="S556" t="s">
        <v>122</v>
      </c>
    </row>
    <row r="557" spans="1:19" x14ac:dyDescent="0.25">
      <c r="A557" t="s">
        <v>216</v>
      </c>
      <c r="B557">
        <v>1478.9</v>
      </c>
      <c r="C557">
        <v>34.9</v>
      </c>
      <c r="D557">
        <v>39.200000000000003</v>
      </c>
      <c r="E557">
        <v>36.299999999999997</v>
      </c>
      <c r="F557">
        <v>40.799999999999997</v>
      </c>
      <c r="G557">
        <v>34.200000000000003</v>
      </c>
      <c r="H557">
        <v>34.200000000000003</v>
      </c>
      <c r="I557">
        <v>36.299999999999997</v>
      </c>
      <c r="J557" t="s">
        <v>162</v>
      </c>
      <c r="K557" t="s">
        <v>162</v>
      </c>
      <c r="L557" t="s">
        <v>162</v>
      </c>
      <c r="M557" t="s">
        <v>162</v>
      </c>
      <c r="N557" t="s">
        <v>162</v>
      </c>
      <c r="O557" t="s">
        <v>162</v>
      </c>
      <c r="P557" t="s">
        <v>162</v>
      </c>
      <c r="Q557" t="s">
        <v>162</v>
      </c>
      <c r="R557" t="s">
        <v>162</v>
      </c>
      <c r="S557" t="s">
        <v>122</v>
      </c>
    </row>
    <row r="558" spans="1:19" x14ac:dyDescent="0.25">
      <c r="A558" t="s">
        <v>206</v>
      </c>
      <c r="B558">
        <v>315.8</v>
      </c>
      <c r="C558">
        <v>31.3</v>
      </c>
      <c r="D558">
        <v>21.2</v>
      </c>
      <c r="E558">
        <v>14.4</v>
      </c>
      <c r="F558">
        <v>8.1999999999999993</v>
      </c>
      <c r="G558">
        <v>12.5</v>
      </c>
      <c r="H558">
        <v>11.8</v>
      </c>
      <c r="I558">
        <v>10.6</v>
      </c>
      <c r="J558">
        <v>13</v>
      </c>
      <c r="K558">
        <v>17.600000000000001</v>
      </c>
      <c r="L558">
        <v>15.1</v>
      </c>
      <c r="M558">
        <v>18.2</v>
      </c>
      <c r="N558">
        <v>13.9</v>
      </c>
      <c r="O558">
        <v>14.9</v>
      </c>
      <c r="P558">
        <v>0.9</v>
      </c>
      <c r="Q558">
        <v>0.2</v>
      </c>
      <c r="R558">
        <v>0.4</v>
      </c>
      <c r="S558" t="s">
        <v>122</v>
      </c>
    </row>
    <row r="559" spans="1:19" x14ac:dyDescent="0.25">
      <c r="A559" t="s">
        <v>204</v>
      </c>
      <c r="B559">
        <v>116.9</v>
      </c>
      <c r="C559">
        <v>21.6</v>
      </c>
      <c r="D559">
        <v>21.2</v>
      </c>
      <c r="E559">
        <v>22.5</v>
      </c>
      <c r="F559">
        <v>21.9</v>
      </c>
      <c r="G559">
        <v>19.7</v>
      </c>
      <c r="H559">
        <v>22.8</v>
      </c>
      <c r="I559">
        <v>17.100000000000001</v>
      </c>
      <c r="J559" t="s">
        <v>162</v>
      </c>
      <c r="K559" t="s">
        <v>162</v>
      </c>
      <c r="L559" t="s">
        <v>162</v>
      </c>
      <c r="M559" t="s">
        <v>162</v>
      </c>
      <c r="N559" t="s">
        <v>162</v>
      </c>
      <c r="O559" t="s">
        <v>162</v>
      </c>
      <c r="P559" t="s">
        <v>162</v>
      </c>
      <c r="Q559" t="s">
        <v>162</v>
      </c>
      <c r="R559" t="s">
        <v>162</v>
      </c>
      <c r="S559" t="s">
        <v>122</v>
      </c>
    </row>
    <row r="560" spans="1:19" x14ac:dyDescent="0.25">
      <c r="A560" t="s">
        <v>215</v>
      </c>
      <c r="B560">
        <v>72.2</v>
      </c>
      <c r="C560">
        <v>20.7</v>
      </c>
      <c r="D560">
        <v>22.4</v>
      </c>
      <c r="E560">
        <v>19.399999999999999</v>
      </c>
      <c r="F560">
        <v>9.1</v>
      </c>
      <c r="G560">
        <v>25.1</v>
      </c>
      <c r="H560">
        <v>21.6</v>
      </c>
      <c r="I560">
        <v>17.8</v>
      </c>
      <c r="J560">
        <v>17.7</v>
      </c>
      <c r="K560">
        <v>13.3</v>
      </c>
      <c r="L560">
        <v>8.6999999999999993</v>
      </c>
      <c r="M560">
        <v>7.2</v>
      </c>
      <c r="N560">
        <v>4.9000000000000004</v>
      </c>
      <c r="O560">
        <v>2.2000000000000002</v>
      </c>
      <c r="P560">
        <v>4</v>
      </c>
      <c r="Q560">
        <v>14</v>
      </c>
      <c r="R560">
        <v>10.4</v>
      </c>
      <c r="S560" t="s">
        <v>122</v>
      </c>
    </row>
    <row r="561" spans="1:19" x14ac:dyDescent="0.25">
      <c r="A561" t="s">
        <v>207</v>
      </c>
      <c r="B561">
        <v>1.5</v>
      </c>
      <c r="C561">
        <v>0</v>
      </c>
      <c r="D561">
        <v>0</v>
      </c>
      <c r="E561">
        <v>10.8</v>
      </c>
      <c r="F561">
        <v>0.5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15</v>
      </c>
      <c r="Q561">
        <v>39.6</v>
      </c>
      <c r="R561">
        <v>50.3</v>
      </c>
      <c r="S561" t="s">
        <v>122</v>
      </c>
    </row>
    <row r="562" spans="1:19" x14ac:dyDescent="0.25">
      <c r="A562" t="s">
        <v>209</v>
      </c>
      <c r="B562" t="s">
        <v>162</v>
      </c>
      <c r="C562" t="s">
        <v>162</v>
      </c>
      <c r="D562" t="s">
        <v>162</v>
      </c>
      <c r="E562" t="s">
        <v>162</v>
      </c>
      <c r="F562" t="s">
        <v>162</v>
      </c>
      <c r="G562" t="s">
        <v>162</v>
      </c>
      <c r="H562" t="s">
        <v>162</v>
      </c>
      <c r="I562" t="s">
        <v>162</v>
      </c>
      <c r="J562" t="s">
        <v>162</v>
      </c>
      <c r="K562" t="s">
        <v>162</v>
      </c>
      <c r="L562" t="s">
        <v>162</v>
      </c>
      <c r="M562" t="s">
        <v>162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122</v>
      </c>
    </row>
    <row r="563" spans="1:19" x14ac:dyDescent="0.25">
      <c r="A563" t="s">
        <v>166</v>
      </c>
      <c r="B563" t="s">
        <v>162</v>
      </c>
      <c r="C563" t="s">
        <v>162</v>
      </c>
      <c r="D563" t="s">
        <v>162</v>
      </c>
      <c r="E563" t="s">
        <v>162</v>
      </c>
      <c r="F563" t="s">
        <v>162</v>
      </c>
      <c r="G563" t="s">
        <v>162</v>
      </c>
      <c r="H563" t="s">
        <v>162</v>
      </c>
      <c r="I563" t="s">
        <v>162</v>
      </c>
      <c r="J563">
        <v>37</v>
      </c>
      <c r="K563">
        <v>34.299999999999997</v>
      </c>
      <c r="L563">
        <v>35.799999999999997</v>
      </c>
      <c r="M563">
        <v>32.700000000000003</v>
      </c>
      <c r="N563">
        <v>35</v>
      </c>
      <c r="O563">
        <v>38.200000000000003</v>
      </c>
      <c r="P563">
        <v>28</v>
      </c>
      <c r="Q563">
        <v>32.5</v>
      </c>
      <c r="R563">
        <v>40.200000000000003</v>
      </c>
      <c r="S563" t="s">
        <v>122</v>
      </c>
    </row>
    <row r="564" spans="1:19" x14ac:dyDescent="0.25">
      <c r="A564" t="s">
        <v>211</v>
      </c>
      <c r="S564" t="s">
        <v>122</v>
      </c>
    </row>
    <row r="565" spans="1:19" x14ac:dyDescent="0.25">
      <c r="A565" t="s">
        <v>213</v>
      </c>
      <c r="B565">
        <v>6531.8</v>
      </c>
      <c r="C565" t="s">
        <v>162</v>
      </c>
      <c r="D565" t="s">
        <v>162</v>
      </c>
      <c r="E565" t="s">
        <v>162</v>
      </c>
      <c r="F565" t="s">
        <v>162</v>
      </c>
      <c r="G565" t="s">
        <v>162</v>
      </c>
      <c r="H565" t="s">
        <v>162</v>
      </c>
      <c r="I565" t="s">
        <v>162</v>
      </c>
      <c r="J565" t="s">
        <v>162</v>
      </c>
      <c r="K565" t="s">
        <v>162</v>
      </c>
      <c r="L565" t="s">
        <v>162</v>
      </c>
      <c r="M565" t="s">
        <v>162</v>
      </c>
      <c r="N565" t="s">
        <v>162</v>
      </c>
      <c r="O565" t="s">
        <v>162</v>
      </c>
      <c r="P565" t="s">
        <v>162</v>
      </c>
      <c r="Q565" t="s">
        <v>162</v>
      </c>
      <c r="R565" t="s">
        <v>162</v>
      </c>
      <c r="S565" t="s">
        <v>122</v>
      </c>
    </row>
    <row r="566" spans="1:19" x14ac:dyDescent="0.25">
      <c r="A566" t="s">
        <v>214</v>
      </c>
      <c r="S566" t="s">
        <v>122</v>
      </c>
    </row>
    <row r="567" spans="1:19" x14ac:dyDescent="0.25">
      <c r="A567" t="s">
        <v>123</v>
      </c>
      <c r="S567" t="s">
        <v>123</v>
      </c>
    </row>
    <row r="568" spans="1:19" x14ac:dyDescent="0.25">
      <c r="A568" t="s">
        <v>198</v>
      </c>
      <c r="B568" t="s">
        <v>257</v>
      </c>
      <c r="C568" t="s">
        <v>256</v>
      </c>
      <c r="D568" t="s">
        <v>181</v>
      </c>
      <c r="E568" t="s">
        <v>180</v>
      </c>
      <c r="F568" t="s">
        <v>179</v>
      </c>
      <c r="G568" t="s">
        <v>178</v>
      </c>
      <c r="H568" t="s">
        <v>177</v>
      </c>
      <c r="I568" t="s">
        <v>176</v>
      </c>
      <c r="J568" t="s">
        <v>175</v>
      </c>
      <c r="K568" t="s">
        <v>174</v>
      </c>
      <c r="L568" t="s">
        <v>173</v>
      </c>
      <c r="M568" t="s">
        <v>172</v>
      </c>
      <c r="N568" t="s">
        <v>171</v>
      </c>
      <c r="O568" t="s">
        <v>170</v>
      </c>
      <c r="P568" t="s">
        <v>169</v>
      </c>
      <c r="Q568" t="s">
        <v>168</v>
      </c>
      <c r="R568" t="s">
        <v>167</v>
      </c>
      <c r="S568" t="s">
        <v>123</v>
      </c>
    </row>
    <row r="569" spans="1:19" x14ac:dyDescent="0.25">
      <c r="A569" t="s">
        <v>199</v>
      </c>
      <c r="S569" t="s">
        <v>123</v>
      </c>
    </row>
    <row r="570" spans="1:19" x14ac:dyDescent="0.25">
      <c r="A570" t="s">
        <v>163</v>
      </c>
      <c r="B570">
        <v>768.5</v>
      </c>
      <c r="C570">
        <v>102.9</v>
      </c>
      <c r="D570">
        <v>83.3</v>
      </c>
      <c r="E570">
        <v>102</v>
      </c>
      <c r="F570">
        <v>91.5</v>
      </c>
      <c r="G570">
        <v>103.1</v>
      </c>
      <c r="H570">
        <v>83.5</v>
      </c>
      <c r="I570">
        <v>102.5</v>
      </c>
      <c r="J570">
        <v>91.8</v>
      </c>
      <c r="K570">
        <v>94.9</v>
      </c>
      <c r="L570">
        <v>92.8</v>
      </c>
      <c r="M570">
        <v>63.2</v>
      </c>
      <c r="N570">
        <v>53.2</v>
      </c>
      <c r="O570">
        <v>63.7</v>
      </c>
      <c r="P570">
        <v>101.3</v>
      </c>
      <c r="Q570">
        <v>86</v>
      </c>
      <c r="R570">
        <v>86.2</v>
      </c>
      <c r="S570" t="s">
        <v>123</v>
      </c>
    </row>
    <row r="571" spans="1:19" x14ac:dyDescent="0.25">
      <c r="A571" t="s">
        <v>200</v>
      </c>
      <c r="B571">
        <v>15.5</v>
      </c>
      <c r="C571">
        <v>63.2</v>
      </c>
      <c r="D571">
        <v>61.7</v>
      </c>
      <c r="E571">
        <v>65</v>
      </c>
      <c r="F571">
        <v>63.5</v>
      </c>
      <c r="G571">
        <v>59.9</v>
      </c>
      <c r="H571">
        <v>64.2</v>
      </c>
      <c r="I571">
        <v>64.5</v>
      </c>
      <c r="J571">
        <v>65.8</v>
      </c>
      <c r="K571">
        <v>51</v>
      </c>
      <c r="L571">
        <v>48.2</v>
      </c>
      <c r="M571">
        <v>70.599999999999994</v>
      </c>
      <c r="N571">
        <v>66.7</v>
      </c>
      <c r="O571">
        <v>71.900000000000006</v>
      </c>
      <c r="P571">
        <v>75.3</v>
      </c>
      <c r="Q571">
        <v>69</v>
      </c>
      <c r="R571">
        <v>64</v>
      </c>
      <c r="S571" t="s">
        <v>123</v>
      </c>
    </row>
    <row r="572" spans="1:19" x14ac:dyDescent="0.25">
      <c r="A572" t="s">
        <v>201</v>
      </c>
      <c r="B572">
        <v>3825.8</v>
      </c>
      <c r="C572">
        <v>53.8</v>
      </c>
      <c r="D572">
        <v>59.6</v>
      </c>
      <c r="E572">
        <v>56.2</v>
      </c>
      <c r="F572">
        <v>55.6</v>
      </c>
      <c r="G572">
        <v>60.5</v>
      </c>
      <c r="H572">
        <v>69</v>
      </c>
      <c r="I572">
        <v>63.6</v>
      </c>
      <c r="J572">
        <v>64.900000000000006</v>
      </c>
      <c r="K572">
        <v>69</v>
      </c>
      <c r="L572">
        <v>68.599999999999994</v>
      </c>
      <c r="M572">
        <v>73.5</v>
      </c>
      <c r="N572">
        <v>69</v>
      </c>
      <c r="O572">
        <v>72.400000000000006</v>
      </c>
      <c r="P572">
        <v>68.599999999999994</v>
      </c>
      <c r="Q572">
        <v>73.7</v>
      </c>
      <c r="R572">
        <v>76.599999999999994</v>
      </c>
      <c r="S572" t="s">
        <v>123</v>
      </c>
    </row>
    <row r="573" spans="1:19" x14ac:dyDescent="0.25">
      <c r="A573" t="s">
        <v>203</v>
      </c>
      <c r="B573">
        <v>279.7</v>
      </c>
      <c r="C573">
        <v>46.6</v>
      </c>
      <c r="D573">
        <v>43.2</v>
      </c>
      <c r="E573">
        <v>45.8</v>
      </c>
      <c r="F573">
        <v>56.6</v>
      </c>
      <c r="G573">
        <v>54.6</v>
      </c>
      <c r="H573">
        <v>56.8</v>
      </c>
      <c r="I573">
        <v>61.6</v>
      </c>
      <c r="J573">
        <v>55.4</v>
      </c>
      <c r="K573">
        <v>69.2</v>
      </c>
      <c r="L573">
        <v>47.6</v>
      </c>
      <c r="M573">
        <v>46.2</v>
      </c>
      <c r="N573">
        <v>52</v>
      </c>
      <c r="O573">
        <v>66.400000000000006</v>
      </c>
      <c r="P573">
        <v>54</v>
      </c>
      <c r="Q573">
        <v>28.1</v>
      </c>
      <c r="R573">
        <v>22.4</v>
      </c>
      <c r="S573" t="s">
        <v>123</v>
      </c>
    </row>
    <row r="574" spans="1:19" x14ac:dyDescent="0.25">
      <c r="A574" t="s">
        <v>216</v>
      </c>
      <c r="B574">
        <v>3518.3</v>
      </c>
      <c r="C574">
        <v>38.4</v>
      </c>
      <c r="D574">
        <v>44.8</v>
      </c>
      <c r="E574">
        <v>40.799999999999997</v>
      </c>
      <c r="F574">
        <v>44.9</v>
      </c>
      <c r="G574">
        <v>40.700000000000003</v>
      </c>
      <c r="H574">
        <v>42.1</v>
      </c>
      <c r="I574">
        <v>43.3</v>
      </c>
      <c r="J574" t="s">
        <v>162</v>
      </c>
      <c r="K574" t="s">
        <v>162</v>
      </c>
      <c r="L574" t="s">
        <v>162</v>
      </c>
      <c r="M574" t="s">
        <v>162</v>
      </c>
      <c r="N574" t="s">
        <v>162</v>
      </c>
      <c r="O574" t="s">
        <v>162</v>
      </c>
      <c r="P574" t="s">
        <v>162</v>
      </c>
      <c r="Q574" t="s">
        <v>162</v>
      </c>
      <c r="R574" t="s">
        <v>162</v>
      </c>
      <c r="S574" t="s">
        <v>123</v>
      </c>
    </row>
    <row r="575" spans="1:19" x14ac:dyDescent="0.25">
      <c r="A575" t="s">
        <v>204</v>
      </c>
      <c r="B575">
        <v>40.6</v>
      </c>
      <c r="C575">
        <v>22.3</v>
      </c>
      <c r="D575">
        <v>23.9</v>
      </c>
      <c r="E575">
        <v>22.8</v>
      </c>
      <c r="F575">
        <v>22.3</v>
      </c>
      <c r="G575">
        <v>19.5</v>
      </c>
      <c r="H575">
        <v>18.3</v>
      </c>
      <c r="I575">
        <v>19</v>
      </c>
      <c r="J575">
        <v>19.2</v>
      </c>
      <c r="K575" t="s">
        <v>162</v>
      </c>
      <c r="L575" t="s">
        <v>162</v>
      </c>
      <c r="M575" t="s">
        <v>162</v>
      </c>
      <c r="N575" t="s">
        <v>162</v>
      </c>
      <c r="O575" t="s">
        <v>162</v>
      </c>
      <c r="P575" t="s">
        <v>162</v>
      </c>
      <c r="Q575" t="s">
        <v>162</v>
      </c>
      <c r="R575" t="s">
        <v>162</v>
      </c>
      <c r="S575" t="s">
        <v>123</v>
      </c>
    </row>
    <row r="576" spans="1:19" x14ac:dyDescent="0.25">
      <c r="A576" t="s">
        <v>202</v>
      </c>
      <c r="B576">
        <v>338</v>
      </c>
      <c r="C576">
        <v>20.100000000000001</v>
      </c>
      <c r="D576">
        <v>16.8</v>
      </c>
      <c r="E576">
        <v>19.5</v>
      </c>
      <c r="F576">
        <v>24.6</v>
      </c>
      <c r="G576">
        <v>23.3</v>
      </c>
      <c r="H576">
        <v>17.600000000000001</v>
      </c>
      <c r="I576">
        <v>9.9</v>
      </c>
      <c r="J576">
        <v>11.8</v>
      </c>
      <c r="K576">
        <v>7.2</v>
      </c>
      <c r="L576">
        <v>6.7</v>
      </c>
      <c r="M576">
        <v>7.2</v>
      </c>
      <c r="N576">
        <v>15</v>
      </c>
      <c r="O576">
        <v>6.6</v>
      </c>
      <c r="P576">
        <v>5.0999999999999996</v>
      </c>
      <c r="Q576">
        <v>5.7</v>
      </c>
      <c r="R576">
        <v>13.6</v>
      </c>
      <c r="S576" t="s">
        <v>123</v>
      </c>
    </row>
    <row r="577" spans="1:19" x14ac:dyDescent="0.25">
      <c r="A577" t="s">
        <v>205</v>
      </c>
      <c r="B577">
        <v>378.6</v>
      </c>
      <c r="C577">
        <v>6</v>
      </c>
      <c r="D577">
        <v>3.1</v>
      </c>
      <c r="E577">
        <v>0.7</v>
      </c>
      <c r="F577">
        <v>0.6</v>
      </c>
      <c r="G577">
        <v>1.6</v>
      </c>
      <c r="H577">
        <v>0.1</v>
      </c>
      <c r="I577">
        <v>0.8</v>
      </c>
      <c r="J577">
        <v>5.8</v>
      </c>
      <c r="K577">
        <v>0.2</v>
      </c>
      <c r="L577">
        <v>0.2</v>
      </c>
      <c r="M577">
        <v>0.2</v>
      </c>
      <c r="N577">
        <v>1.9</v>
      </c>
      <c r="O577">
        <v>0.2</v>
      </c>
      <c r="P577">
        <v>0.8</v>
      </c>
      <c r="Q577">
        <v>0.7</v>
      </c>
      <c r="R577">
        <v>1.3</v>
      </c>
      <c r="S577" t="s">
        <v>123</v>
      </c>
    </row>
    <row r="578" spans="1:19" x14ac:dyDescent="0.25">
      <c r="A578" t="s">
        <v>206</v>
      </c>
      <c r="B578">
        <v>1107.5999999999999</v>
      </c>
      <c r="C578">
        <v>5.4</v>
      </c>
      <c r="D578">
        <v>5.6</v>
      </c>
      <c r="E578">
        <v>5.3</v>
      </c>
      <c r="F578">
        <v>3.9</v>
      </c>
      <c r="G578">
        <v>4.3</v>
      </c>
      <c r="H578">
        <v>3.7</v>
      </c>
      <c r="I578">
        <v>2.1</v>
      </c>
      <c r="J578">
        <v>1.8</v>
      </c>
      <c r="K578">
        <v>1.4</v>
      </c>
      <c r="L578">
        <v>1.4</v>
      </c>
      <c r="M578">
        <v>1.7</v>
      </c>
      <c r="N578">
        <v>2.5</v>
      </c>
      <c r="O578">
        <v>1.7</v>
      </c>
      <c r="P578">
        <v>1.3</v>
      </c>
      <c r="Q578">
        <v>0.6</v>
      </c>
      <c r="R578">
        <v>2.2999999999999998</v>
      </c>
      <c r="S578" t="s">
        <v>123</v>
      </c>
    </row>
    <row r="579" spans="1:19" x14ac:dyDescent="0.25">
      <c r="A579" t="s">
        <v>208</v>
      </c>
      <c r="B579">
        <v>249.2</v>
      </c>
      <c r="C579">
        <v>0.9</v>
      </c>
      <c r="D579">
        <v>0.7</v>
      </c>
      <c r="E579">
        <v>0.8</v>
      </c>
      <c r="F579">
        <v>0.2</v>
      </c>
      <c r="G579">
        <v>0.3</v>
      </c>
      <c r="H579">
        <v>0.1</v>
      </c>
      <c r="I579">
        <v>0</v>
      </c>
      <c r="J579">
        <v>0.1</v>
      </c>
      <c r="K579">
        <v>0.1</v>
      </c>
      <c r="L579">
        <v>0.1</v>
      </c>
      <c r="M579">
        <v>0</v>
      </c>
      <c r="N579">
        <v>0</v>
      </c>
      <c r="O579">
        <v>0.1</v>
      </c>
      <c r="P579">
        <v>0</v>
      </c>
      <c r="Q579">
        <v>0.1</v>
      </c>
      <c r="R579">
        <v>0.2</v>
      </c>
      <c r="S579" t="s">
        <v>123</v>
      </c>
    </row>
    <row r="580" spans="1:19" x14ac:dyDescent="0.25">
      <c r="A580" t="s">
        <v>209</v>
      </c>
      <c r="B580">
        <v>116.2</v>
      </c>
      <c r="C580">
        <v>0.6</v>
      </c>
      <c r="D580">
        <v>0.6</v>
      </c>
      <c r="E580">
        <v>0.9</v>
      </c>
      <c r="F580">
        <v>0.7</v>
      </c>
      <c r="G580">
        <v>0.7</v>
      </c>
      <c r="H580">
        <v>1</v>
      </c>
      <c r="I580">
        <v>1.1000000000000001</v>
      </c>
      <c r="J580">
        <v>1</v>
      </c>
      <c r="K580">
        <v>0.3</v>
      </c>
      <c r="L580">
        <v>0.1</v>
      </c>
      <c r="M580">
        <v>0.2</v>
      </c>
      <c r="N580">
        <v>0.5</v>
      </c>
      <c r="O580">
        <v>0.2</v>
      </c>
      <c r="P580">
        <v>0.2</v>
      </c>
      <c r="Q580">
        <v>0.2</v>
      </c>
      <c r="R580">
        <v>0.2</v>
      </c>
      <c r="S580" t="s">
        <v>123</v>
      </c>
    </row>
    <row r="581" spans="1:19" x14ac:dyDescent="0.25">
      <c r="A581" t="s">
        <v>215</v>
      </c>
      <c r="B581">
        <v>135.6</v>
      </c>
      <c r="C581">
        <v>0.1</v>
      </c>
      <c r="D581">
        <v>0</v>
      </c>
      <c r="E581">
        <v>0.1</v>
      </c>
      <c r="F581">
        <v>0.1</v>
      </c>
      <c r="G581">
        <v>0.1</v>
      </c>
      <c r="H581">
        <v>0.2</v>
      </c>
      <c r="I581">
        <v>0.1</v>
      </c>
      <c r="J581">
        <v>0.1</v>
      </c>
      <c r="K581">
        <v>0.1</v>
      </c>
      <c r="L581">
        <v>0.1</v>
      </c>
      <c r="M581">
        <v>0.1</v>
      </c>
      <c r="N581">
        <v>0.1</v>
      </c>
      <c r="O581">
        <v>0.1</v>
      </c>
      <c r="P581">
        <v>0.1</v>
      </c>
      <c r="Q581">
        <v>0.2</v>
      </c>
      <c r="R581">
        <v>0.3</v>
      </c>
      <c r="S581" t="s">
        <v>123</v>
      </c>
    </row>
    <row r="582" spans="1:19" x14ac:dyDescent="0.25">
      <c r="A582" t="s">
        <v>166</v>
      </c>
      <c r="B582" t="s">
        <v>162</v>
      </c>
      <c r="C582" t="s">
        <v>162</v>
      </c>
      <c r="D582" t="s">
        <v>162</v>
      </c>
      <c r="E582" t="s">
        <v>162</v>
      </c>
      <c r="F582" t="s">
        <v>162</v>
      </c>
      <c r="G582" t="s">
        <v>162</v>
      </c>
      <c r="H582" t="s">
        <v>162</v>
      </c>
      <c r="I582" t="s">
        <v>162</v>
      </c>
      <c r="J582">
        <v>44.9</v>
      </c>
      <c r="K582">
        <v>44.1</v>
      </c>
      <c r="L582">
        <v>45.4</v>
      </c>
      <c r="M582">
        <v>43.8</v>
      </c>
      <c r="N582">
        <v>40.9</v>
      </c>
      <c r="O582">
        <v>39.1</v>
      </c>
      <c r="P582">
        <v>47.8</v>
      </c>
      <c r="Q582">
        <v>49.4</v>
      </c>
      <c r="R582">
        <v>98.7</v>
      </c>
      <c r="S582" t="s">
        <v>123</v>
      </c>
    </row>
    <row r="583" spans="1:19" x14ac:dyDescent="0.25">
      <c r="A583" t="s">
        <v>211</v>
      </c>
      <c r="S583" t="s">
        <v>123</v>
      </c>
    </row>
    <row r="584" spans="1:19" x14ac:dyDescent="0.25">
      <c r="A584" t="s">
        <v>212</v>
      </c>
      <c r="B584">
        <v>4.7</v>
      </c>
      <c r="C584">
        <v>0.7</v>
      </c>
      <c r="D584">
        <v>1.4</v>
      </c>
      <c r="E584">
        <v>0.7</v>
      </c>
      <c r="F584" t="s">
        <v>162</v>
      </c>
      <c r="G584" t="s">
        <v>162</v>
      </c>
      <c r="H584" t="s">
        <v>162</v>
      </c>
      <c r="I584" t="s">
        <v>162</v>
      </c>
      <c r="J584" t="s">
        <v>162</v>
      </c>
      <c r="K584" t="s">
        <v>162</v>
      </c>
      <c r="L584" t="s">
        <v>162</v>
      </c>
      <c r="M584" t="s">
        <v>162</v>
      </c>
      <c r="N584" t="s">
        <v>162</v>
      </c>
      <c r="O584" t="s">
        <v>162</v>
      </c>
      <c r="P584" t="s">
        <v>162</v>
      </c>
      <c r="Q584" t="s">
        <v>162</v>
      </c>
      <c r="R584" t="s">
        <v>162</v>
      </c>
      <c r="S584" t="s">
        <v>123</v>
      </c>
    </row>
    <row r="585" spans="1:19" x14ac:dyDescent="0.25">
      <c r="A585" t="s">
        <v>213</v>
      </c>
      <c r="B585">
        <v>10778.3</v>
      </c>
      <c r="C585" t="s">
        <v>162</v>
      </c>
      <c r="D585" t="s">
        <v>162</v>
      </c>
      <c r="E585" t="s">
        <v>162</v>
      </c>
      <c r="F585" t="s">
        <v>162</v>
      </c>
      <c r="G585" t="s">
        <v>162</v>
      </c>
      <c r="H585" t="s">
        <v>162</v>
      </c>
      <c r="I585" t="s">
        <v>162</v>
      </c>
      <c r="J585" t="s">
        <v>162</v>
      </c>
      <c r="K585" t="s">
        <v>162</v>
      </c>
      <c r="L585" t="s">
        <v>162</v>
      </c>
      <c r="M585" t="s">
        <v>162</v>
      </c>
      <c r="N585" t="s">
        <v>162</v>
      </c>
      <c r="O585" t="s">
        <v>162</v>
      </c>
      <c r="P585" t="s">
        <v>162</v>
      </c>
      <c r="Q585" t="s">
        <v>162</v>
      </c>
      <c r="R585" t="s">
        <v>162</v>
      </c>
      <c r="S585" t="s">
        <v>123</v>
      </c>
    </row>
    <row r="586" spans="1:19" x14ac:dyDescent="0.25">
      <c r="A586" t="s">
        <v>214</v>
      </c>
      <c r="S586" t="s">
        <v>123</v>
      </c>
    </row>
    <row r="587" spans="1:19" x14ac:dyDescent="0.25">
      <c r="A587" t="s">
        <v>124</v>
      </c>
      <c r="S587" t="s">
        <v>124</v>
      </c>
    </row>
    <row r="588" spans="1:19" x14ac:dyDescent="0.25">
      <c r="A588" t="s">
        <v>198</v>
      </c>
      <c r="B588" t="s">
        <v>257</v>
      </c>
      <c r="C588" t="s">
        <v>256</v>
      </c>
      <c r="D588" t="s">
        <v>181</v>
      </c>
      <c r="E588" t="s">
        <v>180</v>
      </c>
      <c r="F588" t="s">
        <v>179</v>
      </c>
      <c r="G588" t="s">
        <v>178</v>
      </c>
      <c r="H588" t="s">
        <v>177</v>
      </c>
      <c r="I588" t="s">
        <v>176</v>
      </c>
      <c r="J588" t="s">
        <v>175</v>
      </c>
      <c r="K588" t="s">
        <v>174</v>
      </c>
      <c r="L588" t="s">
        <v>173</v>
      </c>
      <c r="M588" t="s">
        <v>172</v>
      </c>
      <c r="N588" t="s">
        <v>171</v>
      </c>
      <c r="O588" t="s">
        <v>170</v>
      </c>
      <c r="P588" t="s">
        <v>169</v>
      </c>
      <c r="Q588" t="s">
        <v>168</v>
      </c>
      <c r="R588" t="s">
        <v>167</v>
      </c>
      <c r="S588" t="s">
        <v>124</v>
      </c>
    </row>
    <row r="589" spans="1:19" x14ac:dyDescent="0.25">
      <c r="A589" t="s">
        <v>199</v>
      </c>
      <c r="S589" t="s">
        <v>124</v>
      </c>
    </row>
    <row r="590" spans="1:19" x14ac:dyDescent="0.25">
      <c r="A590" t="s">
        <v>164</v>
      </c>
      <c r="B590">
        <v>646.5</v>
      </c>
      <c r="C590">
        <v>71</v>
      </c>
      <c r="D590">
        <v>70.7</v>
      </c>
      <c r="E590">
        <v>73.5</v>
      </c>
      <c r="F590">
        <v>73.599999999999994</v>
      </c>
      <c r="G590">
        <v>80.7</v>
      </c>
      <c r="H590">
        <v>76.7</v>
      </c>
      <c r="I590">
        <v>80.900000000000006</v>
      </c>
      <c r="J590">
        <v>83</v>
      </c>
      <c r="K590">
        <v>79.3</v>
      </c>
      <c r="L590">
        <v>75.099999999999994</v>
      </c>
      <c r="M590">
        <v>81.8</v>
      </c>
      <c r="N590">
        <v>72.5</v>
      </c>
      <c r="O590">
        <v>75.5</v>
      </c>
      <c r="P590">
        <v>76.2</v>
      </c>
      <c r="Q590">
        <v>69</v>
      </c>
      <c r="R590">
        <v>73.8</v>
      </c>
      <c r="S590" t="s">
        <v>124</v>
      </c>
    </row>
    <row r="591" spans="1:19" x14ac:dyDescent="0.25">
      <c r="A591" t="s">
        <v>200</v>
      </c>
      <c r="B591">
        <v>9.8000000000000007</v>
      </c>
      <c r="C591">
        <v>62.5</v>
      </c>
      <c r="D591">
        <v>56.9</v>
      </c>
      <c r="E591">
        <v>58.2</v>
      </c>
      <c r="F591">
        <v>63</v>
      </c>
      <c r="G591">
        <v>63.2</v>
      </c>
      <c r="H591">
        <v>61.8</v>
      </c>
      <c r="I591">
        <v>67.2</v>
      </c>
      <c r="J591">
        <v>64.2</v>
      </c>
      <c r="K591">
        <v>91.7</v>
      </c>
      <c r="L591">
        <v>87.6</v>
      </c>
      <c r="M591">
        <v>86.6</v>
      </c>
      <c r="N591">
        <v>80.900000000000006</v>
      </c>
      <c r="O591" t="s">
        <v>162</v>
      </c>
      <c r="P591" t="s">
        <v>162</v>
      </c>
      <c r="Q591" t="s">
        <v>162</v>
      </c>
      <c r="R591" t="s">
        <v>162</v>
      </c>
      <c r="S591" t="s">
        <v>124</v>
      </c>
    </row>
    <row r="592" spans="1:19" x14ac:dyDescent="0.25">
      <c r="A592" t="s">
        <v>215</v>
      </c>
      <c r="B592">
        <v>112</v>
      </c>
      <c r="C592">
        <v>49.9</v>
      </c>
      <c r="D592">
        <v>36.299999999999997</v>
      </c>
      <c r="E592">
        <v>34.6</v>
      </c>
      <c r="F592">
        <v>33.4</v>
      </c>
      <c r="G592">
        <v>32</v>
      </c>
      <c r="H592">
        <v>34</v>
      </c>
      <c r="I592">
        <v>30.1</v>
      </c>
      <c r="J592">
        <v>28.6</v>
      </c>
      <c r="K592">
        <v>31.2</v>
      </c>
      <c r="L592">
        <v>24.6</v>
      </c>
      <c r="M592">
        <v>25.6</v>
      </c>
      <c r="N592">
        <v>26.9</v>
      </c>
      <c r="O592">
        <v>17.3</v>
      </c>
      <c r="P592">
        <v>20.6</v>
      </c>
      <c r="Q592">
        <v>21.1</v>
      </c>
      <c r="R592">
        <v>34.799999999999997</v>
      </c>
      <c r="S592" t="s">
        <v>124</v>
      </c>
    </row>
    <row r="593" spans="1:19" x14ac:dyDescent="0.25">
      <c r="A593" t="s">
        <v>217</v>
      </c>
      <c r="B593">
        <v>6.5</v>
      </c>
      <c r="C593">
        <v>49.6</v>
      </c>
      <c r="D593">
        <v>52.2</v>
      </c>
      <c r="E593">
        <v>49.4</v>
      </c>
      <c r="F593">
        <v>45.2</v>
      </c>
      <c r="G593">
        <v>37.799999999999997</v>
      </c>
      <c r="H593">
        <v>50.5</v>
      </c>
      <c r="I593">
        <v>55.4</v>
      </c>
      <c r="J593">
        <v>36.799999999999997</v>
      </c>
      <c r="K593" t="s">
        <v>162</v>
      </c>
      <c r="L593" t="s">
        <v>162</v>
      </c>
      <c r="M593" t="s">
        <v>162</v>
      </c>
      <c r="N593" t="s">
        <v>162</v>
      </c>
      <c r="O593" t="s">
        <v>162</v>
      </c>
      <c r="P593">
        <v>0</v>
      </c>
      <c r="Q593" t="s">
        <v>162</v>
      </c>
      <c r="R593" t="s">
        <v>162</v>
      </c>
      <c r="S593" t="s">
        <v>124</v>
      </c>
    </row>
    <row r="594" spans="1:19" x14ac:dyDescent="0.25">
      <c r="A594" t="s">
        <v>202</v>
      </c>
      <c r="B594">
        <v>5703</v>
      </c>
      <c r="C594">
        <v>46.3</v>
      </c>
      <c r="D594">
        <v>46.4</v>
      </c>
      <c r="E594">
        <v>51.4</v>
      </c>
      <c r="F594">
        <v>51.9</v>
      </c>
      <c r="G594">
        <v>50.1</v>
      </c>
      <c r="H594">
        <v>52.4</v>
      </c>
      <c r="I594">
        <v>53.3</v>
      </c>
      <c r="J594">
        <v>58.6</v>
      </c>
      <c r="K594">
        <v>58.6</v>
      </c>
      <c r="L594">
        <v>46.7</v>
      </c>
      <c r="M594">
        <v>49.9</v>
      </c>
      <c r="N594">
        <v>53.4</v>
      </c>
      <c r="O594">
        <v>47.3</v>
      </c>
      <c r="P594">
        <v>54.2</v>
      </c>
      <c r="Q594">
        <v>58.6</v>
      </c>
      <c r="R594">
        <v>55.2</v>
      </c>
      <c r="S594" t="s">
        <v>124</v>
      </c>
    </row>
    <row r="595" spans="1:19" x14ac:dyDescent="0.25">
      <c r="A595" t="s">
        <v>201</v>
      </c>
      <c r="B595">
        <v>740.4</v>
      </c>
      <c r="C595">
        <v>31.9</v>
      </c>
      <c r="D595">
        <v>42.4</v>
      </c>
      <c r="E595">
        <v>42.7</v>
      </c>
      <c r="F595">
        <v>30.4</v>
      </c>
      <c r="G595">
        <v>42.4</v>
      </c>
      <c r="H595">
        <v>38.700000000000003</v>
      </c>
      <c r="I595">
        <v>27.3</v>
      </c>
      <c r="J595">
        <v>25.1</v>
      </c>
      <c r="K595">
        <v>30.8</v>
      </c>
      <c r="L595">
        <v>58.3</v>
      </c>
      <c r="M595">
        <v>46.7</v>
      </c>
      <c r="N595">
        <v>36.6</v>
      </c>
      <c r="O595">
        <v>21.7</v>
      </c>
      <c r="P595">
        <v>28</v>
      </c>
      <c r="Q595">
        <v>29.6</v>
      </c>
      <c r="R595">
        <v>31.4</v>
      </c>
      <c r="S595" t="s">
        <v>124</v>
      </c>
    </row>
    <row r="596" spans="1:19" x14ac:dyDescent="0.25">
      <c r="A596" t="s">
        <v>204</v>
      </c>
      <c r="B596">
        <v>3457.9</v>
      </c>
      <c r="C596">
        <v>28.2</v>
      </c>
      <c r="D596">
        <v>29.1</v>
      </c>
      <c r="E596">
        <v>27.6</v>
      </c>
      <c r="F596">
        <v>28.4</v>
      </c>
      <c r="G596">
        <v>27.8</v>
      </c>
      <c r="H596">
        <v>29.4</v>
      </c>
      <c r="I596">
        <v>28.7</v>
      </c>
      <c r="J596">
        <v>26.6</v>
      </c>
      <c r="K596">
        <v>26.6</v>
      </c>
      <c r="L596">
        <v>26.2</v>
      </c>
      <c r="M596">
        <v>26.7</v>
      </c>
      <c r="N596">
        <v>20.5</v>
      </c>
      <c r="O596">
        <v>25.5</v>
      </c>
      <c r="P596">
        <v>22.1</v>
      </c>
      <c r="Q596">
        <v>24.5</v>
      </c>
      <c r="R596">
        <v>24.7</v>
      </c>
      <c r="S596" t="s">
        <v>124</v>
      </c>
    </row>
    <row r="597" spans="1:19" x14ac:dyDescent="0.25">
      <c r="A597" t="s">
        <v>216</v>
      </c>
      <c r="B597">
        <v>150</v>
      </c>
      <c r="C597">
        <v>22.2</v>
      </c>
      <c r="D597">
        <v>24</v>
      </c>
      <c r="E597">
        <v>25.9</v>
      </c>
      <c r="F597">
        <v>24.7</v>
      </c>
      <c r="G597">
        <v>25.1</v>
      </c>
      <c r="H597">
        <v>23.8</v>
      </c>
      <c r="I597">
        <v>27.5</v>
      </c>
      <c r="J597" t="s">
        <v>162</v>
      </c>
      <c r="K597" t="s">
        <v>162</v>
      </c>
      <c r="L597" t="s">
        <v>162</v>
      </c>
      <c r="M597" t="s">
        <v>162</v>
      </c>
      <c r="N597" t="s">
        <v>162</v>
      </c>
      <c r="O597" t="s">
        <v>162</v>
      </c>
      <c r="P597" t="s">
        <v>162</v>
      </c>
      <c r="Q597" t="s">
        <v>162</v>
      </c>
      <c r="R597" t="s">
        <v>162</v>
      </c>
      <c r="S597" t="s">
        <v>124</v>
      </c>
    </row>
    <row r="598" spans="1:19" x14ac:dyDescent="0.25">
      <c r="A598" t="s">
        <v>205</v>
      </c>
      <c r="B598">
        <v>334</v>
      </c>
      <c r="C598">
        <v>15.6</v>
      </c>
      <c r="D598">
        <v>20.5</v>
      </c>
      <c r="E598">
        <v>20.6</v>
      </c>
      <c r="F598">
        <v>30</v>
      </c>
      <c r="G598">
        <v>31.7</v>
      </c>
      <c r="H598">
        <v>21.2</v>
      </c>
      <c r="I598">
        <v>15.5</v>
      </c>
      <c r="J598">
        <v>12.4</v>
      </c>
      <c r="K598">
        <v>13.3</v>
      </c>
      <c r="L598">
        <v>10.1</v>
      </c>
      <c r="M598">
        <v>12.7</v>
      </c>
      <c r="N598">
        <v>7</v>
      </c>
      <c r="O598">
        <v>4.0999999999999996</v>
      </c>
      <c r="P598">
        <v>3.7</v>
      </c>
      <c r="Q598">
        <v>8.1</v>
      </c>
      <c r="R598">
        <v>20.9</v>
      </c>
      <c r="S598" t="s">
        <v>124</v>
      </c>
    </row>
    <row r="599" spans="1:19" x14ac:dyDescent="0.25">
      <c r="A599" t="s">
        <v>203</v>
      </c>
      <c r="B599">
        <v>1051.7</v>
      </c>
      <c r="C599">
        <v>14.3</v>
      </c>
      <c r="D599">
        <v>18.3</v>
      </c>
      <c r="E599">
        <v>21.1</v>
      </c>
      <c r="F599">
        <v>20.8</v>
      </c>
      <c r="G599">
        <v>24.3</v>
      </c>
      <c r="H599">
        <v>20.399999999999999</v>
      </c>
      <c r="I599">
        <v>19.7</v>
      </c>
      <c r="J599">
        <v>19.399999999999999</v>
      </c>
      <c r="K599">
        <v>24.6</v>
      </c>
      <c r="L599">
        <v>25.9</v>
      </c>
      <c r="M599">
        <v>29.1</v>
      </c>
      <c r="N599">
        <v>26.4</v>
      </c>
      <c r="O599">
        <v>23.8</v>
      </c>
      <c r="P599">
        <v>23.4</v>
      </c>
      <c r="Q599">
        <v>26.7</v>
      </c>
      <c r="R599">
        <v>19</v>
      </c>
      <c r="S599" t="s">
        <v>124</v>
      </c>
    </row>
    <row r="600" spans="1:19" x14ac:dyDescent="0.25">
      <c r="A600" t="s">
        <v>218</v>
      </c>
      <c r="B600">
        <v>178.5</v>
      </c>
      <c r="C600">
        <v>11.1</v>
      </c>
      <c r="D600">
        <v>12.4</v>
      </c>
      <c r="E600">
        <v>11</v>
      </c>
      <c r="F600">
        <v>7</v>
      </c>
      <c r="G600">
        <v>10.4</v>
      </c>
      <c r="H600">
        <v>19.7</v>
      </c>
      <c r="I600">
        <v>10.4</v>
      </c>
      <c r="J600">
        <v>15.7</v>
      </c>
      <c r="K600">
        <v>15.8</v>
      </c>
      <c r="L600">
        <v>19.8</v>
      </c>
      <c r="M600">
        <v>15.4</v>
      </c>
      <c r="N600">
        <v>21.7</v>
      </c>
      <c r="O600">
        <v>23.2</v>
      </c>
      <c r="P600">
        <v>23.9</v>
      </c>
      <c r="Q600">
        <v>22</v>
      </c>
      <c r="R600">
        <v>13.2</v>
      </c>
      <c r="S600" t="s">
        <v>124</v>
      </c>
    </row>
    <row r="601" spans="1:19" x14ac:dyDescent="0.25">
      <c r="A601" t="s">
        <v>206</v>
      </c>
      <c r="B601">
        <v>1185.5999999999999</v>
      </c>
      <c r="C601">
        <v>5.2</v>
      </c>
      <c r="D601">
        <v>6.7</v>
      </c>
      <c r="E601">
        <v>6.6</v>
      </c>
      <c r="F601">
        <v>7.6</v>
      </c>
      <c r="G601">
        <v>6.3</v>
      </c>
      <c r="H601">
        <v>7.7</v>
      </c>
      <c r="I601">
        <v>5.8</v>
      </c>
      <c r="J601">
        <v>3.5</v>
      </c>
      <c r="K601">
        <v>3.9</v>
      </c>
      <c r="L601">
        <v>2.2999999999999998</v>
      </c>
      <c r="M601">
        <v>2.9</v>
      </c>
      <c r="N601">
        <v>2.5</v>
      </c>
      <c r="O601">
        <v>1.4</v>
      </c>
      <c r="P601">
        <v>1.7</v>
      </c>
      <c r="Q601">
        <v>2.6</v>
      </c>
      <c r="R601">
        <v>3.5</v>
      </c>
      <c r="S601" t="s">
        <v>124</v>
      </c>
    </row>
    <row r="602" spans="1:19" x14ac:dyDescent="0.25">
      <c r="A602" t="s">
        <v>209</v>
      </c>
      <c r="B602">
        <v>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124</v>
      </c>
    </row>
    <row r="603" spans="1:19" x14ac:dyDescent="0.25">
      <c r="A603" t="s">
        <v>208</v>
      </c>
      <c r="B603" t="s">
        <v>162</v>
      </c>
      <c r="C603" t="s">
        <v>162</v>
      </c>
      <c r="D603" t="s">
        <v>162</v>
      </c>
      <c r="E603" t="s">
        <v>162</v>
      </c>
      <c r="F603" t="s">
        <v>162</v>
      </c>
      <c r="G603" t="s">
        <v>162</v>
      </c>
      <c r="H603" t="s">
        <v>162</v>
      </c>
      <c r="I603" t="s">
        <v>162</v>
      </c>
      <c r="J603" t="s">
        <v>162</v>
      </c>
      <c r="K603" t="s">
        <v>162</v>
      </c>
      <c r="L603" t="s">
        <v>162</v>
      </c>
      <c r="M603" t="s">
        <v>162</v>
      </c>
      <c r="N603" t="s">
        <v>162</v>
      </c>
      <c r="O603" t="s">
        <v>162</v>
      </c>
      <c r="P603">
        <v>1.3</v>
      </c>
      <c r="Q603">
        <v>1.7</v>
      </c>
      <c r="R603">
        <v>17.100000000000001</v>
      </c>
      <c r="S603" t="s">
        <v>124</v>
      </c>
    </row>
    <row r="604" spans="1:19" x14ac:dyDescent="0.25">
      <c r="A604" t="s">
        <v>166</v>
      </c>
      <c r="B604" t="s">
        <v>162</v>
      </c>
      <c r="C604" t="s">
        <v>162</v>
      </c>
      <c r="D604" t="s">
        <v>162</v>
      </c>
      <c r="E604" t="s">
        <v>162</v>
      </c>
      <c r="F604" t="s">
        <v>162</v>
      </c>
      <c r="G604" t="s">
        <v>162</v>
      </c>
      <c r="H604" t="s">
        <v>162</v>
      </c>
      <c r="I604" t="s">
        <v>162</v>
      </c>
      <c r="J604">
        <v>26.1</v>
      </c>
      <c r="K604">
        <v>23.6</v>
      </c>
      <c r="L604">
        <v>22.8</v>
      </c>
      <c r="M604">
        <v>19.100000000000001</v>
      </c>
      <c r="N604">
        <v>22.5</v>
      </c>
      <c r="O604" t="s">
        <v>162</v>
      </c>
      <c r="P604" t="s">
        <v>162</v>
      </c>
      <c r="Q604" t="s">
        <v>162</v>
      </c>
      <c r="R604" t="s">
        <v>162</v>
      </c>
      <c r="S604" t="s">
        <v>124</v>
      </c>
    </row>
    <row r="605" spans="1:19" x14ac:dyDescent="0.25">
      <c r="A605" t="s">
        <v>211</v>
      </c>
      <c r="S605" t="s">
        <v>124</v>
      </c>
    </row>
    <row r="606" spans="1:19" x14ac:dyDescent="0.25">
      <c r="A606" t="s">
        <v>212</v>
      </c>
      <c r="B606">
        <v>220.5</v>
      </c>
      <c r="C606">
        <v>13.1</v>
      </c>
      <c r="D606">
        <v>12.7</v>
      </c>
      <c r="E606">
        <v>8.5</v>
      </c>
      <c r="F606" t="s">
        <v>162</v>
      </c>
      <c r="G606" t="s">
        <v>162</v>
      </c>
      <c r="H606" t="s">
        <v>162</v>
      </c>
      <c r="I606" t="s">
        <v>162</v>
      </c>
      <c r="J606" t="s">
        <v>162</v>
      </c>
      <c r="K606" t="s">
        <v>162</v>
      </c>
      <c r="L606" t="s">
        <v>162</v>
      </c>
      <c r="M606" t="s">
        <v>162</v>
      </c>
      <c r="N606" t="s">
        <v>162</v>
      </c>
      <c r="O606" t="s">
        <v>162</v>
      </c>
      <c r="P606" t="s">
        <v>162</v>
      </c>
      <c r="Q606" t="s">
        <v>162</v>
      </c>
      <c r="R606" t="s">
        <v>162</v>
      </c>
      <c r="S606" t="s">
        <v>124</v>
      </c>
    </row>
    <row r="607" spans="1:19" x14ac:dyDescent="0.25">
      <c r="A607" t="s">
        <v>213</v>
      </c>
      <c r="B607">
        <v>13802.3</v>
      </c>
      <c r="C607" t="s">
        <v>162</v>
      </c>
      <c r="D607" t="s">
        <v>162</v>
      </c>
      <c r="E607" t="s">
        <v>162</v>
      </c>
      <c r="F607" t="s">
        <v>162</v>
      </c>
      <c r="G607" t="s">
        <v>162</v>
      </c>
      <c r="H607" t="s">
        <v>162</v>
      </c>
      <c r="I607" t="s">
        <v>162</v>
      </c>
      <c r="J607" t="s">
        <v>162</v>
      </c>
      <c r="K607" t="s">
        <v>162</v>
      </c>
      <c r="L607" t="s">
        <v>162</v>
      </c>
      <c r="M607" t="s">
        <v>162</v>
      </c>
      <c r="N607" t="s">
        <v>162</v>
      </c>
      <c r="O607" t="s">
        <v>162</v>
      </c>
      <c r="P607" t="s">
        <v>162</v>
      </c>
      <c r="Q607" t="s">
        <v>162</v>
      </c>
      <c r="R607" t="s">
        <v>162</v>
      </c>
      <c r="S607" t="s">
        <v>124</v>
      </c>
    </row>
    <row r="608" spans="1:19" x14ac:dyDescent="0.25">
      <c r="A608" t="s">
        <v>214</v>
      </c>
      <c r="S608" t="s">
        <v>124</v>
      </c>
    </row>
    <row r="609" spans="1:19" x14ac:dyDescent="0.25">
      <c r="A609" t="s">
        <v>125</v>
      </c>
      <c r="S609" t="s">
        <v>125</v>
      </c>
    </row>
    <row r="610" spans="1:19" x14ac:dyDescent="0.25">
      <c r="A610" t="s">
        <v>198</v>
      </c>
      <c r="B610" t="s">
        <v>257</v>
      </c>
      <c r="C610" t="s">
        <v>256</v>
      </c>
      <c r="D610" t="s">
        <v>181</v>
      </c>
      <c r="E610" t="s">
        <v>180</v>
      </c>
      <c r="F610" t="s">
        <v>179</v>
      </c>
      <c r="G610" t="s">
        <v>178</v>
      </c>
      <c r="H610" t="s">
        <v>177</v>
      </c>
      <c r="I610" t="s">
        <v>176</v>
      </c>
      <c r="J610" t="s">
        <v>175</v>
      </c>
      <c r="K610" t="s">
        <v>174</v>
      </c>
      <c r="L610" t="s">
        <v>173</v>
      </c>
      <c r="M610" t="s">
        <v>172</v>
      </c>
      <c r="N610" t="s">
        <v>171</v>
      </c>
      <c r="O610" t="s">
        <v>170</v>
      </c>
      <c r="P610" t="s">
        <v>169</v>
      </c>
      <c r="Q610" t="s">
        <v>168</v>
      </c>
      <c r="R610" t="s">
        <v>167</v>
      </c>
      <c r="S610" t="s">
        <v>125</v>
      </c>
    </row>
    <row r="611" spans="1:19" x14ac:dyDescent="0.25">
      <c r="A611" t="s">
        <v>199</v>
      </c>
      <c r="S611" t="s">
        <v>125</v>
      </c>
    </row>
    <row r="612" spans="1:19" x14ac:dyDescent="0.25">
      <c r="A612" t="s">
        <v>163</v>
      </c>
      <c r="B612">
        <v>1245.7</v>
      </c>
      <c r="C612">
        <v>87.4</v>
      </c>
      <c r="D612">
        <v>99.9</v>
      </c>
      <c r="E612">
        <v>90.1</v>
      </c>
      <c r="F612">
        <v>90</v>
      </c>
      <c r="G612">
        <v>99.6</v>
      </c>
      <c r="H612">
        <v>91.8</v>
      </c>
      <c r="I612">
        <v>91.3</v>
      </c>
      <c r="J612">
        <v>97.9</v>
      </c>
      <c r="K612">
        <v>86.8</v>
      </c>
      <c r="L612">
        <v>93.1</v>
      </c>
      <c r="M612">
        <v>100.1</v>
      </c>
      <c r="N612">
        <v>74.8</v>
      </c>
      <c r="O612">
        <v>76.599999999999994</v>
      </c>
      <c r="P612">
        <v>99.9</v>
      </c>
      <c r="Q612">
        <v>80.7</v>
      </c>
      <c r="R612">
        <v>85.5</v>
      </c>
      <c r="S612" t="s">
        <v>125</v>
      </c>
    </row>
    <row r="613" spans="1:19" x14ac:dyDescent="0.25">
      <c r="A613" t="s">
        <v>206</v>
      </c>
      <c r="B613">
        <v>3.8</v>
      </c>
      <c r="C613">
        <v>82</v>
      </c>
      <c r="D613">
        <v>84.3</v>
      </c>
      <c r="E613">
        <v>87.1</v>
      </c>
      <c r="F613">
        <v>82.6</v>
      </c>
      <c r="G613">
        <v>89.6</v>
      </c>
      <c r="H613">
        <v>92.8</v>
      </c>
      <c r="I613">
        <v>88.7</v>
      </c>
      <c r="J613">
        <v>98</v>
      </c>
      <c r="K613">
        <v>94.5</v>
      </c>
      <c r="L613">
        <v>92.7</v>
      </c>
      <c r="M613">
        <v>89.4</v>
      </c>
      <c r="N613">
        <v>86.2</v>
      </c>
      <c r="O613">
        <v>78.400000000000006</v>
      </c>
      <c r="P613">
        <v>26.8</v>
      </c>
      <c r="Q613">
        <v>23.6</v>
      </c>
      <c r="R613">
        <v>19</v>
      </c>
      <c r="S613" t="s">
        <v>125</v>
      </c>
    </row>
    <row r="614" spans="1:19" x14ac:dyDescent="0.25">
      <c r="A614" t="s">
        <v>200</v>
      </c>
      <c r="B614">
        <v>31.1</v>
      </c>
      <c r="C614">
        <v>74.2</v>
      </c>
      <c r="D614">
        <v>73.7</v>
      </c>
      <c r="E614">
        <v>76.400000000000006</v>
      </c>
      <c r="F614">
        <v>72.8</v>
      </c>
      <c r="G614">
        <v>73.2</v>
      </c>
      <c r="H614">
        <v>72.2</v>
      </c>
      <c r="I614">
        <v>72.599999999999994</v>
      </c>
      <c r="J614">
        <v>73.5</v>
      </c>
      <c r="K614">
        <v>66</v>
      </c>
      <c r="L614">
        <v>64.900000000000006</v>
      </c>
      <c r="M614">
        <v>68.599999999999994</v>
      </c>
      <c r="N614">
        <v>70.900000000000006</v>
      </c>
      <c r="O614">
        <v>66.599999999999994</v>
      </c>
      <c r="P614">
        <v>71.3</v>
      </c>
      <c r="Q614">
        <v>81.2</v>
      </c>
      <c r="R614">
        <v>82.5</v>
      </c>
      <c r="S614" t="s">
        <v>125</v>
      </c>
    </row>
    <row r="615" spans="1:19" x14ac:dyDescent="0.25">
      <c r="A615" t="s">
        <v>202</v>
      </c>
      <c r="B615">
        <v>1228.5</v>
      </c>
      <c r="C615">
        <v>38.799999999999997</v>
      </c>
      <c r="D615">
        <v>43.8</v>
      </c>
      <c r="E615">
        <v>40.799999999999997</v>
      </c>
      <c r="F615">
        <v>33.200000000000003</v>
      </c>
      <c r="G615">
        <v>32.200000000000003</v>
      </c>
      <c r="H615">
        <v>27.1</v>
      </c>
      <c r="I615">
        <v>33.1</v>
      </c>
      <c r="J615">
        <v>43</v>
      </c>
      <c r="K615">
        <v>56.1</v>
      </c>
      <c r="L615">
        <v>42.5</v>
      </c>
      <c r="M615">
        <v>38.6</v>
      </c>
      <c r="N615">
        <v>65.7</v>
      </c>
      <c r="O615">
        <v>62.2</v>
      </c>
      <c r="P615">
        <v>49</v>
      </c>
      <c r="Q615">
        <v>50.9</v>
      </c>
      <c r="R615">
        <v>67.599999999999994</v>
      </c>
      <c r="S615" t="s">
        <v>125</v>
      </c>
    </row>
    <row r="616" spans="1:19" x14ac:dyDescent="0.25">
      <c r="A616" t="s">
        <v>165</v>
      </c>
      <c r="B616">
        <v>194.7</v>
      </c>
      <c r="C616">
        <v>38.1</v>
      </c>
      <c r="D616">
        <v>41.7</v>
      </c>
      <c r="E616">
        <v>44.5</v>
      </c>
      <c r="F616">
        <v>39.700000000000003</v>
      </c>
      <c r="G616">
        <v>58.6</v>
      </c>
      <c r="H616">
        <v>67.5</v>
      </c>
      <c r="I616">
        <v>80</v>
      </c>
      <c r="J616">
        <v>84.8</v>
      </c>
      <c r="K616">
        <v>81.599999999999994</v>
      </c>
      <c r="L616">
        <v>75.900000000000006</v>
      </c>
      <c r="M616">
        <v>87.2</v>
      </c>
      <c r="N616">
        <v>91.9</v>
      </c>
      <c r="O616">
        <v>82.1</v>
      </c>
      <c r="P616">
        <v>89.3</v>
      </c>
      <c r="Q616">
        <v>80.400000000000006</v>
      </c>
      <c r="R616">
        <v>76.599999999999994</v>
      </c>
      <c r="S616" t="s">
        <v>125</v>
      </c>
    </row>
    <row r="617" spans="1:19" x14ac:dyDescent="0.25">
      <c r="A617" t="s">
        <v>203</v>
      </c>
      <c r="B617">
        <v>504.2</v>
      </c>
      <c r="C617">
        <v>36</v>
      </c>
      <c r="D617">
        <v>27.2</v>
      </c>
      <c r="E617">
        <v>23.2</v>
      </c>
      <c r="F617">
        <v>27.7</v>
      </c>
      <c r="G617">
        <v>33.1</v>
      </c>
      <c r="H617">
        <v>30.7</v>
      </c>
      <c r="I617">
        <v>32</v>
      </c>
      <c r="J617">
        <v>25.8</v>
      </c>
      <c r="K617">
        <v>28.7</v>
      </c>
      <c r="L617">
        <v>30.2</v>
      </c>
      <c r="M617">
        <v>31.7</v>
      </c>
      <c r="N617">
        <v>29</v>
      </c>
      <c r="O617">
        <v>37.1</v>
      </c>
      <c r="P617">
        <v>34.5</v>
      </c>
      <c r="Q617">
        <v>38.5</v>
      </c>
      <c r="R617">
        <v>37.200000000000003</v>
      </c>
      <c r="S617" t="s">
        <v>125</v>
      </c>
    </row>
    <row r="618" spans="1:19" x14ac:dyDescent="0.25">
      <c r="A618" t="s">
        <v>216</v>
      </c>
      <c r="B618">
        <v>211.9</v>
      </c>
      <c r="C618">
        <v>22.2</v>
      </c>
      <c r="D618">
        <v>26</v>
      </c>
      <c r="E618">
        <v>27.2</v>
      </c>
      <c r="F618">
        <v>28.2</v>
      </c>
      <c r="G618">
        <v>26.6</v>
      </c>
      <c r="H618">
        <v>25.4</v>
      </c>
      <c r="I618">
        <v>25.7</v>
      </c>
      <c r="J618" t="s">
        <v>162</v>
      </c>
      <c r="K618" t="s">
        <v>162</v>
      </c>
      <c r="L618" t="s">
        <v>162</v>
      </c>
      <c r="M618" t="s">
        <v>162</v>
      </c>
      <c r="N618" t="s">
        <v>162</v>
      </c>
      <c r="O618" t="s">
        <v>162</v>
      </c>
      <c r="P618" t="s">
        <v>162</v>
      </c>
      <c r="Q618" t="s">
        <v>162</v>
      </c>
      <c r="R618" t="s">
        <v>162</v>
      </c>
      <c r="S618" t="s">
        <v>125</v>
      </c>
    </row>
    <row r="619" spans="1:19" x14ac:dyDescent="0.25">
      <c r="A619" t="s">
        <v>204</v>
      </c>
      <c r="B619">
        <v>2.4</v>
      </c>
      <c r="C619">
        <v>15.7</v>
      </c>
      <c r="D619">
        <v>18.600000000000001</v>
      </c>
      <c r="E619">
        <v>17.5</v>
      </c>
      <c r="F619">
        <v>18.399999999999999</v>
      </c>
      <c r="G619" t="s">
        <v>162</v>
      </c>
      <c r="H619" t="s">
        <v>162</v>
      </c>
      <c r="I619" t="s">
        <v>162</v>
      </c>
      <c r="J619" t="s">
        <v>162</v>
      </c>
      <c r="K619" t="s">
        <v>162</v>
      </c>
      <c r="L619" t="s">
        <v>162</v>
      </c>
      <c r="M619" t="s">
        <v>162</v>
      </c>
      <c r="N619" t="s">
        <v>162</v>
      </c>
      <c r="O619" t="s">
        <v>162</v>
      </c>
      <c r="P619" t="s">
        <v>162</v>
      </c>
      <c r="Q619" t="s">
        <v>162</v>
      </c>
      <c r="R619" t="s">
        <v>162</v>
      </c>
      <c r="S619" t="s">
        <v>125</v>
      </c>
    </row>
    <row r="620" spans="1:19" x14ac:dyDescent="0.25">
      <c r="A620" t="s">
        <v>201</v>
      </c>
      <c r="B620">
        <v>533.9</v>
      </c>
      <c r="C620">
        <v>3.4</v>
      </c>
      <c r="D620">
        <v>6.5</v>
      </c>
      <c r="E620">
        <v>6.1</v>
      </c>
      <c r="F620">
        <v>2.8</v>
      </c>
      <c r="G620">
        <v>7.6</v>
      </c>
      <c r="H620">
        <v>14.6</v>
      </c>
      <c r="I620">
        <v>6.4</v>
      </c>
      <c r="J620">
        <v>9.1999999999999993</v>
      </c>
      <c r="K620">
        <v>20.3</v>
      </c>
      <c r="L620">
        <v>28.6</v>
      </c>
      <c r="M620">
        <v>32</v>
      </c>
      <c r="N620">
        <v>27.3</v>
      </c>
      <c r="O620">
        <v>46.2</v>
      </c>
      <c r="P620">
        <v>65</v>
      </c>
      <c r="Q620">
        <v>62.7</v>
      </c>
      <c r="R620">
        <v>76</v>
      </c>
      <c r="S620" t="s">
        <v>125</v>
      </c>
    </row>
    <row r="621" spans="1:19" x14ac:dyDescent="0.25">
      <c r="A621" t="s">
        <v>219</v>
      </c>
      <c r="B621">
        <v>407.2</v>
      </c>
      <c r="C621">
        <v>1.8</v>
      </c>
      <c r="D621">
        <v>4.2</v>
      </c>
      <c r="E621">
        <v>17.2</v>
      </c>
      <c r="F621">
        <v>16.8</v>
      </c>
      <c r="G621">
        <v>20.6</v>
      </c>
      <c r="H621">
        <v>3.6</v>
      </c>
      <c r="I621">
        <v>19.8</v>
      </c>
      <c r="J621">
        <v>20.399999999999999</v>
      </c>
      <c r="K621">
        <v>3.7</v>
      </c>
      <c r="L621">
        <v>4</v>
      </c>
      <c r="M621">
        <v>2.7</v>
      </c>
      <c r="N621">
        <v>2.1</v>
      </c>
      <c r="O621">
        <v>4</v>
      </c>
      <c r="P621">
        <v>6.7</v>
      </c>
      <c r="Q621">
        <v>5.4</v>
      </c>
      <c r="R621">
        <v>3.5</v>
      </c>
      <c r="S621" t="s">
        <v>125</v>
      </c>
    </row>
    <row r="622" spans="1:19" x14ac:dyDescent="0.25">
      <c r="A622" t="s">
        <v>208</v>
      </c>
      <c r="B622">
        <v>82.1</v>
      </c>
      <c r="C622">
        <v>0.4</v>
      </c>
      <c r="D622">
        <v>0.8</v>
      </c>
      <c r="E622">
        <v>0.4</v>
      </c>
      <c r="F622">
        <v>0.4</v>
      </c>
      <c r="G622">
        <v>0.1</v>
      </c>
      <c r="H622">
        <v>0.2</v>
      </c>
      <c r="I622">
        <v>0.3</v>
      </c>
      <c r="J622">
        <v>0.2</v>
      </c>
      <c r="K622">
        <v>0.2</v>
      </c>
      <c r="L622">
        <v>0.7</v>
      </c>
      <c r="M622">
        <v>0.3</v>
      </c>
      <c r="N622">
        <v>0.1</v>
      </c>
      <c r="O622">
        <v>0.1</v>
      </c>
      <c r="P622">
        <v>0.2</v>
      </c>
      <c r="Q622">
        <v>0.1</v>
      </c>
      <c r="R622">
        <v>0.2</v>
      </c>
      <c r="S622" t="s">
        <v>125</v>
      </c>
    </row>
    <row r="623" spans="1:19" x14ac:dyDescent="0.25">
      <c r="A623" t="s">
        <v>209</v>
      </c>
      <c r="B623">
        <v>4.9000000000000004</v>
      </c>
      <c r="C623">
        <v>0</v>
      </c>
      <c r="D623">
        <v>0.1</v>
      </c>
      <c r="E623">
        <v>0.1</v>
      </c>
      <c r="F623">
        <v>0.1</v>
      </c>
      <c r="G623">
        <v>0.1</v>
      </c>
      <c r="H623">
        <v>0.1</v>
      </c>
      <c r="I623">
        <v>0.1</v>
      </c>
      <c r="J623">
        <v>0.2</v>
      </c>
      <c r="K623">
        <v>0.1</v>
      </c>
      <c r="L623">
        <v>0.1</v>
      </c>
      <c r="M623">
        <v>0.5</v>
      </c>
      <c r="N623">
        <v>0.3</v>
      </c>
      <c r="O623">
        <v>2.4</v>
      </c>
      <c r="P623">
        <v>2.8</v>
      </c>
      <c r="Q623">
        <v>8.9</v>
      </c>
      <c r="R623">
        <v>2.6</v>
      </c>
      <c r="S623" t="s">
        <v>125</v>
      </c>
    </row>
    <row r="624" spans="1:19" x14ac:dyDescent="0.25">
      <c r="A624" t="s">
        <v>205</v>
      </c>
      <c r="B624" t="s">
        <v>162</v>
      </c>
      <c r="C624" t="s">
        <v>162</v>
      </c>
      <c r="D624" t="s">
        <v>162</v>
      </c>
      <c r="E624">
        <v>1.7</v>
      </c>
      <c r="F624">
        <v>0.5</v>
      </c>
      <c r="G624">
        <v>0.2</v>
      </c>
      <c r="H624" t="s">
        <v>162</v>
      </c>
      <c r="I624">
        <v>1.3</v>
      </c>
      <c r="J624">
        <v>1.4</v>
      </c>
      <c r="K624" t="s">
        <v>162</v>
      </c>
      <c r="L624" t="s">
        <v>162</v>
      </c>
      <c r="M624" t="s">
        <v>162</v>
      </c>
      <c r="N624" t="s">
        <v>162</v>
      </c>
      <c r="O624" t="s">
        <v>162</v>
      </c>
      <c r="P624" t="s">
        <v>162</v>
      </c>
      <c r="Q624" t="s">
        <v>162</v>
      </c>
      <c r="R624" t="s">
        <v>162</v>
      </c>
      <c r="S624" t="s">
        <v>125</v>
      </c>
    </row>
    <row r="625" spans="1:19" x14ac:dyDescent="0.25">
      <c r="A625" t="s">
        <v>166</v>
      </c>
      <c r="B625" t="s">
        <v>162</v>
      </c>
      <c r="C625" t="s">
        <v>162</v>
      </c>
      <c r="D625" t="s">
        <v>162</v>
      </c>
      <c r="E625" t="s">
        <v>162</v>
      </c>
      <c r="F625" t="s">
        <v>162</v>
      </c>
      <c r="G625" t="s">
        <v>162</v>
      </c>
      <c r="H625" t="s">
        <v>162</v>
      </c>
      <c r="I625" t="s">
        <v>162</v>
      </c>
      <c r="J625">
        <v>26.8</v>
      </c>
      <c r="K625">
        <v>28.3</v>
      </c>
      <c r="L625">
        <v>27.5</v>
      </c>
      <c r="M625">
        <v>26</v>
      </c>
      <c r="N625">
        <v>20.5</v>
      </c>
      <c r="O625">
        <v>31.4</v>
      </c>
      <c r="P625">
        <v>36</v>
      </c>
      <c r="Q625">
        <v>29.7</v>
      </c>
      <c r="R625" t="s">
        <v>162</v>
      </c>
      <c r="S625" t="s">
        <v>125</v>
      </c>
    </row>
    <row r="626" spans="1:19" x14ac:dyDescent="0.25">
      <c r="A626" t="s">
        <v>211</v>
      </c>
      <c r="S626" t="s">
        <v>125</v>
      </c>
    </row>
    <row r="627" spans="1:19" x14ac:dyDescent="0.25">
      <c r="A627" t="s">
        <v>213</v>
      </c>
      <c r="B627">
        <v>4450.3999999999996</v>
      </c>
      <c r="C627" t="s">
        <v>162</v>
      </c>
      <c r="D627" t="s">
        <v>162</v>
      </c>
      <c r="E627" t="s">
        <v>162</v>
      </c>
      <c r="F627" t="s">
        <v>162</v>
      </c>
      <c r="G627" t="s">
        <v>162</v>
      </c>
      <c r="H627" t="s">
        <v>162</v>
      </c>
      <c r="I627" t="s">
        <v>162</v>
      </c>
      <c r="J627" t="s">
        <v>162</v>
      </c>
      <c r="K627" t="s">
        <v>162</v>
      </c>
      <c r="L627" t="s">
        <v>162</v>
      </c>
      <c r="M627" t="s">
        <v>162</v>
      </c>
      <c r="N627" t="s">
        <v>162</v>
      </c>
      <c r="O627" t="s">
        <v>162</v>
      </c>
      <c r="P627" t="s">
        <v>162</v>
      </c>
      <c r="Q627" t="s">
        <v>162</v>
      </c>
      <c r="R627" t="s">
        <v>162</v>
      </c>
      <c r="S627" t="s">
        <v>125</v>
      </c>
    </row>
    <row r="628" spans="1:19" x14ac:dyDescent="0.25">
      <c r="A628" t="s">
        <v>258</v>
      </c>
      <c r="S628" t="s">
        <v>125</v>
      </c>
    </row>
    <row r="629" spans="1:19" x14ac:dyDescent="0.25">
      <c r="A629" t="s">
        <v>126</v>
      </c>
      <c r="S629" t="s">
        <v>126</v>
      </c>
    </row>
    <row r="630" spans="1:19" x14ac:dyDescent="0.25">
      <c r="A630" t="s">
        <v>198</v>
      </c>
      <c r="B630" t="s">
        <v>257</v>
      </c>
      <c r="C630" t="s">
        <v>256</v>
      </c>
      <c r="D630" t="s">
        <v>181</v>
      </c>
      <c r="E630" t="s">
        <v>180</v>
      </c>
      <c r="F630" t="s">
        <v>179</v>
      </c>
      <c r="G630" t="s">
        <v>178</v>
      </c>
      <c r="H630" t="s">
        <v>177</v>
      </c>
      <c r="I630" t="s">
        <v>176</v>
      </c>
      <c r="J630" t="s">
        <v>175</v>
      </c>
      <c r="K630" t="s">
        <v>174</v>
      </c>
      <c r="L630" t="s">
        <v>173</v>
      </c>
      <c r="M630" t="s">
        <v>172</v>
      </c>
      <c r="N630" t="s">
        <v>171</v>
      </c>
      <c r="O630" t="s">
        <v>170</v>
      </c>
      <c r="P630" t="s">
        <v>169</v>
      </c>
      <c r="Q630" t="s">
        <v>168</v>
      </c>
      <c r="R630" t="s">
        <v>167</v>
      </c>
      <c r="S630" t="s">
        <v>126</v>
      </c>
    </row>
    <row r="631" spans="1:19" x14ac:dyDescent="0.25">
      <c r="A631" t="s">
        <v>199</v>
      </c>
      <c r="S631" t="s">
        <v>126</v>
      </c>
    </row>
    <row r="632" spans="1:19" x14ac:dyDescent="0.25">
      <c r="A632" t="s">
        <v>163</v>
      </c>
      <c r="B632">
        <v>3456.7</v>
      </c>
      <c r="C632">
        <v>93.6</v>
      </c>
      <c r="D632">
        <v>93.5</v>
      </c>
      <c r="E632">
        <v>92.9</v>
      </c>
      <c r="F632">
        <v>88.1</v>
      </c>
      <c r="G632">
        <v>87.7</v>
      </c>
      <c r="H632">
        <v>93</v>
      </c>
      <c r="I632">
        <v>94.6</v>
      </c>
      <c r="J632">
        <v>82.8</v>
      </c>
      <c r="K632">
        <v>92.5</v>
      </c>
      <c r="L632">
        <v>87.6</v>
      </c>
      <c r="M632">
        <v>92.8</v>
      </c>
      <c r="N632">
        <v>91.6</v>
      </c>
      <c r="O632">
        <v>93.3</v>
      </c>
      <c r="P632">
        <v>91.1</v>
      </c>
      <c r="Q632">
        <v>95.4</v>
      </c>
      <c r="R632">
        <v>89.2</v>
      </c>
      <c r="S632" t="s">
        <v>126</v>
      </c>
    </row>
    <row r="633" spans="1:19" x14ac:dyDescent="0.25">
      <c r="A633" t="s">
        <v>200</v>
      </c>
      <c r="B633">
        <v>188.7</v>
      </c>
      <c r="C633">
        <v>73.900000000000006</v>
      </c>
      <c r="D633">
        <v>71.7</v>
      </c>
      <c r="E633">
        <v>75</v>
      </c>
      <c r="F633">
        <v>72.599999999999994</v>
      </c>
      <c r="G633">
        <v>71.3</v>
      </c>
      <c r="H633">
        <v>73.3</v>
      </c>
      <c r="I633">
        <v>72.400000000000006</v>
      </c>
      <c r="J633">
        <v>76.099999999999994</v>
      </c>
      <c r="K633">
        <v>72.7</v>
      </c>
      <c r="L633">
        <v>76.5</v>
      </c>
      <c r="M633">
        <v>77.2</v>
      </c>
      <c r="N633">
        <v>77.8</v>
      </c>
      <c r="O633">
        <v>76.599999999999994</v>
      </c>
      <c r="P633">
        <v>77.599999999999994</v>
      </c>
      <c r="Q633">
        <v>83</v>
      </c>
      <c r="R633">
        <v>78.5</v>
      </c>
      <c r="S633" t="s">
        <v>126</v>
      </c>
    </row>
    <row r="634" spans="1:19" x14ac:dyDescent="0.25">
      <c r="A634" t="s">
        <v>210</v>
      </c>
      <c r="B634">
        <v>12.6</v>
      </c>
      <c r="C634">
        <v>72.099999999999994</v>
      </c>
      <c r="D634">
        <v>79.3</v>
      </c>
      <c r="E634">
        <v>84.5</v>
      </c>
      <c r="F634">
        <v>93.7</v>
      </c>
      <c r="G634">
        <v>91.7</v>
      </c>
      <c r="H634" t="s">
        <v>162</v>
      </c>
      <c r="I634" t="s">
        <v>162</v>
      </c>
      <c r="J634" t="s">
        <v>162</v>
      </c>
      <c r="K634" t="s">
        <v>162</v>
      </c>
      <c r="L634" t="s">
        <v>162</v>
      </c>
      <c r="M634" t="s">
        <v>162</v>
      </c>
      <c r="N634" t="s">
        <v>162</v>
      </c>
      <c r="O634" t="s">
        <v>162</v>
      </c>
      <c r="P634" t="s">
        <v>162</v>
      </c>
      <c r="Q634" t="s">
        <v>162</v>
      </c>
      <c r="R634" t="s">
        <v>162</v>
      </c>
      <c r="S634" t="s">
        <v>126</v>
      </c>
    </row>
    <row r="635" spans="1:19" x14ac:dyDescent="0.25">
      <c r="A635" t="s">
        <v>207</v>
      </c>
      <c r="B635">
        <v>29</v>
      </c>
      <c r="C635">
        <v>52</v>
      </c>
      <c r="D635">
        <v>47.2</v>
      </c>
      <c r="E635">
        <v>31.9</v>
      </c>
      <c r="F635">
        <v>77.400000000000006</v>
      </c>
      <c r="G635">
        <v>85.2</v>
      </c>
      <c r="H635">
        <v>83.6</v>
      </c>
      <c r="I635">
        <v>107.1</v>
      </c>
      <c r="J635">
        <v>100.8</v>
      </c>
      <c r="K635">
        <v>108.9</v>
      </c>
      <c r="L635" t="s">
        <v>162</v>
      </c>
      <c r="M635" t="s">
        <v>162</v>
      </c>
      <c r="N635" t="s">
        <v>162</v>
      </c>
      <c r="O635" t="s">
        <v>162</v>
      </c>
      <c r="P635">
        <v>36</v>
      </c>
      <c r="Q635">
        <v>52.6</v>
      </c>
      <c r="R635">
        <v>49.7</v>
      </c>
      <c r="S635" t="s">
        <v>126</v>
      </c>
    </row>
    <row r="636" spans="1:19" x14ac:dyDescent="0.25">
      <c r="A636" t="s">
        <v>202</v>
      </c>
      <c r="B636">
        <v>8374</v>
      </c>
      <c r="C636">
        <v>42.1</v>
      </c>
      <c r="D636">
        <v>41</v>
      </c>
      <c r="E636">
        <v>36.799999999999997</v>
      </c>
      <c r="F636">
        <v>38.200000000000003</v>
      </c>
      <c r="G636">
        <v>51.4</v>
      </c>
      <c r="H636">
        <v>50</v>
      </c>
      <c r="I636">
        <v>49.7</v>
      </c>
      <c r="J636">
        <v>56.8</v>
      </c>
      <c r="K636">
        <v>56.1</v>
      </c>
      <c r="L636">
        <v>51.6</v>
      </c>
      <c r="M636">
        <v>46.1</v>
      </c>
      <c r="N636">
        <v>49.9</v>
      </c>
      <c r="O636">
        <v>46.5</v>
      </c>
      <c r="P636">
        <v>45.6</v>
      </c>
      <c r="Q636">
        <v>38.700000000000003</v>
      </c>
      <c r="R636">
        <v>37</v>
      </c>
      <c r="S636" t="s">
        <v>126</v>
      </c>
    </row>
    <row r="637" spans="1:19" x14ac:dyDescent="0.25">
      <c r="A637" t="s">
        <v>216</v>
      </c>
      <c r="B637">
        <v>7.6</v>
      </c>
      <c r="C637">
        <v>27.7</v>
      </c>
      <c r="D637">
        <v>32.5</v>
      </c>
      <c r="E637">
        <v>29.6</v>
      </c>
      <c r="F637">
        <v>30</v>
      </c>
      <c r="G637">
        <v>33</v>
      </c>
      <c r="H637">
        <v>33.9</v>
      </c>
      <c r="I637">
        <v>33.700000000000003</v>
      </c>
      <c r="J637" t="s">
        <v>162</v>
      </c>
      <c r="K637" t="s">
        <v>162</v>
      </c>
      <c r="L637" t="s">
        <v>162</v>
      </c>
      <c r="M637" t="s">
        <v>162</v>
      </c>
      <c r="N637" t="s">
        <v>162</v>
      </c>
      <c r="O637" t="s">
        <v>162</v>
      </c>
      <c r="P637" t="s">
        <v>162</v>
      </c>
      <c r="Q637" t="s">
        <v>162</v>
      </c>
      <c r="R637" t="s">
        <v>162</v>
      </c>
      <c r="S637" t="s">
        <v>126</v>
      </c>
    </row>
    <row r="638" spans="1:19" x14ac:dyDescent="0.25">
      <c r="A638" t="s">
        <v>205</v>
      </c>
      <c r="B638">
        <v>21.5</v>
      </c>
      <c r="C638">
        <v>22.4</v>
      </c>
      <c r="D638">
        <v>19.8</v>
      </c>
      <c r="E638">
        <v>22.6</v>
      </c>
      <c r="F638">
        <v>25.4</v>
      </c>
      <c r="G638">
        <v>22.8</v>
      </c>
      <c r="H638">
        <v>2.4</v>
      </c>
      <c r="I638">
        <v>0.8</v>
      </c>
      <c r="J638">
        <v>4.3</v>
      </c>
      <c r="K638">
        <v>4</v>
      </c>
      <c r="L638">
        <v>5.4</v>
      </c>
      <c r="M638">
        <v>5.4</v>
      </c>
      <c r="N638">
        <v>3.6</v>
      </c>
      <c r="O638">
        <v>3.2</v>
      </c>
      <c r="P638">
        <v>2.8</v>
      </c>
      <c r="Q638">
        <v>0.6</v>
      </c>
      <c r="R638">
        <v>1.2</v>
      </c>
      <c r="S638" t="s">
        <v>126</v>
      </c>
    </row>
    <row r="639" spans="1:19" x14ac:dyDescent="0.25">
      <c r="A639" t="s">
        <v>217</v>
      </c>
      <c r="B639">
        <v>11.2</v>
      </c>
      <c r="C639">
        <v>22.4</v>
      </c>
      <c r="D639">
        <v>3.9</v>
      </c>
      <c r="E639">
        <v>25.3</v>
      </c>
      <c r="F639">
        <v>41.3</v>
      </c>
      <c r="G639">
        <v>60.8</v>
      </c>
      <c r="H639">
        <v>25.1</v>
      </c>
      <c r="I639">
        <v>68.2</v>
      </c>
      <c r="J639">
        <v>68.8</v>
      </c>
      <c r="K639">
        <v>68.400000000000006</v>
      </c>
      <c r="L639">
        <v>104.6</v>
      </c>
      <c r="M639">
        <v>95.1</v>
      </c>
      <c r="N639">
        <v>109.2</v>
      </c>
      <c r="O639">
        <v>124.7</v>
      </c>
      <c r="P639">
        <v>27.3</v>
      </c>
      <c r="Q639">
        <v>30.5</v>
      </c>
      <c r="R639">
        <v>0</v>
      </c>
      <c r="S639" t="s">
        <v>126</v>
      </c>
    </row>
    <row r="640" spans="1:19" x14ac:dyDescent="0.25">
      <c r="A640" t="s">
        <v>215</v>
      </c>
      <c r="B640">
        <v>35.799999999999997</v>
      </c>
      <c r="C640">
        <v>22.3</v>
      </c>
      <c r="D640">
        <v>20.100000000000001</v>
      </c>
      <c r="E640">
        <v>20</v>
      </c>
      <c r="F640">
        <v>16.600000000000001</v>
      </c>
      <c r="G640">
        <v>26.1</v>
      </c>
      <c r="H640">
        <v>17.5</v>
      </c>
      <c r="I640">
        <v>24</v>
      </c>
      <c r="J640">
        <v>29.8</v>
      </c>
      <c r="K640">
        <v>34.200000000000003</v>
      </c>
      <c r="L640">
        <v>26</v>
      </c>
      <c r="M640">
        <v>35.6</v>
      </c>
      <c r="N640">
        <v>39.200000000000003</v>
      </c>
      <c r="O640">
        <v>16.600000000000001</v>
      </c>
      <c r="P640">
        <v>15.4</v>
      </c>
      <c r="Q640">
        <v>13.2</v>
      </c>
      <c r="R640">
        <v>15.5</v>
      </c>
      <c r="S640" t="s">
        <v>126</v>
      </c>
    </row>
    <row r="641" spans="1:19" x14ac:dyDescent="0.25">
      <c r="A641" t="s">
        <v>204</v>
      </c>
      <c r="B641">
        <v>1130.3</v>
      </c>
      <c r="C641">
        <v>15.6</v>
      </c>
      <c r="D641">
        <v>16.399999999999999</v>
      </c>
      <c r="E641">
        <v>15.8</v>
      </c>
      <c r="F641">
        <v>15.9</v>
      </c>
      <c r="G641">
        <v>16.2</v>
      </c>
      <c r="H641">
        <v>15.7</v>
      </c>
      <c r="I641">
        <v>16.5</v>
      </c>
      <c r="J641">
        <v>17.2</v>
      </c>
      <c r="K641">
        <v>16.7</v>
      </c>
      <c r="L641">
        <v>15.8</v>
      </c>
      <c r="M641">
        <v>16.8</v>
      </c>
      <c r="N641">
        <v>16.399999999999999</v>
      </c>
      <c r="O641">
        <v>11.3</v>
      </c>
      <c r="P641">
        <v>16.3</v>
      </c>
      <c r="Q641">
        <v>14.9</v>
      </c>
      <c r="R641">
        <v>20.2</v>
      </c>
      <c r="S641" t="s">
        <v>126</v>
      </c>
    </row>
    <row r="642" spans="1:19" x14ac:dyDescent="0.25">
      <c r="A642" t="s">
        <v>203</v>
      </c>
      <c r="B642">
        <v>12.3</v>
      </c>
      <c r="C642">
        <v>10.8</v>
      </c>
      <c r="D642">
        <v>4.9000000000000004</v>
      </c>
      <c r="E642">
        <v>16.899999999999999</v>
      </c>
      <c r="F642">
        <v>14.2</v>
      </c>
      <c r="G642">
        <v>24.6</v>
      </c>
      <c r="H642">
        <v>33</v>
      </c>
      <c r="I642">
        <v>12.7</v>
      </c>
      <c r="J642">
        <v>8.8000000000000007</v>
      </c>
      <c r="K642">
        <v>8.9</v>
      </c>
      <c r="L642">
        <v>16.100000000000001</v>
      </c>
      <c r="M642">
        <v>63.2</v>
      </c>
      <c r="N642">
        <v>37.1</v>
      </c>
      <c r="O642">
        <v>51.6</v>
      </c>
      <c r="P642">
        <v>53</v>
      </c>
      <c r="Q642">
        <v>64.3</v>
      </c>
      <c r="R642">
        <v>75.2</v>
      </c>
      <c r="S642" t="s">
        <v>126</v>
      </c>
    </row>
    <row r="643" spans="1:19" x14ac:dyDescent="0.25">
      <c r="A643" t="s">
        <v>206</v>
      </c>
      <c r="B643">
        <v>2734.5</v>
      </c>
      <c r="C643">
        <v>8.6</v>
      </c>
      <c r="D643">
        <v>10.6</v>
      </c>
      <c r="E643">
        <v>6.2</v>
      </c>
      <c r="F643">
        <v>5.9</v>
      </c>
      <c r="G643">
        <v>7</v>
      </c>
      <c r="H643">
        <v>9.6999999999999993</v>
      </c>
      <c r="I643">
        <v>8.9</v>
      </c>
      <c r="J643">
        <v>12.5</v>
      </c>
      <c r="K643">
        <v>10.199999999999999</v>
      </c>
      <c r="L643">
        <v>9.1</v>
      </c>
      <c r="M643">
        <v>6.5</v>
      </c>
      <c r="N643">
        <v>4</v>
      </c>
      <c r="O643">
        <v>2.7</v>
      </c>
      <c r="P643">
        <v>3.4</v>
      </c>
      <c r="Q643">
        <v>1.9</v>
      </c>
      <c r="R643">
        <v>3.6</v>
      </c>
      <c r="S643" t="s">
        <v>126</v>
      </c>
    </row>
    <row r="644" spans="1:19" x14ac:dyDescent="0.25">
      <c r="A644" t="s">
        <v>209</v>
      </c>
      <c r="B644">
        <v>34.799999999999997</v>
      </c>
      <c r="C644">
        <v>3.8</v>
      </c>
      <c r="D644">
        <v>5</v>
      </c>
      <c r="E644">
        <v>5.7</v>
      </c>
      <c r="F644">
        <v>4.7</v>
      </c>
      <c r="G644">
        <v>4.9000000000000004</v>
      </c>
      <c r="H644">
        <v>5.0999999999999996</v>
      </c>
      <c r="I644">
        <v>3.3</v>
      </c>
      <c r="J644">
        <v>4.0999999999999996</v>
      </c>
      <c r="K644">
        <v>2.6</v>
      </c>
      <c r="L644">
        <v>2.6</v>
      </c>
      <c r="M644">
        <v>2.2999999999999998</v>
      </c>
      <c r="N644">
        <v>3.3</v>
      </c>
      <c r="O644">
        <v>3.1</v>
      </c>
      <c r="P644">
        <v>2.2999999999999998</v>
      </c>
      <c r="Q644">
        <v>2.8</v>
      </c>
      <c r="R644">
        <v>2.2000000000000002</v>
      </c>
      <c r="S644" t="s">
        <v>126</v>
      </c>
    </row>
    <row r="645" spans="1:19" x14ac:dyDescent="0.25">
      <c r="A645" t="s">
        <v>208</v>
      </c>
      <c r="B645">
        <v>255.3</v>
      </c>
      <c r="C645">
        <v>0</v>
      </c>
      <c r="D645">
        <v>0.1</v>
      </c>
      <c r="E645">
        <v>0</v>
      </c>
      <c r="F645">
        <v>0</v>
      </c>
      <c r="G645">
        <v>0.4</v>
      </c>
      <c r="H645">
        <v>0.3</v>
      </c>
      <c r="I645">
        <v>0</v>
      </c>
      <c r="J645">
        <v>0.1</v>
      </c>
      <c r="K645">
        <v>0.4</v>
      </c>
      <c r="L645">
        <v>0.8</v>
      </c>
      <c r="M645">
        <v>0.7</v>
      </c>
      <c r="N645">
        <v>0.8</v>
      </c>
      <c r="O645">
        <v>0.7</v>
      </c>
      <c r="P645">
        <v>1.2</v>
      </c>
      <c r="Q645">
        <v>0.5</v>
      </c>
      <c r="R645">
        <v>1.2</v>
      </c>
      <c r="S645" t="s">
        <v>126</v>
      </c>
    </row>
    <row r="646" spans="1:19" x14ac:dyDescent="0.25">
      <c r="A646" t="s">
        <v>201</v>
      </c>
      <c r="B646" t="s">
        <v>162</v>
      </c>
      <c r="C646" t="s">
        <v>162</v>
      </c>
      <c r="D646">
        <v>32.5</v>
      </c>
      <c r="E646">
        <v>25.6</v>
      </c>
      <c r="F646">
        <v>22.7</v>
      </c>
      <c r="G646">
        <v>24</v>
      </c>
      <c r="H646">
        <v>22.5</v>
      </c>
      <c r="I646">
        <v>16</v>
      </c>
      <c r="J646">
        <v>12.3</v>
      </c>
      <c r="K646">
        <v>15.7</v>
      </c>
      <c r="L646">
        <v>21.5</v>
      </c>
      <c r="M646">
        <v>17.399999999999999</v>
      </c>
      <c r="N646">
        <v>14.9</v>
      </c>
      <c r="O646">
        <v>25.5</v>
      </c>
      <c r="P646">
        <v>38.200000000000003</v>
      </c>
      <c r="Q646">
        <v>29.6</v>
      </c>
      <c r="R646">
        <v>51.8</v>
      </c>
      <c r="S646" t="s">
        <v>126</v>
      </c>
    </row>
    <row r="647" spans="1:19" x14ac:dyDescent="0.25">
      <c r="A647" t="s">
        <v>219</v>
      </c>
      <c r="B647" t="s">
        <v>162</v>
      </c>
      <c r="C647" t="s">
        <v>162</v>
      </c>
      <c r="D647" t="s">
        <v>162</v>
      </c>
      <c r="E647" t="s">
        <v>162</v>
      </c>
      <c r="F647" t="s">
        <v>162</v>
      </c>
      <c r="G647">
        <v>0</v>
      </c>
      <c r="H647">
        <v>0</v>
      </c>
      <c r="I647">
        <v>0</v>
      </c>
      <c r="J647">
        <v>0.2</v>
      </c>
      <c r="K647">
        <v>0.9</v>
      </c>
      <c r="L647">
        <v>0.8</v>
      </c>
      <c r="M647">
        <v>0.6</v>
      </c>
      <c r="N647">
        <v>0.5</v>
      </c>
      <c r="O647">
        <v>1.5</v>
      </c>
      <c r="P647">
        <v>1</v>
      </c>
      <c r="Q647">
        <v>3.3</v>
      </c>
      <c r="R647">
        <v>4.5</v>
      </c>
      <c r="S647" t="s">
        <v>126</v>
      </c>
    </row>
    <row r="648" spans="1:19" x14ac:dyDescent="0.25">
      <c r="A648" t="s">
        <v>166</v>
      </c>
      <c r="B648" t="s">
        <v>162</v>
      </c>
      <c r="C648" t="s">
        <v>162</v>
      </c>
      <c r="D648" t="s">
        <v>162</v>
      </c>
      <c r="E648" t="s">
        <v>162</v>
      </c>
      <c r="F648" t="s">
        <v>162</v>
      </c>
      <c r="G648" t="s">
        <v>162</v>
      </c>
      <c r="H648" t="s">
        <v>162</v>
      </c>
      <c r="I648" t="s">
        <v>162</v>
      </c>
      <c r="J648">
        <v>31.2</v>
      </c>
      <c r="K648">
        <v>32.4</v>
      </c>
      <c r="L648">
        <v>34.299999999999997</v>
      </c>
      <c r="M648">
        <v>16.600000000000001</v>
      </c>
      <c r="N648">
        <v>17.600000000000001</v>
      </c>
      <c r="O648">
        <v>16</v>
      </c>
      <c r="P648">
        <v>19.3</v>
      </c>
      <c r="Q648">
        <v>31.8</v>
      </c>
      <c r="R648">
        <v>31.7</v>
      </c>
      <c r="S648" t="s">
        <v>126</v>
      </c>
    </row>
    <row r="649" spans="1:19" x14ac:dyDescent="0.25">
      <c r="A649" t="s">
        <v>211</v>
      </c>
      <c r="S649" t="s">
        <v>126</v>
      </c>
    </row>
    <row r="650" spans="1:19" x14ac:dyDescent="0.25">
      <c r="A650" t="s">
        <v>212</v>
      </c>
      <c r="B650">
        <v>58.1</v>
      </c>
      <c r="C650">
        <v>15.4</v>
      </c>
      <c r="D650">
        <v>21.8</v>
      </c>
      <c r="E650">
        <v>18.899999999999999</v>
      </c>
      <c r="F650">
        <v>21.6</v>
      </c>
      <c r="G650">
        <v>24.2</v>
      </c>
      <c r="H650">
        <v>10</v>
      </c>
      <c r="I650">
        <v>10.9</v>
      </c>
      <c r="J650" t="s">
        <v>162</v>
      </c>
      <c r="K650" t="s">
        <v>162</v>
      </c>
      <c r="L650" t="s">
        <v>162</v>
      </c>
      <c r="M650" t="s">
        <v>162</v>
      </c>
      <c r="N650" t="s">
        <v>162</v>
      </c>
      <c r="O650" t="s">
        <v>162</v>
      </c>
      <c r="P650" t="s">
        <v>162</v>
      </c>
      <c r="Q650" t="s">
        <v>162</v>
      </c>
      <c r="R650" t="s">
        <v>162</v>
      </c>
      <c r="S650" t="s">
        <v>126</v>
      </c>
    </row>
    <row r="651" spans="1:19" x14ac:dyDescent="0.25">
      <c r="A651" t="s">
        <v>220</v>
      </c>
      <c r="B651">
        <v>415.4</v>
      </c>
      <c r="C651">
        <v>12.2</v>
      </c>
      <c r="D651">
        <v>9.6</v>
      </c>
      <c r="E651">
        <v>7.5</v>
      </c>
      <c r="F651">
        <v>6.8</v>
      </c>
      <c r="G651">
        <v>6.2</v>
      </c>
      <c r="H651">
        <v>8.5</v>
      </c>
      <c r="I651">
        <v>11.3</v>
      </c>
      <c r="J651">
        <v>14.3</v>
      </c>
      <c r="K651">
        <v>12.1</v>
      </c>
      <c r="L651">
        <v>17.100000000000001</v>
      </c>
      <c r="M651">
        <v>14.5</v>
      </c>
      <c r="N651" t="s">
        <v>162</v>
      </c>
      <c r="O651" t="s">
        <v>162</v>
      </c>
      <c r="P651" t="s">
        <v>162</v>
      </c>
      <c r="Q651" t="s">
        <v>162</v>
      </c>
      <c r="R651" t="s">
        <v>162</v>
      </c>
      <c r="S651" t="s">
        <v>126</v>
      </c>
    </row>
    <row r="652" spans="1:19" x14ac:dyDescent="0.25">
      <c r="A652" t="s">
        <v>213</v>
      </c>
      <c r="B652">
        <v>16789.400000000001</v>
      </c>
      <c r="C652" t="s">
        <v>162</v>
      </c>
      <c r="D652" t="s">
        <v>162</v>
      </c>
      <c r="E652" t="s">
        <v>162</v>
      </c>
      <c r="F652" t="s">
        <v>162</v>
      </c>
      <c r="G652" t="s">
        <v>162</v>
      </c>
      <c r="H652" t="s">
        <v>162</v>
      </c>
      <c r="I652" t="s">
        <v>162</v>
      </c>
      <c r="J652" t="s">
        <v>162</v>
      </c>
      <c r="K652" t="s">
        <v>162</v>
      </c>
      <c r="L652" t="s">
        <v>162</v>
      </c>
      <c r="M652" t="s">
        <v>162</v>
      </c>
      <c r="N652" t="s">
        <v>162</v>
      </c>
      <c r="O652" t="s">
        <v>162</v>
      </c>
      <c r="P652" t="s">
        <v>162</v>
      </c>
      <c r="Q652" t="s">
        <v>162</v>
      </c>
      <c r="R652" t="s">
        <v>162</v>
      </c>
      <c r="S652" t="s">
        <v>126</v>
      </c>
    </row>
    <row r="653" spans="1:19" x14ac:dyDescent="0.25">
      <c r="A653" t="s">
        <v>214</v>
      </c>
      <c r="S653" t="s">
        <v>126</v>
      </c>
    </row>
    <row r="654" spans="1:19" x14ac:dyDescent="0.25">
      <c r="A654" t="s">
        <v>127</v>
      </c>
      <c r="S654" t="s">
        <v>127</v>
      </c>
    </row>
    <row r="655" spans="1:19" x14ac:dyDescent="0.25">
      <c r="A655" t="s">
        <v>198</v>
      </c>
      <c r="B655" t="s">
        <v>257</v>
      </c>
      <c r="C655" t="s">
        <v>256</v>
      </c>
      <c r="D655" t="s">
        <v>181</v>
      </c>
      <c r="E655" t="s">
        <v>180</v>
      </c>
      <c r="F655" t="s">
        <v>179</v>
      </c>
      <c r="G655" t="s">
        <v>178</v>
      </c>
      <c r="H655" t="s">
        <v>177</v>
      </c>
      <c r="I655" t="s">
        <v>176</v>
      </c>
      <c r="J655" t="s">
        <v>175</v>
      </c>
      <c r="K655" t="s">
        <v>174</v>
      </c>
      <c r="L655" t="s">
        <v>173</v>
      </c>
      <c r="M655" t="s">
        <v>172</v>
      </c>
      <c r="N655" t="s">
        <v>171</v>
      </c>
      <c r="O655" t="s">
        <v>170</v>
      </c>
      <c r="P655" t="s">
        <v>169</v>
      </c>
      <c r="Q655" t="s">
        <v>168</v>
      </c>
      <c r="R655" t="s">
        <v>167</v>
      </c>
      <c r="S655" t="s">
        <v>127</v>
      </c>
    </row>
    <row r="656" spans="1:19" x14ac:dyDescent="0.25">
      <c r="A656" t="s">
        <v>199</v>
      </c>
      <c r="S656" t="s">
        <v>127</v>
      </c>
    </row>
    <row r="657" spans="1:19" x14ac:dyDescent="0.25">
      <c r="A657" t="s">
        <v>202</v>
      </c>
      <c r="B657">
        <v>1484.1</v>
      </c>
      <c r="C657">
        <v>72.5</v>
      </c>
      <c r="D657">
        <v>60.8</v>
      </c>
      <c r="E657">
        <v>57</v>
      </c>
      <c r="F657">
        <v>64.5</v>
      </c>
      <c r="G657">
        <v>56.6</v>
      </c>
      <c r="H657">
        <v>62.6</v>
      </c>
      <c r="I657">
        <v>50.9</v>
      </c>
      <c r="J657">
        <v>53.2</v>
      </c>
      <c r="K657">
        <v>50</v>
      </c>
      <c r="L657">
        <v>44.8</v>
      </c>
      <c r="M657">
        <v>48.8</v>
      </c>
      <c r="N657">
        <v>43.5</v>
      </c>
      <c r="O657">
        <v>43</v>
      </c>
      <c r="P657">
        <v>43.9</v>
      </c>
      <c r="Q657">
        <v>45.8</v>
      </c>
      <c r="R657">
        <v>42.3</v>
      </c>
      <c r="S657" t="s">
        <v>127</v>
      </c>
    </row>
    <row r="658" spans="1:19" x14ac:dyDescent="0.25">
      <c r="A658" t="s">
        <v>201</v>
      </c>
      <c r="B658">
        <v>1540</v>
      </c>
      <c r="C658">
        <v>55.1</v>
      </c>
      <c r="D658">
        <v>73.5</v>
      </c>
      <c r="E658">
        <v>60.5</v>
      </c>
      <c r="F658">
        <v>56.7</v>
      </c>
      <c r="G658">
        <v>64.2</v>
      </c>
      <c r="H658">
        <v>58.3</v>
      </c>
      <c r="I658">
        <v>61</v>
      </c>
      <c r="J658">
        <v>60.5</v>
      </c>
      <c r="K658">
        <v>67.599999999999994</v>
      </c>
      <c r="L658">
        <v>67.400000000000006</v>
      </c>
      <c r="M658">
        <v>68.900000000000006</v>
      </c>
      <c r="N658">
        <v>70.900000000000006</v>
      </c>
      <c r="O658">
        <v>77.900000000000006</v>
      </c>
      <c r="P658">
        <v>73.599999999999994</v>
      </c>
      <c r="Q658">
        <v>83.8</v>
      </c>
      <c r="R658">
        <v>78</v>
      </c>
      <c r="S658" t="s">
        <v>127</v>
      </c>
    </row>
    <row r="659" spans="1:19" x14ac:dyDescent="0.25">
      <c r="A659" t="s">
        <v>164</v>
      </c>
      <c r="B659">
        <v>8.6</v>
      </c>
      <c r="C659">
        <v>47.6</v>
      </c>
      <c r="D659">
        <v>62.5</v>
      </c>
      <c r="E659">
        <v>67.599999999999994</v>
      </c>
      <c r="F659">
        <v>70.5</v>
      </c>
      <c r="G659">
        <v>77.099999999999994</v>
      </c>
      <c r="H659">
        <v>85.8</v>
      </c>
      <c r="I659">
        <v>92.5</v>
      </c>
      <c r="J659">
        <v>101.1</v>
      </c>
      <c r="K659">
        <v>69</v>
      </c>
      <c r="L659">
        <v>62.3</v>
      </c>
      <c r="M659" t="s">
        <v>162</v>
      </c>
      <c r="N659" t="s">
        <v>162</v>
      </c>
      <c r="O659" t="s">
        <v>162</v>
      </c>
      <c r="P659" t="s">
        <v>162</v>
      </c>
      <c r="Q659" t="s">
        <v>162</v>
      </c>
      <c r="R659" t="s">
        <v>162</v>
      </c>
      <c r="S659" t="s">
        <v>127</v>
      </c>
    </row>
    <row r="660" spans="1:19" x14ac:dyDescent="0.25">
      <c r="A660" t="s">
        <v>216</v>
      </c>
      <c r="B660">
        <v>4409.2</v>
      </c>
      <c r="C660">
        <v>38.6</v>
      </c>
      <c r="D660">
        <v>37.5</v>
      </c>
      <c r="E660">
        <v>39.700000000000003</v>
      </c>
      <c r="F660">
        <v>40.4</v>
      </c>
      <c r="G660">
        <v>41</v>
      </c>
      <c r="H660">
        <v>39.299999999999997</v>
      </c>
      <c r="I660">
        <v>37.1</v>
      </c>
      <c r="J660" t="s">
        <v>162</v>
      </c>
      <c r="K660" t="s">
        <v>162</v>
      </c>
      <c r="L660" t="s">
        <v>162</v>
      </c>
      <c r="M660" t="s">
        <v>162</v>
      </c>
      <c r="N660" t="s">
        <v>162</v>
      </c>
      <c r="O660" t="s">
        <v>162</v>
      </c>
      <c r="P660" t="s">
        <v>162</v>
      </c>
      <c r="Q660" t="s">
        <v>162</v>
      </c>
      <c r="R660" t="s">
        <v>162</v>
      </c>
      <c r="S660" t="s">
        <v>127</v>
      </c>
    </row>
    <row r="661" spans="1:19" x14ac:dyDescent="0.25">
      <c r="A661" t="s">
        <v>200</v>
      </c>
      <c r="B661">
        <v>3.2</v>
      </c>
      <c r="C661">
        <v>35.700000000000003</v>
      </c>
      <c r="D661">
        <v>32.9</v>
      </c>
      <c r="E661">
        <v>52.1</v>
      </c>
      <c r="F661">
        <v>49.5</v>
      </c>
      <c r="G661">
        <v>54.8</v>
      </c>
      <c r="H661">
        <v>35.299999999999997</v>
      </c>
      <c r="I661">
        <v>26.5</v>
      </c>
      <c r="J661">
        <v>27.2</v>
      </c>
      <c r="K661">
        <v>57.3</v>
      </c>
      <c r="L661">
        <v>61.9</v>
      </c>
      <c r="M661">
        <v>57.6</v>
      </c>
      <c r="N661">
        <v>51</v>
      </c>
      <c r="O661">
        <v>44.9</v>
      </c>
      <c r="P661">
        <v>42.9</v>
      </c>
      <c r="Q661">
        <v>69.900000000000006</v>
      </c>
      <c r="R661">
        <v>46.8</v>
      </c>
      <c r="S661" t="s">
        <v>127</v>
      </c>
    </row>
    <row r="662" spans="1:19" x14ac:dyDescent="0.25">
      <c r="A662" t="s">
        <v>205</v>
      </c>
      <c r="B662">
        <v>787</v>
      </c>
      <c r="C662">
        <v>34</v>
      </c>
      <c r="D662">
        <v>21.2</v>
      </c>
      <c r="E662">
        <v>23</v>
      </c>
      <c r="F662">
        <v>27.4</v>
      </c>
      <c r="G662">
        <v>33</v>
      </c>
      <c r="H662">
        <v>27</v>
      </c>
      <c r="I662">
        <v>25.5</v>
      </c>
      <c r="J662">
        <v>27.7</v>
      </c>
      <c r="K662">
        <v>25.5</v>
      </c>
      <c r="L662">
        <v>28.5</v>
      </c>
      <c r="M662">
        <v>27.8</v>
      </c>
      <c r="N662">
        <v>33.200000000000003</v>
      </c>
      <c r="O662">
        <v>29.9</v>
      </c>
      <c r="P662">
        <v>27.3</v>
      </c>
      <c r="Q662">
        <v>23.3</v>
      </c>
      <c r="R662">
        <v>34.299999999999997</v>
      </c>
      <c r="S662" t="s">
        <v>127</v>
      </c>
    </row>
    <row r="663" spans="1:19" x14ac:dyDescent="0.25">
      <c r="A663" t="s">
        <v>206</v>
      </c>
      <c r="B663">
        <v>945.3</v>
      </c>
      <c r="C663">
        <v>28.3</v>
      </c>
      <c r="D663">
        <v>17.2</v>
      </c>
      <c r="E663">
        <v>11.7</v>
      </c>
      <c r="F663">
        <v>18</v>
      </c>
      <c r="G663">
        <v>25.9</v>
      </c>
      <c r="H663">
        <v>19</v>
      </c>
      <c r="I663">
        <v>8.5</v>
      </c>
      <c r="J663">
        <v>11.9</v>
      </c>
      <c r="K663">
        <v>11.6</v>
      </c>
      <c r="L663">
        <v>11.2</v>
      </c>
      <c r="M663">
        <v>7.7</v>
      </c>
      <c r="N663">
        <v>7.7</v>
      </c>
      <c r="O663">
        <v>7.2</v>
      </c>
      <c r="P663">
        <v>7.6</v>
      </c>
      <c r="Q663">
        <v>8.1999999999999993</v>
      </c>
      <c r="R663">
        <v>10.8</v>
      </c>
      <c r="S663" t="s">
        <v>127</v>
      </c>
    </row>
    <row r="664" spans="1:19" x14ac:dyDescent="0.25">
      <c r="A664" t="s">
        <v>204</v>
      </c>
      <c r="B664">
        <v>966.1</v>
      </c>
      <c r="C664">
        <v>27.4</v>
      </c>
      <c r="D664">
        <v>27.6</v>
      </c>
      <c r="E664">
        <v>27.1</v>
      </c>
      <c r="F664">
        <v>28</v>
      </c>
      <c r="G664">
        <v>26.6</v>
      </c>
      <c r="H664">
        <v>28</v>
      </c>
      <c r="I664">
        <v>27</v>
      </c>
      <c r="J664">
        <v>24.5</v>
      </c>
      <c r="K664">
        <v>25.4</v>
      </c>
      <c r="L664">
        <v>26.2</v>
      </c>
      <c r="M664">
        <v>26.1</v>
      </c>
      <c r="N664">
        <v>25.4</v>
      </c>
      <c r="O664">
        <v>23.1</v>
      </c>
      <c r="P664" t="s">
        <v>162</v>
      </c>
      <c r="Q664" t="s">
        <v>162</v>
      </c>
      <c r="R664" t="s">
        <v>162</v>
      </c>
      <c r="S664" t="s">
        <v>127</v>
      </c>
    </row>
    <row r="665" spans="1:19" x14ac:dyDescent="0.25">
      <c r="A665" t="s">
        <v>203</v>
      </c>
      <c r="B665">
        <v>82.7</v>
      </c>
      <c r="C665">
        <v>26.5</v>
      </c>
      <c r="D665">
        <v>16.7</v>
      </c>
      <c r="E665">
        <v>17</v>
      </c>
      <c r="F665">
        <v>27.9</v>
      </c>
      <c r="G665">
        <v>21.8</v>
      </c>
      <c r="H665">
        <v>20.6</v>
      </c>
      <c r="I665">
        <v>26.6</v>
      </c>
      <c r="J665">
        <v>20.3</v>
      </c>
      <c r="K665">
        <v>13.7</v>
      </c>
      <c r="L665">
        <v>13.5</v>
      </c>
      <c r="M665">
        <v>12.6</v>
      </c>
      <c r="N665">
        <v>30.6</v>
      </c>
      <c r="O665">
        <v>26.8</v>
      </c>
      <c r="P665">
        <v>29.2</v>
      </c>
      <c r="Q665">
        <v>36.6</v>
      </c>
      <c r="R665">
        <v>42.1</v>
      </c>
      <c r="S665" t="s">
        <v>127</v>
      </c>
    </row>
    <row r="666" spans="1:19" x14ac:dyDescent="0.25">
      <c r="A666" t="s">
        <v>215</v>
      </c>
      <c r="B666">
        <v>46.7</v>
      </c>
      <c r="C666">
        <v>13.2</v>
      </c>
      <c r="D666">
        <v>21.2</v>
      </c>
      <c r="E666">
        <v>18.100000000000001</v>
      </c>
      <c r="F666">
        <v>8.8000000000000007</v>
      </c>
      <c r="G666">
        <v>16.2</v>
      </c>
      <c r="H666">
        <v>16.5</v>
      </c>
      <c r="I666">
        <v>15.1</v>
      </c>
      <c r="J666">
        <v>18.5</v>
      </c>
      <c r="K666">
        <v>12.5</v>
      </c>
      <c r="L666">
        <v>21.4</v>
      </c>
      <c r="M666">
        <v>1.8</v>
      </c>
      <c r="N666">
        <v>2</v>
      </c>
      <c r="O666">
        <v>0.2</v>
      </c>
      <c r="P666">
        <v>3.6</v>
      </c>
      <c r="Q666">
        <v>0</v>
      </c>
      <c r="R666">
        <v>0.2</v>
      </c>
      <c r="S666" t="s">
        <v>127</v>
      </c>
    </row>
    <row r="667" spans="1:19" x14ac:dyDescent="0.25">
      <c r="A667" t="s">
        <v>217</v>
      </c>
      <c r="B667">
        <v>0.7</v>
      </c>
      <c r="C667">
        <v>9.1999999999999993</v>
      </c>
      <c r="D667">
        <v>1.5</v>
      </c>
      <c r="E667">
        <v>25.9</v>
      </c>
      <c r="F667">
        <v>25.8</v>
      </c>
      <c r="G667">
        <v>22.7</v>
      </c>
      <c r="H667" t="s">
        <v>162</v>
      </c>
      <c r="I667" t="s">
        <v>162</v>
      </c>
      <c r="J667" t="s">
        <v>162</v>
      </c>
      <c r="K667" t="s">
        <v>162</v>
      </c>
      <c r="L667" t="s">
        <v>162</v>
      </c>
      <c r="M667" t="s">
        <v>162</v>
      </c>
      <c r="N667" t="s">
        <v>162</v>
      </c>
      <c r="O667" t="s">
        <v>162</v>
      </c>
      <c r="P667" t="s">
        <v>162</v>
      </c>
      <c r="Q667" t="s">
        <v>162</v>
      </c>
      <c r="R667" t="s">
        <v>162</v>
      </c>
      <c r="S667" t="s">
        <v>127</v>
      </c>
    </row>
    <row r="668" spans="1:19" x14ac:dyDescent="0.25">
      <c r="A668" t="s">
        <v>208</v>
      </c>
      <c r="B668">
        <v>17</v>
      </c>
      <c r="C668">
        <v>0.6</v>
      </c>
      <c r="D668">
        <v>0.1</v>
      </c>
      <c r="E668">
        <v>8.4</v>
      </c>
      <c r="F668">
        <v>0.2</v>
      </c>
      <c r="G668">
        <v>0.2</v>
      </c>
      <c r="H668">
        <v>0.1</v>
      </c>
      <c r="I668">
        <v>0.1</v>
      </c>
      <c r="J668">
        <v>0.2</v>
      </c>
      <c r="K668">
        <v>0.2</v>
      </c>
      <c r="L668">
        <v>0.4</v>
      </c>
      <c r="M668">
        <v>0.1</v>
      </c>
      <c r="N668" t="s">
        <v>162</v>
      </c>
      <c r="O668" t="s">
        <v>162</v>
      </c>
      <c r="P668">
        <v>0</v>
      </c>
      <c r="Q668">
        <v>0</v>
      </c>
      <c r="R668">
        <v>0</v>
      </c>
      <c r="S668" t="s">
        <v>127</v>
      </c>
    </row>
    <row r="669" spans="1:19" x14ac:dyDescent="0.25">
      <c r="A669" t="s">
        <v>209</v>
      </c>
      <c r="B669">
        <v>29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0.1</v>
      </c>
      <c r="N669">
        <v>0</v>
      </c>
      <c r="O669">
        <v>0</v>
      </c>
      <c r="P669">
        <v>1.2</v>
      </c>
      <c r="Q669">
        <v>0</v>
      </c>
      <c r="R669">
        <v>0</v>
      </c>
      <c r="S669" t="s">
        <v>127</v>
      </c>
    </row>
    <row r="670" spans="1:19" x14ac:dyDescent="0.25">
      <c r="A670" t="s">
        <v>166</v>
      </c>
      <c r="B670" t="s">
        <v>162</v>
      </c>
      <c r="C670" t="s">
        <v>162</v>
      </c>
      <c r="D670" t="s">
        <v>162</v>
      </c>
      <c r="E670" t="s">
        <v>162</v>
      </c>
      <c r="F670" t="s">
        <v>162</v>
      </c>
      <c r="G670" t="s">
        <v>162</v>
      </c>
      <c r="H670" t="s">
        <v>162</v>
      </c>
      <c r="I670" t="s">
        <v>162</v>
      </c>
      <c r="J670">
        <v>36.9</v>
      </c>
      <c r="K670">
        <v>28</v>
      </c>
      <c r="L670">
        <v>32.6</v>
      </c>
      <c r="M670">
        <v>32.200000000000003</v>
      </c>
      <c r="N670">
        <v>33.200000000000003</v>
      </c>
      <c r="O670">
        <v>34</v>
      </c>
      <c r="P670">
        <v>34.9</v>
      </c>
      <c r="Q670">
        <v>32.5</v>
      </c>
      <c r="R670">
        <v>37.9</v>
      </c>
      <c r="S670" t="s">
        <v>127</v>
      </c>
    </row>
    <row r="671" spans="1:19" x14ac:dyDescent="0.25">
      <c r="A671" t="s">
        <v>211</v>
      </c>
      <c r="S671" t="s">
        <v>127</v>
      </c>
    </row>
    <row r="672" spans="1:19" x14ac:dyDescent="0.25">
      <c r="A672" t="s">
        <v>212</v>
      </c>
      <c r="B672">
        <v>113.3</v>
      </c>
      <c r="C672">
        <v>11.8</v>
      </c>
      <c r="D672">
        <v>3</v>
      </c>
      <c r="E672">
        <v>1.5</v>
      </c>
      <c r="F672">
        <v>1.3</v>
      </c>
      <c r="G672">
        <v>1.6</v>
      </c>
      <c r="H672">
        <v>0.9</v>
      </c>
      <c r="I672">
        <v>1.1000000000000001</v>
      </c>
      <c r="J672">
        <v>1.2</v>
      </c>
      <c r="K672">
        <v>3.4</v>
      </c>
      <c r="L672">
        <v>3.4</v>
      </c>
      <c r="M672">
        <v>3.7</v>
      </c>
      <c r="N672" t="s">
        <v>162</v>
      </c>
      <c r="O672" t="s">
        <v>162</v>
      </c>
      <c r="P672" t="s">
        <v>162</v>
      </c>
      <c r="Q672" t="s">
        <v>162</v>
      </c>
      <c r="R672" t="s">
        <v>162</v>
      </c>
      <c r="S672" t="s">
        <v>127</v>
      </c>
    </row>
    <row r="673" spans="1:19" x14ac:dyDescent="0.25">
      <c r="A673" t="s">
        <v>213</v>
      </c>
      <c r="B673">
        <v>10432.9</v>
      </c>
      <c r="C673" t="s">
        <v>162</v>
      </c>
      <c r="D673" t="s">
        <v>162</v>
      </c>
      <c r="E673" t="s">
        <v>162</v>
      </c>
      <c r="F673" t="s">
        <v>162</v>
      </c>
      <c r="G673" t="s">
        <v>162</v>
      </c>
      <c r="H673" t="s">
        <v>162</v>
      </c>
      <c r="I673" t="s">
        <v>162</v>
      </c>
      <c r="J673" t="s">
        <v>162</v>
      </c>
      <c r="K673" t="s">
        <v>162</v>
      </c>
      <c r="L673" t="s">
        <v>162</v>
      </c>
      <c r="M673" t="s">
        <v>162</v>
      </c>
      <c r="N673" t="s">
        <v>162</v>
      </c>
      <c r="O673" t="s">
        <v>162</v>
      </c>
      <c r="P673" t="s">
        <v>162</v>
      </c>
      <c r="Q673" t="s">
        <v>162</v>
      </c>
      <c r="R673" t="s">
        <v>162</v>
      </c>
      <c r="S673" t="s">
        <v>127</v>
      </c>
    </row>
    <row r="674" spans="1:19" x14ac:dyDescent="0.25">
      <c r="A674" t="s">
        <v>214</v>
      </c>
      <c r="S674" t="s">
        <v>127</v>
      </c>
    </row>
    <row r="675" spans="1:19" x14ac:dyDescent="0.25">
      <c r="A675" t="s">
        <v>128</v>
      </c>
      <c r="S675" t="s">
        <v>128</v>
      </c>
    </row>
    <row r="676" spans="1:19" x14ac:dyDescent="0.25">
      <c r="A676" t="s">
        <v>198</v>
      </c>
      <c r="B676" t="s">
        <v>257</v>
      </c>
      <c r="C676" t="s">
        <v>256</v>
      </c>
      <c r="D676" t="s">
        <v>181</v>
      </c>
      <c r="E676" t="s">
        <v>180</v>
      </c>
      <c r="F676" t="s">
        <v>179</v>
      </c>
      <c r="G676" t="s">
        <v>178</v>
      </c>
      <c r="H676" t="s">
        <v>177</v>
      </c>
      <c r="I676" t="s">
        <v>176</v>
      </c>
      <c r="J676" t="s">
        <v>175</v>
      </c>
      <c r="K676" t="s">
        <v>174</v>
      </c>
      <c r="L676" t="s">
        <v>173</v>
      </c>
      <c r="M676" t="s">
        <v>172</v>
      </c>
      <c r="N676" t="s">
        <v>171</v>
      </c>
      <c r="O676" t="s">
        <v>170</v>
      </c>
      <c r="P676" t="s">
        <v>169</v>
      </c>
      <c r="Q676" t="s">
        <v>168</v>
      </c>
      <c r="R676" t="s">
        <v>167</v>
      </c>
      <c r="S676" t="s">
        <v>128</v>
      </c>
    </row>
    <row r="677" spans="1:19" x14ac:dyDescent="0.25">
      <c r="A677" t="s">
        <v>199</v>
      </c>
      <c r="S677" t="s">
        <v>128</v>
      </c>
    </row>
    <row r="678" spans="1:19" x14ac:dyDescent="0.25">
      <c r="A678" t="s">
        <v>163</v>
      </c>
      <c r="B678">
        <v>3304.6</v>
      </c>
      <c r="C678">
        <v>95.1</v>
      </c>
      <c r="D678">
        <v>92.6</v>
      </c>
      <c r="E678">
        <v>97</v>
      </c>
      <c r="F678">
        <v>96</v>
      </c>
      <c r="G678">
        <v>94.9</v>
      </c>
      <c r="H678">
        <v>90.7</v>
      </c>
      <c r="I678">
        <v>89.3</v>
      </c>
      <c r="J678">
        <v>87.7</v>
      </c>
      <c r="K678">
        <v>94.3</v>
      </c>
      <c r="L678">
        <v>90.5</v>
      </c>
      <c r="M678">
        <v>94.2</v>
      </c>
      <c r="N678">
        <v>88.2</v>
      </c>
      <c r="O678">
        <v>93.4</v>
      </c>
      <c r="P678">
        <v>90.7</v>
      </c>
      <c r="Q678">
        <v>94.3</v>
      </c>
      <c r="R678">
        <v>93.4</v>
      </c>
      <c r="S678" t="s">
        <v>128</v>
      </c>
    </row>
    <row r="679" spans="1:19" x14ac:dyDescent="0.25">
      <c r="A679" t="s">
        <v>210</v>
      </c>
      <c r="B679">
        <v>57.7</v>
      </c>
      <c r="C679">
        <v>85.3</v>
      </c>
      <c r="D679">
        <v>85</v>
      </c>
      <c r="E679">
        <v>95.1</v>
      </c>
      <c r="F679">
        <v>89.5</v>
      </c>
      <c r="G679">
        <v>91.7</v>
      </c>
      <c r="H679">
        <v>7.7</v>
      </c>
      <c r="I679" t="s">
        <v>162</v>
      </c>
      <c r="J679" t="s">
        <v>162</v>
      </c>
      <c r="K679" t="s">
        <v>162</v>
      </c>
      <c r="L679" t="s">
        <v>162</v>
      </c>
      <c r="M679" t="s">
        <v>162</v>
      </c>
      <c r="N679" t="s">
        <v>162</v>
      </c>
      <c r="O679" t="s">
        <v>162</v>
      </c>
      <c r="P679" t="s">
        <v>162</v>
      </c>
      <c r="Q679" t="s">
        <v>162</v>
      </c>
      <c r="R679" t="s">
        <v>162</v>
      </c>
      <c r="S679" t="s">
        <v>128</v>
      </c>
    </row>
    <row r="680" spans="1:19" x14ac:dyDescent="0.25">
      <c r="A680" t="s">
        <v>200</v>
      </c>
      <c r="B680">
        <v>377.3</v>
      </c>
      <c r="C680">
        <v>72.2</v>
      </c>
      <c r="D680">
        <v>74.7</v>
      </c>
      <c r="E680">
        <v>73</v>
      </c>
      <c r="F680">
        <v>75.3</v>
      </c>
      <c r="G680">
        <v>73.3</v>
      </c>
      <c r="H680">
        <v>74.7</v>
      </c>
      <c r="I680">
        <v>76.400000000000006</v>
      </c>
      <c r="J680">
        <v>74.5</v>
      </c>
      <c r="K680">
        <v>76.099999999999994</v>
      </c>
      <c r="L680">
        <v>77.5</v>
      </c>
      <c r="M680">
        <v>78.2</v>
      </c>
      <c r="N680">
        <v>76.5</v>
      </c>
      <c r="O680">
        <v>76.5</v>
      </c>
      <c r="P680">
        <v>75.8</v>
      </c>
      <c r="Q680">
        <v>77.599999999999994</v>
      </c>
      <c r="R680">
        <v>80.2</v>
      </c>
      <c r="S680" t="s">
        <v>128</v>
      </c>
    </row>
    <row r="681" spans="1:19" x14ac:dyDescent="0.25">
      <c r="A681" t="s">
        <v>203</v>
      </c>
      <c r="B681">
        <v>4560.8</v>
      </c>
      <c r="C681">
        <v>71.2</v>
      </c>
      <c r="D681">
        <v>68.599999999999994</v>
      </c>
      <c r="E681">
        <v>71.900000000000006</v>
      </c>
      <c r="F681">
        <v>73.8</v>
      </c>
      <c r="G681">
        <v>76.7</v>
      </c>
      <c r="H681">
        <v>74.2</v>
      </c>
      <c r="I681">
        <v>75.599999999999994</v>
      </c>
      <c r="J681">
        <v>64.900000000000006</v>
      </c>
      <c r="K681">
        <v>63</v>
      </c>
      <c r="L681">
        <v>63.2</v>
      </c>
      <c r="M681">
        <v>65.8</v>
      </c>
      <c r="N681">
        <v>65</v>
      </c>
      <c r="O681">
        <v>73.900000000000006</v>
      </c>
      <c r="P681">
        <v>67.3</v>
      </c>
      <c r="Q681">
        <v>73</v>
      </c>
      <c r="R681">
        <v>70.400000000000006</v>
      </c>
      <c r="S681" t="s">
        <v>128</v>
      </c>
    </row>
    <row r="682" spans="1:19" x14ac:dyDescent="0.25">
      <c r="A682" t="s">
        <v>202</v>
      </c>
      <c r="B682">
        <v>9440.7000000000007</v>
      </c>
      <c r="C682">
        <v>53.7</v>
      </c>
      <c r="D682">
        <v>54.6</v>
      </c>
      <c r="E682">
        <v>48.7</v>
      </c>
      <c r="F682">
        <v>46.9</v>
      </c>
      <c r="G682">
        <v>46.5</v>
      </c>
      <c r="H682">
        <v>48.8</v>
      </c>
      <c r="I682">
        <v>47.4</v>
      </c>
      <c r="J682">
        <v>55.4</v>
      </c>
      <c r="K682">
        <v>57.7</v>
      </c>
      <c r="L682">
        <v>53.9</v>
      </c>
      <c r="M682">
        <v>53.4</v>
      </c>
      <c r="N682">
        <v>57.8</v>
      </c>
      <c r="O682">
        <v>50.4</v>
      </c>
      <c r="P682">
        <v>48.2</v>
      </c>
      <c r="Q682">
        <v>43</v>
      </c>
      <c r="R682">
        <v>41.7</v>
      </c>
      <c r="S682" t="s">
        <v>128</v>
      </c>
    </row>
    <row r="683" spans="1:19" x14ac:dyDescent="0.25">
      <c r="A683" t="s">
        <v>165</v>
      </c>
      <c r="B683">
        <v>78</v>
      </c>
      <c r="C683">
        <v>28.8</v>
      </c>
      <c r="D683">
        <v>55.9</v>
      </c>
      <c r="E683">
        <v>60.6</v>
      </c>
      <c r="F683">
        <v>65.2</v>
      </c>
      <c r="G683">
        <v>51.1</v>
      </c>
      <c r="H683">
        <v>56.2</v>
      </c>
      <c r="I683">
        <v>63.9</v>
      </c>
      <c r="J683">
        <v>49</v>
      </c>
      <c r="K683">
        <v>43.8</v>
      </c>
      <c r="L683">
        <v>50.4</v>
      </c>
      <c r="M683">
        <v>37.299999999999997</v>
      </c>
      <c r="N683">
        <v>40.4</v>
      </c>
      <c r="O683">
        <v>27.8</v>
      </c>
      <c r="P683">
        <v>41.8</v>
      </c>
      <c r="Q683">
        <v>45.1</v>
      </c>
      <c r="R683">
        <v>73.099999999999994</v>
      </c>
      <c r="S683" t="s">
        <v>128</v>
      </c>
    </row>
    <row r="684" spans="1:19" x14ac:dyDescent="0.25">
      <c r="A684" t="s">
        <v>216</v>
      </c>
      <c r="B684">
        <v>2464.5</v>
      </c>
      <c r="C684">
        <v>21.5</v>
      </c>
      <c r="D684">
        <v>23.8</v>
      </c>
      <c r="E684">
        <v>23</v>
      </c>
      <c r="F684">
        <v>25.9</v>
      </c>
      <c r="G684">
        <v>25.6</v>
      </c>
      <c r="H684">
        <v>24.5</v>
      </c>
      <c r="I684">
        <v>25.9</v>
      </c>
      <c r="J684" t="s">
        <v>162</v>
      </c>
      <c r="K684" t="s">
        <v>162</v>
      </c>
      <c r="L684" t="s">
        <v>162</v>
      </c>
      <c r="M684" t="s">
        <v>162</v>
      </c>
      <c r="N684" t="s">
        <v>162</v>
      </c>
      <c r="O684" t="s">
        <v>162</v>
      </c>
      <c r="P684" t="s">
        <v>162</v>
      </c>
      <c r="Q684" t="s">
        <v>162</v>
      </c>
      <c r="R684" t="s">
        <v>162</v>
      </c>
      <c r="S684" t="s">
        <v>128</v>
      </c>
    </row>
    <row r="685" spans="1:19" x14ac:dyDescent="0.25">
      <c r="A685" t="s">
        <v>206</v>
      </c>
      <c r="B685">
        <v>2609.1999999999998</v>
      </c>
      <c r="C685">
        <v>16.8</v>
      </c>
      <c r="D685">
        <v>17.899999999999999</v>
      </c>
      <c r="E685">
        <v>16.399999999999999</v>
      </c>
      <c r="F685">
        <v>15.8</v>
      </c>
      <c r="G685">
        <v>13.5</v>
      </c>
      <c r="H685">
        <v>15</v>
      </c>
      <c r="I685">
        <v>15.3</v>
      </c>
      <c r="J685">
        <v>16.600000000000001</v>
      </c>
      <c r="K685">
        <v>16.600000000000001</v>
      </c>
      <c r="L685">
        <v>16.5</v>
      </c>
      <c r="M685">
        <v>18.899999999999999</v>
      </c>
      <c r="N685">
        <v>17.399999999999999</v>
      </c>
      <c r="O685">
        <v>14.5</v>
      </c>
      <c r="P685">
        <v>6.8</v>
      </c>
      <c r="Q685">
        <v>3.8</v>
      </c>
      <c r="R685">
        <v>18.2</v>
      </c>
      <c r="S685" t="s">
        <v>128</v>
      </c>
    </row>
    <row r="686" spans="1:19" x14ac:dyDescent="0.25">
      <c r="A686" t="s">
        <v>204</v>
      </c>
      <c r="B686">
        <v>1547.6</v>
      </c>
      <c r="C686">
        <v>16.399999999999999</v>
      </c>
      <c r="D686">
        <v>16.5</v>
      </c>
      <c r="E686">
        <v>17</v>
      </c>
      <c r="F686">
        <v>16.399999999999999</v>
      </c>
      <c r="G686">
        <v>16.5</v>
      </c>
      <c r="H686">
        <v>15.9</v>
      </c>
      <c r="I686">
        <v>16.399999999999999</v>
      </c>
      <c r="J686">
        <v>16.7</v>
      </c>
      <c r="K686">
        <v>17.600000000000001</v>
      </c>
      <c r="L686">
        <v>17.600000000000001</v>
      </c>
      <c r="M686">
        <v>17.399999999999999</v>
      </c>
      <c r="N686">
        <v>19.100000000000001</v>
      </c>
      <c r="O686">
        <v>12.8</v>
      </c>
      <c r="P686" t="s">
        <v>162</v>
      </c>
      <c r="Q686" t="s">
        <v>162</v>
      </c>
      <c r="R686" t="s">
        <v>162</v>
      </c>
      <c r="S686" t="s">
        <v>128</v>
      </c>
    </row>
    <row r="687" spans="1:19" x14ac:dyDescent="0.25">
      <c r="A687" t="s">
        <v>215</v>
      </c>
      <c r="B687">
        <v>80.7</v>
      </c>
      <c r="C687">
        <v>14.8</v>
      </c>
      <c r="D687">
        <v>12.9</v>
      </c>
      <c r="E687">
        <v>23.2</v>
      </c>
      <c r="F687">
        <v>21.9</v>
      </c>
      <c r="G687">
        <v>15.7</v>
      </c>
      <c r="H687">
        <v>10.7</v>
      </c>
      <c r="I687">
        <v>10.8</v>
      </c>
      <c r="J687">
        <v>15.3</v>
      </c>
      <c r="K687">
        <v>23</v>
      </c>
      <c r="L687">
        <v>23.5</v>
      </c>
      <c r="M687">
        <v>23.7</v>
      </c>
      <c r="N687">
        <v>17.399999999999999</v>
      </c>
      <c r="O687">
        <v>18</v>
      </c>
      <c r="P687">
        <v>22.1</v>
      </c>
      <c r="Q687">
        <v>22.4</v>
      </c>
      <c r="R687">
        <v>22.9</v>
      </c>
      <c r="S687" t="s">
        <v>128</v>
      </c>
    </row>
    <row r="688" spans="1:19" x14ac:dyDescent="0.25">
      <c r="A688" t="s">
        <v>205</v>
      </c>
      <c r="B688">
        <v>9824.6</v>
      </c>
      <c r="C688">
        <v>11.5</v>
      </c>
      <c r="D688">
        <v>12.8</v>
      </c>
      <c r="E688">
        <v>12.4</v>
      </c>
      <c r="F688">
        <v>10.7</v>
      </c>
      <c r="G688">
        <v>8.8000000000000007</v>
      </c>
      <c r="H688">
        <v>12.5</v>
      </c>
      <c r="I688">
        <v>10.5</v>
      </c>
      <c r="J688">
        <v>15.4</v>
      </c>
      <c r="K688">
        <v>15.7</v>
      </c>
      <c r="L688">
        <v>15.7</v>
      </c>
      <c r="M688">
        <v>14</v>
      </c>
      <c r="N688">
        <v>16.7</v>
      </c>
      <c r="O688">
        <v>14.7</v>
      </c>
      <c r="P688">
        <v>16.7</v>
      </c>
      <c r="Q688">
        <v>13.5</v>
      </c>
      <c r="R688">
        <v>18.3</v>
      </c>
      <c r="S688" t="s">
        <v>128</v>
      </c>
    </row>
    <row r="689" spans="1:19" x14ac:dyDescent="0.25">
      <c r="A689" t="s">
        <v>208</v>
      </c>
      <c r="B689">
        <v>1559.1</v>
      </c>
      <c r="C689">
        <v>0.7</v>
      </c>
      <c r="D689">
        <v>1.1000000000000001</v>
      </c>
      <c r="E689">
        <v>1.3</v>
      </c>
      <c r="F689">
        <v>1.7</v>
      </c>
      <c r="G689">
        <v>0.8</v>
      </c>
      <c r="H689">
        <v>1.1000000000000001</v>
      </c>
      <c r="I689">
        <v>0.6</v>
      </c>
      <c r="J689">
        <v>1.1000000000000001</v>
      </c>
      <c r="K689">
        <v>1.1000000000000001</v>
      </c>
      <c r="L689">
        <v>1.3</v>
      </c>
      <c r="M689">
        <v>1.8</v>
      </c>
      <c r="N689">
        <v>1.6</v>
      </c>
      <c r="O689">
        <v>1.4</v>
      </c>
      <c r="P689">
        <v>2</v>
      </c>
      <c r="Q689">
        <v>1.4</v>
      </c>
      <c r="R689">
        <v>2.5</v>
      </c>
      <c r="S689" t="s">
        <v>128</v>
      </c>
    </row>
    <row r="690" spans="1:19" x14ac:dyDescent="0.25">
      <c r="A690" t="s">
        <v>219</v>
      </c>
      <c r="B690">
        <v>1615.2</v>
      </c>
      <c r="C690">
        <v>0.4</v>
      </c>
      <c r="D690">
        <v>1.7</v>
      </c>
      <c r="E690">
        <v>0.2</v>
      </c>
      <c r="F690">
        <v>0.3</v>
      </c>
      <c r="G690">
        <v>0.2</v>
      </c>
      <c r="H690">
        <v>0.3</v>
      </c>
      <c r="I690">
        <v>0.3</v>
      </c>
      <c r="J690">
        <v>0.3</v>
      </c>
      <c r="K690">
        <v>0.5</v>
      </c>
      <c r="L690">
        <v>4.5</v>
      </c>
      <c r="M690">
        <v>7.5</v>
      </c>
      <c r="N690">
        <v>9.5</v>
      </c>
      <c r="O690">
        <v>8.6</v>
      </c>
      <c r="P690">
        <v>9.3000000000000007</v>
      </c>
      <c r="Q690">
        <v>9.6999999999999993</v>
      </c>
      <c r="R690">
        <v>12.4</v>
      </c>
      <c r="S690" t="s">
        <v>128</v>
      </c>
    </row>
    <row r="691" spans="1:19" x14ac:dyDescent="0.25">
      <c r="A691" t="s">
        <v>209</v>
      </c>
      <c r="B691">
        <v>308</v>
      </c>
      <c r="C691">
        <v>0.2</v>
      </c>
      <c r="D691">
        <v>0.2</v>
      </c>
      <c r="E691">
        <v>0.2</v>
      </c>
      <c r="F691">
        <v>0.2</v>
      </c>
      <c r="G691">
        <v>0.2</v>
      </c>
      <c r="H691">
        <v>0.3</v>
      </c>
      <c r="I691">
        <v>0.4</v>
      </c>
      <c r="J691">
        <v>0.5</v>
      </c>
      <c r="K691">
        <v>2.9</v>
      </c>
      <c r="L691">
        <v>1</v>
      </c>
      <c r="M691">
        <v>0.7</v>
      </c>
      <c r="N691">
        <v>0.6</v>
      </c>
      <c r="O691">
        <v>0.5</v>
      </c>
      <c r="P691">
        <v>2.9</v>
      </c>
      <c r="Q691">
        <v>3.7</v>
      </c>
      <c r="R691">
        <v>4.0999999999999996</v>
      </c>
      <c r="S691" t="s">
        <v>128</v>
      </c>
    </row>
    <row r="692" spans="1:19" x14ac:dyDescent="0.25">
      <c r="A692" t="s">
        <v>217</v>
      </c>
      <c r="B692">
        <v>20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57.8</v>
      </c>
      <c r="J692">
        <v>15.8</v>
      </c>
      <c r="K692">
        <v>18.3</v>
      </c>
      <c r="L692">
        <v>18</v>
      </c>
      <c r="M692">
        <v>0</v>
      </c>
      <c r="N692">
        <v>0</v>
      </c>
      <c r="O692">
        <v>0</v>
      </c>
      <c r="P692">
        <v>0</v>
      </c>
      <c r="Q692" t="s">
        <v>162</v>
      </c>
      <c r="R692" t="s">
        <v>162</v>
      </c>
      <c r="S692" t="s">
        <v>128</v>
      </c>
    </row>
    <row r="693" spans="1:19" x14ac:dyDescent="0.25">
      <c r="A693" t="s">
        <v>201</v>
      </c>
      <c r="B693" t="s">
        <v>162</v>
      </c>
      <c r="C693" t="s">
        <v>162</v>
      </c>
      <c r="D693">
        <v>0</v>
      </c>
      <c r="E693">
        <v>0</v>
      </c>
      <c r="F693">
        <v>0.9</v>
      </c>
      <c r="G693">
        <v>5.5</v>
      </c>
      <c r="H693">
        <v>7.4</v>
      </c>
      <c r="I693">
        <v>6.2</v>
      </c>
      <c r="J693">
        <v>11.5</v>
      </c>
      <c r="K693">
        <v>13.1</v>
      </c>
      <c r="L693">
        <v>21.1</v>
      </c>
      <c r="M693">
        <v>21.5</v>
      </c>
      <c r="N693">
        <v>21.3</v>
      </c>
      <c r="O693">
        <v>40.9</v>
      </c>
      <c r="P693">
        <v>57.3</v>
      </c>
      <c r="Q693">
        <v>51.7</v>
      </c>
      <c r="R693">
        <v>72</v>
      </c>
      <c r="S693" t="s">
        <v>128</v>
      </c>
    </row>
    <row r="694" spans="1:19" x14ac:dyDescent="0.25">
      <c r="A694" t="s">
        <v>166</v>
      </c>
      <c r="B694" t="s">
        <v>162</v>
      </c>
      <c r="C694" t="s">
        <v>162</v>
      </c>
      <c r="D694" t="s">
        <v>162</v>
      </c>
      <c r="E694" t="s">
        <v>162</v>
      </c>
      <c r="F694" t="s">
        <v>162</v>
      </c>
      <c r="G694" t="s">
        <v>162</v>
      </c>
      <c r="H694" t="s">
        <v>162</v>
      </c>
      <c r="I694" t="s">
        <v>162</v>
      </c>
      <c r="J694">
        <v>25.6</v>
      </c>
      <c r="K694">
        <v>26</v>
      </c>
      <c r="L694">
        <v>26.1</v>
      </c>
      <c r="M694">
        <v>24.6</v>
      </c>
      <c r="N694">
        <v>23.4</v>
      </c>
      <c r="O694">
        <v>23.9</v>
      </c>
      <c r="P694">
        <v>22.8</v>
      </c>
      <c r="Q694">
        <v>21.9</v>
      </c>
      <c r="R694">
        <v>23.6</v>
      </c>
      <c r="S694" t="s">
        <v>128</v>
      </c>
    </row>
    <row r="695" spans="1:19" x14ac:dyDescent="0.25">
      <c r="A695" t="s">
        <v>211</v>
      </c>
      <c r="S695" t="s">
        <v>128</v>
      </c>
    </row>
    <row r="696" spans="1:19" x14ac:dyDescent="0.25">
      <c r="A696" t="s">
        <v>220</v>
      </c>
      <c r="B696">
        <v>1405.1</v>
      </c>
      <c r="C696">
        <v>5.9</v>
      </c>
      <c r="D696">
        <v>7.2</v>
      </c>
      <c r="E696">
        <v>5.8</v>
      </c>
      <c r="F696">
        <v>5.0999999999999996</v>
      </c>
      <c r="G696">
        <v>4.7</v>
      </c>
      <c r="H696">
        <v>6.5</v>
      </c>
      <c r="I696">
        <v>6.6</v>
      </c>
      <c r="J696">
        <v>7.3</v>
      </c>
      <c r="K696">
        <v>7</v>
      </c>
      <c r="L696">
        <v>5.3</v>
      </c>
      <c r="M696">
        <v>6.3</v>
      </c>
      <c r="N696" t="s">
        <v>162</v>
      </c>
      <c r="O696" t="s">
        <v>162</v>
      </c>
      <c r="P696" t="s">
        <v>162</v>
      </c>
      <c r="Q696" t="s">
        <v>162</v>
      </c>
      <c r="R696" t="s">
        <v>162</v>
      </c>
      <c r="S696" t="s">
        <v>128</v>
      </c>
    </row>
    <row r="697" spans="1:19" x14ac:dyDescent="0.25">
      <c r="A697" t="s">
        <v>212</v>
      </c>
      <c r="B697">
        <v>176.8</v>
      </c>
      <c r="C697">
        <v>3</v>
      </c>
      <c r="D697">
        <v>3.8</v>
      </c>
      <c r="E697">
        <v>5.0999999999999996</v>
      </c>
      <c r="F697">
        <v>6.2</v>
      </c>
      <c r="G697">
        <v>8.4</v>
      </c>
      <c r="H697">
        <v>0</v>
      </c>
      <c r="I697">
        <v>0</v>
      </c>
      <c r="J697" t="s">
        <v>162</v>
      </c>
      <c r="K697" t="s">
        <v>162</v>
      </c>
      <c r="L697" t="s">
        <v>162</v>
      </c>
      <c r="M697" t="s">
        <v>162</v>
      </c>
      <c r="N697" t="s">
        <v>162</v>
      </c>
      <c r="O697" t="s">
        <v>162</v>
      </c>
      <c r="P697" t="s">
        <v>162</v>
      </c>
      <c r="Q697" t="s">
        <v>162</v>
      </c>
      <c r="R697" t="s">
        <v>162</v>
      </c>
      <c r="S697" t="s">
        <v>128</v>
      </c>
    </row>
    <row r="698" spans="1:19" x14ac:dyDescent="0.25">
      <c r="A698" t="s">
        <v>213</v>
      </c>
      <c r="B698">
        <v>39429.800000000003</v>
      </c>
      <c r="C698" t="s">
        <v>162</v>
      </c>
      <c r="D698" t="s">
        <v>162</v>
      </c>
      <c r="E698" t="s">
        <v>162</v>
      </c>
      <c r="F698" t="s">
        <v>162</v>
      </c>
      <c r="G698" t="s">
        <v>162</v>
      </c>
      <c r="H698" t="s">
        <v>162</v>
      </c>
      <c r="I698" t="s">
        <v>162</v>
      </c>
      <c r="J698" t="s">
        <v>162</v>
      </c>
      <c r="K698" t="s">
        <v>162</v>
      </c>
      <c r="L698" t="s">
        <v>162</v>
      </c>
      <c r="M698" t="s">
        <v>162</v>
      </c>
      <c r="N698" t="s">
        <v>162</v>
      </c>
      <c r="O698" t="s">
        <v>162</v>
      </c>
      <c r="P698" t="s">
        <v>162</v>
      </c>
      <c r="Q698" t="s">
        <v>162</v>
      </c>
      <c r="R698" t="s">
        <v>162</v>
      </c>
      <c r="S698" t="s">
        <v>128</v>
      </c>
    </row>
    <row r="699" spans="1:19" x14ac:dyDescent="0.25">
      <c r="A699" t="s">
        <v>214</v>
      </c>
      <c r="S699" t="s">
        <v>128</v>
      </c>
    </row>
    <row r="700" spans="1:19" x14ac:dyDescent="0.25">
      <c r="A700" t="s">
        <v>129</v>
      </c>
      <c r="S700" t="s">
        <v>129</v>
      </c>
    </row>
    <row r="701" spans="1:19" x14ac:dyDescent="0.25">
      <c r="A701" t="s">
        <v>198</v>
      </c>
      <c r="B701" t="s">
        <v>257</v>
      </c>
      <c r="C701" t="s">
        <v>256</v>
      </c>
      <c r="D701" t="s">
        <v>181</v>
      </c>
      <c r="E701" t="s">
        <v>180</v>
      </c>
      <c r="F701" t="s">
        <v>179</v>
      </c>
      <c r="G701" t="s">
        <v>178</v>
      </c>
      <c r="H701" t="s">
        <v>177</v>
      </c>
      <c r="I701" t="s">
        <v>176</v>
      </c>
      <c r="J701" t="s">
        <v>175</v>
      </c>
      <c r="K701" t="s">
        <v>174</v>
      </c>
      <c r="L701" t="s">
        <v>173</v>
      </c>
      <c r="M701" t="s">
        <v>172</v>
      </c>
      <c r="N701" t="s">
        <v>171</v>
      </c>
      <c r="O701" t="s">
        <v>170</v>
      </c>
      <c r="P701" t="s">
        <v>169</v>
      </c>
      <c r="Q701" t="s">
        <v>168</v>
      </c>
      <c r="R701" t="s">
        <v>167</v>
      </c>
      <c r="S701" t="s">
        <v>129</v>
      </c>
    </row>
    <row r="702" spans="1:19" x14ac:dyDescent="0.25">
      <c r="A702" t="s">
        <v>199</v>
      </c>
      <c r="S702" t="s">
        <v>129</v>
      </c>
    </row>
    <row r="703" spans="1:19" x14ac:dyDescent="0.25">
      <c r="A703" t="s">
        <v>163</v>
      </c>
      <c r="B703">
        <v>5149.6000000000004</v>
      </c>
      <c r="C703">
        <v>93.9</v>
      </c>
      <c r="D703">
        <v>94.5</v>
      </c>
      <c r="E703">
        <v>95.6</v>
      </c>
      <c r="F703">
        <v>93.6</v>
      </c>
      <c r="G703">
        <v>92.9</v>
      </c>
      <c r="H703">
        <v>93.3</v>
      </c>
      <c r="I703">
        <v>94.5</v>
      </c>
      <c r="J703">
        <v>95.3</v>
      </c>
      <c r="K703">
        <v>94</v>
      </c>
      <c r="L703">
        <v>91.8</v>
      </c>
      <c r="M703">
        <v>90.5</v>
      </c>
      <c r="N703">
        <v>89.8</v>
      </c>
      <c r="O703">
        <v>93.1</v>
      </c>
      <c r="P703">
        <v>93.8</v>
      </c>
      <c r="Q703">
        <v>94.1</v>
      </c>
      <c r="R703">
        <v>91.4</v>
      </c>
      <c r="S703" t="s">
        <v>129</v>
      </c>
    </row>
    <row r="704" spans="1:19" x14ac:dyDescent="0.25">
      <c r="A704" t="s">
        <v>202</v>
      </c>
      <c r="B704">
        <v>5579</v>
      </c>
      <c r="C704">
        <v>74.5</v>
      </c>
      <c r="D704">
        <v>76.599999999999994</v>
      </c>
      <c r="E704">
        <v>73.2</v>
      </c>
      <c r="F704">
        <v>72.7</v>
      </c>
      <c r="G704">
        <v>78.099999999999994</v>
      </c>
      <c r="H704">
        <v>83.5</v>
      </c>
      <c r="I704">
        <v>83.2</v>
      </c>
      <c r="J704">
        <v>78.2</v>
      </c>
      <c r="K704">
        <v>75.599999999999994</v>
      </c>
      <c r="L704">
        <v>64.8</v>
      </c>
      <c r="M704">
        <v>65.2</v>
      </c>
      <c r="N704">
        <v>61</v>
      </c>
      <c r="O704">
        <v>52.7</v>
      </c>
      <c r="P704">
        <v>36.9</v>
      </c>
      <c r="Q704">
        <v>13.5</v>
      </c>
      <c r="R704">
        <v>13.6</v>
      </c>
      <c r="S704" t="s">
        <v>129</v>
      </c>
    </row>
    <row r="705" spans="1:19" x14ac:dyDescent="0.25">
      <c r="A705" t="s">
        <v>200</v>
      </c>
      <c r="B705">
        <v>74.099999999999994</v>
      </c>
      <c r="C705">
        <v>55.9</v>
      </c>
      <c r="D705">
        <v>57.8</v>
      </c>
      <c r="E705">
        <v>60.4</v>
      </c>
      <c r="F705">
        <v>63.2</v>
      </c>
      <c r="G705">
        <v>64.400000000000006</v>
      </c>
      <c r="H705">
        <v>65.599999999999994</v>
      </c>
      <c r="I705">
        <v>71.2</v>
      </c>
      <c r="J705">
        <v>73.5</v>
      </c>
      <c r="K705">
        <v>75.3</v>
      </c>
      <c r="L705">
        <v>76.900000000000006</v>
      </c>
      <c r="M705">
        <v>76.5</v>
      </c>
      <c r="N705">
        <v>64.8</v>
      </c>
      <c r="O705">
        <v>65.099999999999994</v>
      </c>
      <c r="P705">
        <v>69.599999999999994</v>
      </c>
      <c r="Q705">
        <v>73.400000000000006</v>
      </c>
      <c r="R705">
        <v>70.900000000000006</v>
      </c>
      <c r="S705" t="s">
        <v>129</v>
      </c>
    </row>
    <row r="706" spans="1:19" x14ac:dyDescent="0.25">
      <c r="A706" t="s">
        <v>165</v>
      </c>
      <c r="B706">
        <v>324.89999999999998</v>
      </c>
      <c r="C706">
        <v>52.6</v>
      </c>
      <c r="D706">
        <v>54.1</v>
      </c>
      <c r="E706">
        <v>55.6</v>
      </c>
      <c r="F706">
        <v>56.9</v>
      </c>
      <c r="G706">
        <v>59.1</v>
      </c>
      <c r="H706">
        <v>59.4</v>
      </c>
      <c r="I706">
        <v>61.3</v>
      </c>
      <c r="J706">
        <v>58.6</v>
      </c>
      <c r="K706">
        <v>54.2</v>
      </c>
      <c r="L706">
        <v>56.8</v>
      </c>
      <c r="M706">
        <v>60.3</v>
      </c>
      <c r="N706">
        <v>57.3</v>
      </c>
      <c r="O706">
        <v>51.1</v>
      </c>
      <c r="P706">
        <v>46.8</v>
      </c>
      <c r="Q706">
        <v>58.6</v>
      </c>
      <c r="R706">
        <v>60.1</v>
      </c>
      <c r="S706" t="s">
        <v>129</v>
      </c>
    </row>
    <row r="707" spans="1:19" x14ac:dyDescent="0.25">
      <c r="A707" t="s">
        <v>217</v>
      </c>
      <c r="B707">
        <v>54</v>
      </c>
      <c r="C707">
        <v>50</v>
      </c>
      <c r="D707">
        <v>44.1</v>
      </c>
      <c r="E707">
        <v>50.1</v>
      </c>
      <c r="F707">
        <v>41.7</v>
      </c>
      <c r="G707">
        <v>45</v>
      </c>
      <c r="H707">
        <v>49.3</v>
      </c>
      <c r="I707">
        <v>62.1</v>
      </c>
      <c r="J707">
        <v>61.5</v>
      </c>
      <c r="K707">
        <v>56.9</v>
      </c>
      <c r="L707">
        <v>67.2</v>
      </c>
      <c r="M707">
        <v>71.5</v>
      </c>
      <c r="N707">
        <v>65.599999999999994</v>
      </c>
      <c r="O707">
        <v>88.3</v>
      </c>
      <c r="P707">
        <v>86.5</v>
      </c>
      <c r="Q707">
        <v>45.4</v>
      </c>
      <c r="R707">
        <v>58.4</v>
      </c>
      <c r="S707" t="s">
        <v>129</v>
      </c>
    </row>
    <row r="708" spans="1:19" x14ac:dyDescent="0.25">
      <c r="A708" t="s">
        <v>205</v>
      </c>
      <c r="B708">
        <v>4665.7</v>
      </c>
      <c r="C708">
        <v>41.3</v>
      </c>
      <c r="D708">
        <v>44.8</v>
      </c>
      <c r="E708">
        <v>33.6</v>
      </c>
      <c r="F708">
        <v>30.3</v>
      </c>
      <c r="G708">
        <v>26.7</v>
      </c>
      <c r="H708" t="s">
        <v>162</v>
      </c>
      <c r="I708" t="s">
        <v>162</v>
      </c>
      <c r="J708" t="s">
        <v>162</v>
      </c>
      <c r="K708" t="s">
        <v>162</v>
      </c>
      <c r="L708" t="s">
        <v>162</v>
      </c>
      <c r="M708" t="s">
        <v>162</v>
      </c>
      <c r="N708" t="s">
        <v>162</v>
      </c>
      <c r="O708" t="s">
        <v>162</v>
      </c>
      <c r="P708" t="s">
        <v>162</v>
      </c>
      <c r="Q708" t="s">
        <v>162</v>
      </c>
      <c r="R708" t="s">
        <v>162</v>
      </c>
      <c r="S708" t="s">
        <v>129</v>
      </c>
    </row>
    <row r="709" spans="1:19" x14ac:dyDescent="0.25">
      <c r="A709" t="s">
        <v>216</v>
      </c>
      <c r="B709">
        <v>208</v>
      </c>
      <c r="C709">
        <v>28.5</v>
      </c>
      <c r="D709">
        <v>29.5</v>
      </c>
      <c r="E709">
        <v>27.7</v>
      </c>
      <c r="F709">
        <v>29.9</v>
      </c>
      <c r="G709">
        <v>28.7</v>
      </c>
      <c r="H709">
        <v>29.8</v>
      </c>
      <c r="I709">
        <v>25.8</v>
      </c>
      <c r="J709" t="s">
        <v>162</v>
      </c>
      <c r="K709" t="s">
        <v>162</v>
      </c>
      <c r="L709" t="s">
        <v>162</v>
      </c>
      <c r="M709" t="s">
        <v>162</v>
      </c>
      <c r="N709" t="s">
        <v>162</v>
      </c>
      <c r="O709" t="s">
        <v>162</v>
      </c>
      <c r="P709" t="s">
        <v>162</v>
      </c>
      <c r="Q709" t="s">
        <v>162</v>
      </c>
      <c r="R709" t="s">
        <v>162</v>
      </c>
      <c r="S709" t="s">
        <v>129</v>
      </c>
    </row>
    <row r="710" spans="1:19" x14ac:dyDescent="0.25">
      <c r="A710" t="s">
        <v>203</v>
      </c>
      <c r="B710">
        <v>2009.6</v>
      </c>
      <c r="C710">
        <v>24</v>
      </c>
      <c r="D710">
        <v>26.6</v>
      </c>
      <c r="E710">
        <v>33.1</v>
      </c>
      <c r="F710">
        <v>45.1</v>
      </c>
      <c r="G710">
        <v>35.299999999999997</v>
      </c>
      <c r="H710">
        <v>37.700000000000003</v>
      </c>
      <c r="I710">
        <v>21.8</v>
      </c>
      <c r="J710">
        <v>25.1</v>
      </c>
      <c r="K710">
        <v>27</v>
      </c>
      <c r="L710">
        <v>27.2</v>
      </c>
      <c r="M710">
        <v>39.700000000000003</v>
      </c>
      <c r="N710">
        <v>21.2</v>
      </c>
      <c r="O710">
        <v>21.7</v>
      </c>
      <c r="P710">
        <v>26.6</v>
      </c>
      <c r="Q710">
        <v>28.8</v>
      </c>
      <c r="R710">
        <v>17.7</v>
      </c>
      <c r="S710" t="s">
        <v>129</v>
      </c>
    </row>
    <row r="711" spans="1:19" x14ac:dyDescent="0.25">
      <c r="A711" t="s">
        <v>201</v>
      </c>
      <c r="B711">
        <v>4552</v>
      </c>
      <c r="C711">
        <v>23.1</v>
      </c>
      <c r="D711">
        <v>25</v>
      </c>
      <c r="E711">
        <v>32.799999999999997</v>
      </c>
      <c r="F711">
        <v>26.7</v>
      </c>
      <c r="G711">
        <v>35.299999999999997</v>
      </c>
      <c r="H711">
        <v>34.799999999999997</v>
      </c>
      <c r="I711">
        <v>37.6</v>
      </c>
      <c r="J711">
        <v>40.1</v>
      </c>
      <c r="K711">
        <v>42.5</v>
      </c>
      <c r="L711">
        <v>52</v>
      </c>
      <c r="M711">
        <v>48.2</v>
      </c>
      <c r="N711">
        <v>49.7</v>
      </c>
      <c r="O711">
        <v>55.8</v>
      </c>
      <c r="P711">
        <v>64.599999999999994</v>
      </c>
      <c r="Q711">
        <v>57.7</v>
      </c>
      <c r="R711">
        <v>66.400000000000006</v>
      </c>
      <c r="S711" t="s">
        <v>129</v>
      </c>
    </row>
    <row r="712" spans="1:19" x14ac:dyDescent="0.25">
      <c r="A712" t="s">
        <v>204</v>
      </c>
      <c r="B712">
        <v>6228.2</v>
      </c>
      <c r="C712">
        <v>20.9</v>
      </c>
      <c r="D712">
        <v>21.5</v>
      </c>
      <c r="E712">
        <v>21.5</v>
      </c>
      <c r="F712">
        <v>20.2</v>
      </c>
      <c r="G712">
        <v>20.6</v>
      </c>
      <c r="H712">
        <v>20.100000000000001</v>
      </c>
      <c r="I712">
        <v>21.2</v>
      </c>
      <c r="J712">
        <v>20.6</v>
      </c>
      <c r="K712">
        <v>19.600000000000001</v>
      </c>
      <c r="L712">
        <v>20.3</v>
      </c>
      <c r="M712">
        <v>20.3</v>
      </c>
      <c r="N712">
        <v>24.5</v>
      </c>
      <c r="O712">
        <v>5.2</v>
      </c>
      <c r="P712">
        <v>16.7</v>
      </c>
      <c r="Q712">
        <v>12.9</v>
      </c>
      <c r="R712" t="s">
        <v>162</v>
      </c>
      <c r="S712" t="s">
        <v>129</v>
      </c>
    </row>
    <row r="713" spans="1:19" x14ac:dyDescent="0.25">
      <c r="A713" t="s">
        <v>206</v>
      </c>
      <c r="B713">
        <v>6030.5</v>
      </c>
      <c r="C713">
        <v>6.5</v>
      </c>
      <c r="D713">
        <v>13.4</v>
      </c>
      <c r="E713">
        <v>8.3000000000000007</v>
      </c>
      <c r="F713">
        <v>6.6</v>
      </c>
      <c r="G713">
        <v>9.5</v>
      </c>
      <c r="H713">
        <v>16.2</v>
      </c>
      <c r="I713">
        <v>7.8</v>
      </c>
      <c r="J713">
        <v>12.9</v>
      </c>
      <c r="K713">
        <v>9.5</v>
      </c>
      <c r="L713">
        <v>3.9</v>
      </c>
      <c r="M713">
        <v>3.3</v>
      </c>
      <c r="N713">
        <v>8.6999999999999993</v>
      </c>
      <c r="O713">
        <v>5.4</v>
      </c>
      <c r="P713">
        <v>6.7</v>
      </c>
      <c r="Q713">
        <v>7.8</v>
      </c>
      <c r="R713">
        <v>6.3</v>
      </c>
      <c r="S713" t="s">
        <v>129</v>
      </c>
    </row>
    <row r="714" spans="1:19" x14ac:dyDescent="0.25">
      <c r="A714" t="s">
        <v>209</v>
      </c>
      <c r="B714">
        <v>160.4</v>
      </c>
      <c r="C714">
        <v>0.2</v>
      </c>
      <c r="D714">
        <v>0.3</v>
      </c>
      <c r="E714">
        <v>0.3</v>
      </c>
      <c r="F714">
        <v>0.3</v>
      </c>
      <c r="G714">
        <v>0.4</v>
      </c>
      <c r="H714">
        <v>0.3</v>
      </c>
      <c r="I714">
        <v>0.5</v>
      </c>
      <c r="J714">
        <v>0.3</v>
      </c>
      <c r="K714">
        <v>0.4</v>
      </c>
      <c r="L714">
        <v>0.3</v>
      </c>
      <c r="M714">
        <v>0.2</v>
      </c>
      <c r="N714">
        <v>0.1</v>
      </c>
      <c r="O714">
        <v>0.4</v>
      </c>
      <c r="P714">
        <v>0.3</v>
      </c>
      <c r="Q714">
        <v>0.2</v>
      </c>
      <c r="R714">
        <v>0.2</v>
      </c>
      <c r="S714" t="s">
        <v>129</v>
      </c>
    </row>
    <row r="715" spans="1:19" x14ac:dyDescent="0.25">
      <c r="A715" t="s">
        <v>208</v>
      </c>
      <c r="B715">
        <v>176</v>
      </c>
      <c r="C715">
        <v>0</v>
      </c>
      <c r="D715">
        <v>0.1</v>
      </c>
      <c r="E715">
        <v>0.1</v>
      </c>
      <c r="F715">
        <v>0</v>
      </c>
      <c r="G715">
        <v>0</v>
      </c>
      <c r="H715">
        <v>0.1</v>
      </c>
      <c r="I715">
        <v>0</v>
      </c>
      <c r="J715">
        <v>0</v>
      </c>
      <c r="K715">
        <v>0.1</v>
      </c>
      <c r="L715">
        <v>0.2</v>
      </c>
      <c r="M715">
        <v>0</v>
      </c>
      <c r="N715">
        <v>0</v>
      </c>
      <c r="O715">
        <v>0</v>
      </c>
      <c r="P715">
        <v>0.1</v>
      </c>
      <c r="Q715">
        <v>0.1</v>
      </c>
      <c r="R715">
        <v>0.1</v>
      </c>
      <c r="S715" t="s">
        <v>129</v>
      </c>
    </row>
    <row r="716" spans="1:19" x14ac:dyDescent="0.25">
      <c r="A716" t="s">
        <v>211</v>
      </c>
      <c r="S716" t="s">
        <v>129</v>
      </c>
    </row>
    <row r="717" spans="1:19" x14ac:dyDescent="0.25">
      <c r="A717" t="s">
        <v>212</v>
      </c>
      <c r="B717">
        <v>53</v>
      </c>
      <c r="C717">
        <v>0.7</v>
      </c>
      <c r="D717">
        <v>1.6</v>
      </c>
      <c r="E717">
        <v>4.5</v>
      </c>
      <c r="F717">
        <v>0.3</v>
      </c>
      <c r="G717">
        <v>0</v>
      </c>
      <c r="H717">
        <v>0</v>
      </c>
      <c r="I717">
        <v>0</v>
      </c>
      <c r="J717" t="s">
        <v>162</v>
      </c>
      <c r="K717" t="s">
        <v>162</v>
      </c>
      <c r="L717" t="s">
        <v>162</v>
      </c>
      <c r="M717" t="s">
        <v>162</v>
      </c>
      <c r="N717" t="s">
        <v>162</v>
      </c>
      <c r="O717" t="s">
        <v>162</v>
      </c>
      <c r="P717" t="s">
        <v>162</v>
      </c>
      <c r="Q717" t="s">
        <v>162</v>
      </c>
      <c r="R717" t="s">
        <v>162</v>
      </c>
      <c r="S717" t="s">
        <v>129</v>
      </c>
    </row>
    <row r="718" spans="1:19" x14ac:dyDescent="0.25">
      <c r="A718" t="s">
        <v>220</v>
      </c>
      <c r="B718">
        <v>86</v>
      </c>
      <c r="C718">
        <v>0.1</v>
      </c>
      <c r="D718">
        <v>0.1</v>
      </c>
      <c r="E718">
        <v>0.1</v>
      </c>
      <c r="F718">
        <v>0.1</v>
      </c>
      <c r="G718">
        <v>0.2</v>
      </c>
      <c r="H718">
        <v>3.8</v>
      </c>
      <c r="I718">
        <v>6.8</v>
      </c>
      <c r="J718">
        <v>9.5</v>
      </c>
      <c r="K718">
        <v>0</v>
      </c>
      <c r="L718">
        <v>10.4</v>
      </c>
      <c r="M718">
        <v>0</v>
      </c>
      <c r="N718" t="s">
        <v>162</v>
      </c>
      <c r="O718" t="s">
        <v>162</v>
      </c>
      <c r="P718" t="s">
        <v>162</v>
      </c>
      <c r="Q718" t="s">
        <v>162</v>
      </c>
      <c r="R718" t="s">
        <v>162</v>
      </c>
      <c r="S718" t="s">
        <v>129</v>
      </c>
    </row>
    <row r="719" spans="1:19" x14ac:dyDescent="0.25">
      <c r="A719" t="s">
        <v>213</v>
      </c>
      <c r="B719">
        <v>35505.5</v>
      </c>
      <c r="C719" t="s">
        <v>162</v>
      </c>
      <c r="D719" t="s">
        <v>162</v>
      </c>
      <c r="E719" t="s">
        <v>162</v>
      </c>
      <c r="F719" t="s">
        <v>162</v>
      </c>
      <c r="G719" t="s">
        <v>162</v>
      </c>
      <c r="H719" t="s">
        <v>162</v>
      </c>
      <c r="I719" t="s">
        <v>162</v>
      </c>
      <c r="J719" t="s">
        <v>162</v>
      </c>
      <c r="K719" t="s">
        <v>162</v>
      </c>
      <c r="L719" t="s">
        <v>162</v>
      </c>
      <c r="M719" t="s">
        <v>162</v>
      </c>
      <c r="N719" t="s">
        <v>162</v>
      </c>
      <c r="O719" t="s">
        <v>162</v>
      </c>
      <c r="P719" t="s">
        <v>162</v>
      </c>
      <c r="Q719" t="s">
        <v>162</v>
      </c>
      <c r="R719" t="s">
        <v>162</v>
      </c>
      <c r="S719" t="s">
        <v>129</v>
      </c>
    </row>
    <row r="720" spans="1:19" x14ac:dyDescent="0.25">
      <c r="A720" t="s">
        <v>214</v>
      </c>
      <c r="S720" t="s">
        <v>129</v>
      </c>
    </row>
    <row r="721" spans="1:19" x14ac:dyDescent="0.25">
      <c r="A721" t="s">
        <v>130</v>
      </c>
      <c r="S721" t="s">
        <v>130</v>
      </c>
    </row>
    <row r="722" spans="1:19" x14ac:dyDescent="0.25">
      <c r="A722" t="s">
        <v>198</v>
      </c>
      <c r="B722" t="s">
        <v>257</v>
      </c>
      <c r="C722" t="s">
        <v>256</v>
      </c>
      <c r="D722" t="s">
        <v>181</v>
      </c>
      <c r="E722" t="s">
        <v>180</v>
      </c>
      <c r="F722" t="s">
        <v>179</v>
      </c>
      <c r="G722" t="s">
        <v>178</v>
      </c>
      <c r="H722" t="s">
        <v>177</v>
      </c>
      <c r="I722" t="s">
        <v>176</v>
      </c>
      <c r="J722" t="s">
        <v>175</v>
      </c>
      <c r="K722" t="s">
        <v>174</v>
      </c>
      <c r="L722" t="s">
        <v>173</v>
      </c>
      <c r="M722" t="s">
        <v>172</v>
      </c>
      <c r="N722" t="s">
        <v>171</v>
      </c>
      <c r="O722" t="s">
        <v>170</v>
      </c>
      <c r="P722" t="s">
        <v>169</v>
      </c>
      <c r="Q722" t="s">
        <v>168</v>
      </c>
      <c r="R722" t="s">
        <v>167</v>
      </c>
      <c r="S722" t="s">
        <v>130</v>
      </c>
    </row>
    <row r="723" spans="1:19" x14ac:dyDescent="0.25">
      <c r="A723" t="s">
        <v>199</v>
      </c>
      <c r="S723" t="s">
        <v>130</v>
      </c>
    </row>
    <row r="724" spans="1:19" x14ac:dyDescent="0.25">
      <c r="A724" t="s">
        <v>215</v>
      </c>
      <c r="B724">
        <v>106.8</v>
      </c>
      <c r="C724">
        <v>109.9</v>
      </c>
      <c r="D724">
        <v>45.5</v>
      </c>
      <c r="E724">
        <v>39.299999999999997</v>
      </c>
      <c r="F724">
        <v>34.4</v>
      </c>
      <c r="G724">
        <v>24.9</v>
      </c>
      <c r="H724">
        <v>21.8</v>
      </c>
      <c r="I724">
        <v>12.9</v>
      </c>
      <c r="J724" t="s">
        <v>162</v>
      </c>
      <c r="K724" t="s">
        <v>162</v>
      </c>
      <c r="L724" t="s">
        <v>162</v>
      </c>
      <c r="M724" t="s">
        <v>162</v>
      </c>
      <c r="N724" t="s">
        <v>162</v>
      </c>
      <c r="O724" t="s">
        <v>162</v>
      </c>
      <c r="P724" t="s">
        <v>162</v>
      </c>
      <c r="Q724" t="s">
        <v>162</v>
      </c>
      <c r="R724" t="s">
        <v>162</v>
      </c>
      <c r="S724" t="s">
        <v>130</v>
      </c>
    </row>
    <row r="725" spans="1:19" x14ac:dyDescent="0.25">
      <c r="A725" t="s">
        <v>217</v>
      </c>
      <c r="B725">
        <v>5.3</v>
      </c>
      <c r="C725">
        <v>81.8</v>
      </c>
      <c r="D725">
        <v>29.4</v>
      </c>
      <c r="E725">
        <v>96.4</v>
      </c>
      <c r="F725">
        <v>63.8</v>
      </c>
      <c r="G725">
        <v>91</v>
      </c>
      <c r="H725">
        <v>96.7</v>
      </c>
      <c r="I725">
        <v>98.1</v>
      </c>
      <c r="J725">
        <v>84.6</v>
      </c>
      <c r="K725">
        <v>82.4</v>
      </c>
      <c r="L725">
        <v>67.7</v>
      </c>
      <c r="M725">
        <v>82</v>
      </c>
      <c r="N725" t="s">
        <v>162</v>
      </c>
      <c r="O725" t="s">
        <v>162</v>
      </c>
      <c r="P725" t="s">
        <v>162</v>
      </c>
      <c r="Q725">
        <v>0</v>
      </c>
      <c r="R725" t="s">
        <v>162</v>
      </c>
      <c r="S725" t="s">
        <v>130</v>
      </c>
    </row>
    <row r="726" spans="1:19" x14ac:dyDescent="0.25">
      <c r="A726" t="s">
        <v>201</v>
      </c>
      <c r="B726">
        <v>3832.5</v>
      </c>
      <c r="C726">
        <v>67.2</v>
      </c>
      <c r="D726">
        <v>72.2</v>
      </c>
      <c r="E726">
        <v>69.7</v>
      </c>
      <c r="F726">
        <v>70.7</v>
      </c>
      <c r="G726">
        <v>72.599999999999994</v>
      </c>
      <c r="H726">
        <v>78</v>
      </c>
      <c r="I726">
        <v>75.3</v>
      </c>
      <c r="J726">
        <v>72</v>
      </c>
      <c r="K726">
        <v>75.3</v>
      </c>
      <c r="L726">
        <v>75.599999999999994</v>
      </c>
      <c r="M726">
        <v>76.099999999999994</v>
      </c>
      <c r="N726">
        <v>77.7</v>
      </c>
      <c r="O726">
        <v>74.7</v>
      </c>
      <c r="P726">
        <v>78.3</v>
      </c>
      <c r="Q726">
        <v>81.599999999999994</v>
      </c>
      <c r="R726">
        <v>82.1</v>
      </c>
      <c r="S726" t="s">
        <v>130</v>
      </c>
    </row>
    <row r="727" spans="1:19" x14ac:dyDescent="0.25">
      <c r="A727" t="s">
        <v>203</v>
      </c>
      <c r="B727">
        <v>510</v>
      </c>
      <c r="C727">
        <v>47.4</v>
      </c>
      <c r="D727">
        <v>40.1</v>
      </c>
      <c r="E727">
        <v>44.5</v>
      </c>
      <c r="F727">
        <v>54.7</v>
      </c>
      <c r="G727">
        <v>71.2</v>
      </c>
      <c r="H727">
        <v>71.2</v>
      </c>
      <c r="I727">
        <v>57.8</v>
      </c>
      <c r="J727">
        <v>42.7</v>
      </c>
      <c r="K727">
        <v>46.9</v>
      </c>
      <c r="L727">
        <v>56.7</v>
      </c>
      <c r="M727">
        <v>41.5</v>
      </c>
      <c r="N727">
        <v>55.5</v>
      </c>
      <c r="O727">
        <v>58</v>
      </c>
      <c r="P727">
        <v>45.9</v>
      </c>
      <c r="Q727">
        <v>33.200000000000003</v>
      </c>
      <c r="R727">
        <v>29.3</v>
      </c>
      <c r="S727" t="s">
        <v>130</v>
      </c>
    </row>
    <row r="728" spans="1:19" x14ac:dyDescent="0.25">
      <c r="A728" t="s">
        <v>207</v>
      </c>
      <c r="B728">
        <v>8.4</v>
      </c>
      <c r="C728">
        <v>46.9</v>
      </c>
      <c r="D728">
        <v>84</v>
      </c>
      <c r="E728">
        <v>73</v>
      </c>
      <c r="F728">
        <v>77.599999999999994</v>
      </c>
      <c r="G728">
        <v>81.099999999999994</v>
      </c>
      <c r="H728">
        <v>83.3</v>
      </c>
      <c r="I728">
        <v>68.5</v>
      </c>
      <c r="J728">
        <v>81.7</v>
      </c>
      <c r="K728">
        <v>83</v>
      </c>
      <c r="L728">
        <v>77.7</v>
      </c>
      <c r="M728">
        <v>73.8</v>
      </c>
      <c r="N728">
        <v>78.2</v>
      </c>
      <c r="O728">
        <v>82.8</v>
      </c>
      <c r="P728">
        <v>73.599999999999994</v>
      </c>
      <c r="Q728">
        <v>86.4</v>
      </c>
      <c r="R728">
        <v>83.2</v>
      </c>
      <c r="S728" t="s">
        <v>130</v>
      </c>
    </row>
    <row r="729" spans="1:19" x14ac:dyDescent="0.25">
      <c r="A729" t="s">
        <v>206</v>
      </c>
      <c r="B729">
        <v>454</v>
      </c>
      <c r="C729">
        <v>42</v>
      </c>
      <c r="D729">
        <v>24.4</v>
      </c>
      <c r="E729">
        <v>29.8</v>
      </c>
      <c r="F729">
        <v>26.4</v>
      </c>
      <c r="G729">
        <v>31.3</v>
      </c>
      <c r="H729">
        <v>21.2</v>
      </c>
      <c r="I729">
        <v>14.7</v>
      </c>
      <c r="J729">
        <v>33.5</v>
      </c>
      <c r="K729">
        <v>23.7</v>
      </c>
      <c r="L729">
        <v>12.9</v>
      </c>
      <c r="M729">
        <v>20.5</v>
      </c>
      <c r="N729" t="s">
        <v>162</v>
      </c>
      <c r="O729">
        <v>0</v>
      </c>
      <c r="P729">
        <v>0</v>
      </c>
      <c r="Q729">
        <v>0</v>
      </c>
      <c r="R729">
        <v>0</v>
      </c>
      <c r="S729" t="s">
        <v>130</v>
      </c>
    </row>
    <row r="730" spans="1:19" x14ac:dyDescent="0.25">
      <c r="A730" t="s">
        <v>216</v>
      </c>
      <c r="B730">
        <v>4320.1000000000004</v>
      </c>
      <c r="C730">
        <v>38.299999999999997</v>
      </c>
      <c r="D730">
        <v>42.9</v>
      </c>
      <c r="E730">
        <v>39.6</v>
      </c>
      <c r="F730">
        <v>42</v>
      </c>
      <c r="G730">
        <v>39.5</v>
      </c>
      <c r="H730">
        <v>39.6</v>
      </c>
      <c r="I730">
        <v>42.6</v>
      </c>
      <c r="J730" t="s">
        <v>162</v>
      </c>
      <c r="K730" t="s">
        <v>162</v>
      </c>
      <c r="L730" t="s">
        <v>162</v>
      </c>
      <c r="M730" t="s">
        <v>162</v>
      </c>
      <c r="N730" t="s">
        <v>162</v>
      </c>
      <c r="O730" t="s">
        <v>162</v>
      </c>
      <c r="P730" t="s">
        <v>162</v>
      </c>
      <c r="Q730" t="s">
        <v>162</v>
      </c>
      <c r="R730" t="s">
        <v>162</v>
      </c>
      <c r="S730" t="s">
        <v>130</v>
      </c>
    </row>
    <row r="731" spans="1:19" x14ac:dyDescent="0.25">
      <c r="A731" t="s">
        <v>205</v>
      </c>
      <c r="B731">
        <v>97.1</v>
      </c>
      <c r="C731">
        <v>15.6</v>
      </c>
      <c r="D731" t="s">
        <v>162</v>
      </c>
      <c r="E731" t="s">
        <v>162</v>
      </c>
      <c r="F731">
        <v>23.6</v>
      </c>
      <c r="G731">
        <v>34.4</v>
      </c>
      <c r="H731" t="s">
        <v>162</v>
      </c>
      <c r="I731" t="s">
        <v>162</v>
      </c>
      <c r="J731" t="s">
        <v>162</v>
      </c>
      <c r="K731" t="s">
        <v>162</v>
      </c>
      <c r="L731" t="s">
        <v>162</v>
      </c>
      <c r="M731" t="s">
        <v>162</v>
      </c>
      <c r="N731" t="s">
        <v>162</v>
      </c>
      <c r="O731" t="s">
        <v>162</v>
      </c>
      <c r="P731" t="s">
        <v>162</v>
      </c>
      <c r="Q731" t="s">
        <v>162</v>
      </c>
      <c r="R731" t="s">
        <v>162</v>
      </c>
      <c r="S731" t="s">
        <v>130</v>
      </c>
    </row>
    <row r="732" spans="1:19" x14ac:dyDescent="0.25">
      <c r="A732" t="s">
        <v>208</v>
      </c>
      <c r="B732">
        <v>40.6</v>
      </c>
      <c r="C732">
        <v>0.2</v>
      </c>
      <c r="D732">
        <v>0.2</v>
      </c>
      <c r="E732">
        <v>0.4</v>
      </c>
      <c r="F732">
        <v>0</v>
      </c>
      <c r="G732">
        <v>0.1</v>
      </c>
      <c r="H732">
        <v>0.1</v>
      </c>
      <c r="I732">
        <v>0.1</v>
      </c>
      <c r="J732">
        <v>0.1</v>
      </c>
      <c r="K732">
        <v>0</v>
      </c>
      <c r="L732">
        <v>0.2</v>
      </c>
      <c r="M732">
        <v>0</v>
      </c>
      <c r="N732">
        <v>0.3</v>
      </c>
      <c r="O732">
        <v>0.4</v>
      </c>
      <c r="P732">
        <v>0</v>
      </c>
      <c r="Q732">
        <v>0.3</v>
      </c>
      <c r="R732">
        <v>0.3</v>
      </c>
      <c r="S732" t="s">
        <v>130</v>
      </c>
    </row>
    <row r="733" spans="1:19" x14ac:dyDescent="0.25">
      <c r="A733" t="s">
        <v>209</v>
      </c>
      <c r="B733">
        <v>17.5</v>
      </c>
      <c r="C733">
        <v>0.1</v>
      </c>
      <c r="D733">
        <v>0.1</v>
      </c>
      <c r="E733">
        <v>0.3</v>
      </c>
      <c r="F733">
        <v>0</v>
      </c>
      <c r="G733">
        <v>0.1</v>
      </c>
      <c r="H733">
        <v>0.1</v>
      </c>
      <c r="I733">
        <v>0</v>
      </c>
      <c r="J733">
        <v>0</v>
      </c>
      <c r="K733">
        <v>0</v>
      </c>
      <c r="L733">
        <v>0.1</v>
      </c>
      <c r="M733">
        <v>0.1</v>
      </c>
      <c r="N733">
        <v>0</v>
      </c>
      <c r="O733">
        <v>0</v>
      </c>
      <c r="P733">
        <v>0</v>
      </c>
      <c r="Q733">
        <v>0.1</v>
      </c>
      <c r="R733">
        <v>0.2</v>
      </c>
      <c r="S733" t="s">
        <v>130</v>
      </c>
    </row>
    <row r="734" spans="1:19" x14ac:dyDescent="0.25">
      <c r="A734" t="s">
        <v>200</v>
      </c>
      <c r="B734">
        <v>9.8000000000000007</v>
      </c>
      <c r="C734">
        <v>0</v>
      </c>
      <c r="D734">
        <v>4.5</v>
      </c>
      <c r="E734">
        <v>2.1</v>
      </c>
      <c r="F734">
        <v>0.6</v>
      </c>
      <c r="G734">
        <v>0.2</v>
      </c>
      <c r="H734">
        <v>1.2</v>
      </c>
      <c r="I734">
        <v>2.2999999999999998</v>
      </c>
      <c r="J734">
        <v>6.5</v>
      </c>
      <c r="K734">
        <v>4.2</v>
      </c>
      <c r="L734">
        <v>4.0999999999999996</v>
      </c>
      <c r="M734">
        <v>8.5</v>
      </c>
      <c r="N734">
        <v>6.4</v>
      </c>
      <c r="O734">
        <v>11.5</v>
      </c>
      <c r="P734">
        <v>14.4</v>
      </c>
      <c r="Q734">
        <v>13.5</v>
      </c>
      <c r="R734">
        <v>15</v>
      </c>
      <c r="S734" t="s">
        <v>130</v>
      </c>
    </row>
    <row r="735" spans="1:19" x14ac:dyDescent="0.25">
      <c r="A735" t="s">
        <v>166</v>
      </c>
      <c r="B735" t="s">
        <v>162</v>
      </c>
      <c r="C735" t="s">
        <v>162</v>
      </c>
      <c r="D735" t="s">
        <v>162</v>
      </c>
      <c r="E735" t="s">
        <v>162</v>
      </c>
      <c r="F735" t="s">
        <v>162</v>
      </c>
      <c r="G735" t="s">
        <v>162</v>
      </c>
      <c r="H735" t="s">
        <v>162</v>
      </c>
      <c r="I735" t="s">
        <v>162</v>
      </c>
      <c r="J735">
        <v>40.6</v>
      </c>
      <c r="K735">
        <v>36.799999999999997</v>
      </c>
      <c r="L735">
        <v>40.200000000000003</v>
      </c>
      <c r="M735">
        <v>35.799999999999997</v>
      </c>
      <c r="N735">
        <v>38.700000000000003</v>
      </c>
      <c r="O735">
        <v>41.4</v>
      </c>
      <c r="P735">
        <v>38</v>
      </c>
      <c r="Q735">
        <v>42.6</v>
      </c>
      <c r="R735">
        <v>32.6</v>
      </c>
      <c r="S735" t="s">
        <v>130</v>
      </c>
    </row>
    <row r="736" spans="1:19" x14ac:dyDescent="0.25">
      <c r="A736" t="s">
        <v>211</v>
      </c>
      <c r="S736" t="s">
        <v>130</v>
      </c>
    </row>
    <row r="737" spans="1:19" x14ac:dyDescent="0.25">
      <c r="A737" t="s">
        <v>213</v>
      </c>
      <c r="B737">
        <v>9402.1</v>
      </c>
      <c r="C737" t="s">
        <v>162</v>
      </c>
      <c r="D737" t="s">
        <v>162</v>
      </c>
      <c r="E737" t="s">
        <v>162</v>
      </c>
      <c r="F737" t="s">
        <v>162</v>
      </c>
      <c r="G737" t="s">
        <v>162</v>
      </c>
      <c r="H737" t="s">
        <v>162</v>
      </c>
      <c r="I737" t="s">
        <v>162</v>
      </c>
      <c r="J737" t="s">
        <v>162</v>
      </c>
      <c r="K737" t="s">
        <v>162</v>
      </c>
      <c r="L737" t="s">
        <v>162</v>
      </c>
      <c r="M737" t="s">
        <v>162</v>
      </c>
      <c r="N737" t="s">
        <v>162</v>
      </c>
      <c r="O737" t="s">
        <v>162</v>
      </c>
      <c r="P737" t="s">
        <v>162</v>
      </c>
      <c r="Q737" t="s">
        <v>162</v>
      </c>
      <c r="R737" t="s">
        <v>162</v>
      </c>
      <c r="S737" t="s">
        <v>130</v>
      </c>
    </row>
    <row r="738" spans="1:19" x14ac:dyDescent="0.25">
      <c r="A738" t="s">
        <v>214</v>
      </c>
      <c r="S738" t="s">
        <v>130</v>
      </c>
    </row>
    <row r="739" spans="1:19" x14ac:dyDescent="0.25">
      <c r="A739" t="s">
        <v>131</v>
      </c>
      <c r="S739" t="s">
        <v>131</v>
      </c>
    </row>
    <row r="740" spans="1:19" x14ac:dyDescent="0.25">
      <c r="A740" t="s">
        <v>198</v>
      </c>
      <c r="B740" t="s">
        <v>257</v>
      </c>
      <c r="C740" t="s">
        <v>256</v>
      </c>
      <c r="D740" t="s">
        <v>181</v>
      </c>
      <c r="E740" t="s">
        <v>180</v>
      </c>
      <c r="F740" t="s">
        <v>179</v>
      </c>
      <c r="G740" t="s">
        <v>178</v>
      </c>
      <c r="H740" t="s">
        <v>177</v>
      </c>
      <c r="I740" t="s">
        <v>176</v>
      </c>
      <c r="J740" t="s">
        <v>175</v>
      </c>
      <c r="K740" t="s">
        <v>174</v>
      </c>
      <c r="L740" t="s">
        <v>173</v>
      </c>
      <c r="M740" t="s">
        <v>172</v>
      </c>
      <c r="N740" t="s">
        <v>171</v>
      </c>
      <c r="O740" t="s">
        <v>170</v>
      </c>
      <c r="P740" t="s">
        <v>169</v>
      </c>
      <c r="Q740" t="s">
        <v>168</v>
      </c>
      <c r="R740" t="s">
        <v>167</v>
      </c>
      <c r="S740" t="s">
        <v>131</v>
      </c>
    </row>
    <row r="741" spans="1:19" x14ac:dyDescent="0.25">
      <c r="A741" t="s">
        <v>199</v>
      </c>
      <c r="S741" t="s">
        <v>131</v>
      </c>
    </row>
    <row r="742" spans="1:19" x14ac:dyDescent="0.25">
      <c r="A742" t="s">
        <v>163</v>
      </c>
      <c r="B742">
        <v>2134</v>
      </c>
      <c r="C742">
        <v>86.7</v>
      </c>
      <c r="D742">
        <v>90</v>
      </c>
      <c r="E742">
        <v>93.5</v>
      </c>
      <c r="F742">
        <v>97.2</v>
      </c>
      <c r="G742">
        <v>91</v>
      </c>
      <c r="H742">
        <v>98</v>
      </c>
      <c r="I742">
        <v>94.6</v>
      </c>
      <c r="J742">
        <v>89.7</v>
      </c>
      <c r="K742">
        <v>93</v>
      </c>
      <c r="L742">
        <v>87.1</v>
      </c>
      <c r="M742">
        <v>86.5</v>
      </c>
      <c r="N742">
        <v>91.2</v>
      </c>
      <c r="O742">
        <v>79.7</v>
      </c>
      <c r="P742">
        <v>84.6</v>
      </c>
      <c r="Q742">
        <v>81.400000000000006</v>
      </c>
      <c r="R742">
        <v>93.9</v>
      </c>
      <c r="S742" t="s">
        <v>131</v>
      </c>
    </row>
    <row r="743" spans="1:19" x14ac:dyDescent="0.25">
      <c r="A743" t="s">
        <v>202</v>
      </c>
      <c r="B743">
        <v>10161.700000000001</v>
      </c>
      <c r="C743">
        <v>78.8</v>
      </c>
      <c r="D743">
        <v>81.3</v>
      </c>
      <c r="E743">
        <v>77.599999999999994</v>
      </c>
      <c r="F743">
        <v>80.8</v>
      </c>
      <c r="G743">
        <v>80.099999999999994</v>
      </c>
      <c r="H743">
        <v>76.599999999999994</v>
      </c>
      <c r="I743">
        <v>65.2</v>
      </c>
      <c r="J743">
        <v>74.7</v>
      </c>
      <c r="K743">
        <v>75.7</v>
      </c>
      <c r="L743">
        <v>65.099999999999994</v>
      </c>
      <c r="M743">
        <v>59.8</v>
      </c>
      <c r="N743">
        <v>62.6</v>
      </c>
      <c r="O743">
        <v>47.2</v>
      </c>
      <c r="P743">
        <v>26.4</v>
      </c>
      <c r="Q743">
        <v>18.2</v>
      </c>
      <c r="R743">
        <v>8.6</v>
      </c>
      <c r="S743" t="s">
        <v>131</v>
      </c>
    </row>
    <row r="744" spans="1:19" x14ac:dyDescent="0.25">
      <c r="A744" t="s">
        <v>219</v>
      </c>
      <c r="B744">
        <v>139.5</v>
      </c>
      <c r="C744">
        <v>76.8</v>
      </c>
      <c r="D744">
        <v>74.5</v>
      </c>
      <c r="E744">
        <v>80</v>
      </c>
      <c r="F744">
        <v>88.5</v>
      </c>
      <c r="G744">
        <v>57.1</v>
      </c>
      <c r="H744">
        <v>91.3</v>
      </c>
      <c r="I744">
        <v>87.1</v>
      </c>
      <c r="J744">
        <v>80.7</v>
      </c>
      <c r="K744">
        <v>91.4</v>
      </c>
      <c r="L744">
        <v>78.900000000000006</v>
      </c>
      <c r="M744">
        <v>95.7</v>
      </c>
      <c r="N744">
        <v>85.8</v>
      </c>
      <c r="O744">
        <v>93.2</v>
      </c>
      <c r="P744">
        <v>92.1</v>
      </c>
      <c r="Q744">
        <v>88.3</v>
      </c>
      <c r="R744">
        <v>91.6</v>
      </c>
      <c r="S744" t="s">
        <v>131</v>
      </c>
    </row>
    <row r="745" spans="1:19" x14ac:dyDescent="0.25">
      <c r="A745" t="s">
        <v>165</v>
      </c>
      <c r="B745">
        <v>40.5</v>
      </c>
      <c r="C745">
        <v>59.6</v>
      </c>
      <c r="D745">
        <v>71.599999999999994</v>
      </c>
      <c r="E745">
        <v>70.599999999999994</v>
      </c>
      <c r="F745">
        <v>74</v>
      </c>
      <c r="G745">
        <v>78.7</v>
      </c>
      <c r="H745">
        <v>73.8</v>
      </c>
      <c r="I745">
        <v>79</v>
      </c>
      <c r="J745">
        <v>74.599999999999994</v>
      </c>
      <c r="K745">
        <v>90.7</v>
      </c>
      <c r="L745">
        <v>84.4</v>
      </c>
      <c r="M745">
        <v>87.1</v>
      </c>
      <c r="N745">
        <v>92.9</v>
      </c>
      <c r="O745">
        <v>85.9</v>
      </c>
      <c r="P745">
        <v>90.3</v>
      </c>
      <c r="Q745">
        <v>86</v>
      </c>
      <c r="R745">
        <v>87.9</v>
      </c>
      <c r="S745" t="s">
        <v>131</v>
      </c>
    </row>
    <row r="746" spans="1:19" x14ac:dyDescent="0.25">
      <c r="A746" t="s">
        <v>203</v>
      </c>
      <c r="B746">
        <v>101.9</v>
      </c>
      <c r="C746">
        <v>56.8</v>
      </c>
      <c r="D746">
        <v>56.8</v>
      </c>
      <c r="E746">
        <v>64.8</v>
      </c>
      <c r="F746">
        <v>41.8</v>
      </c>
      <c r="G746">
        <v>45.1</v>
      </c>
      <c r="H746">
        <v>27.3</v>
      </c>
      <c r="I746">
        <v>31.1</v>
      </c>
      <c r="J746">
        <v>55.9</v>
      </c>
      <c r="K746">
        <v>51.2</v>
      </c>
      <c r="L746">
        <v>53.5</v>
      </c>
      <c r="M746">
        <v>61.5</v>
      </c>
      <c r="N746">
        <v>46.2</v>
      </c>
      <c r="O746">
        <v>42.9</v>
      </c>
      <c r="P746">
        <v>48.1</v>
      </c>
      <c r="Q746">
        <v>59.3</v>
      </c>
      <c r="R746">
        <v>43.3</v>
      </c>
      <c r="S746" t="s">
        <v>131</v>
      </c>
    </row>
    <row r="747" spans="1:19" x14ac:dyDescent="0.25">
      <c r="A747" t="s">
        <v>201</v>
      </c>
      <c r="B747">
        <v>7223.9</v>
      </c>
      <c r="C747">
        <v>49.9</v>
      </c>
      <c r="D747">
        <v>56</v>
      </c>
      <c r="E747">
        <v>52.3</v>
      </c>
      <c r="F747">
        <v>48.9</v>
      </c>
      <c r="G747">
        <v>45.7</v>
      </c>
      <c r="H747">
        <v>51</v>
      </c>
      <c r="I747">
        <v>52.1</v>
      </c>
      <c r="J747">
        <v>51.7</v>
      </c>
      <c r="K747">
        <v>50.7</v>
      </c>
      <c r="L747">
        <v>55.9</v>
      </c>
      <c r="M747">
        <v>57.3</v>
      </c>
      <c r="N747">
        <v>48.6</v>
      </c>
      <c r="O747">
        <v>56.6</v>
      </c>
      <c r="P747">
        <v>62.1</v>
      </c>
      <c r="Q747">
        <v>59.5</v>
      </c>
      <c r="R747">
        <v>68.5</v>
      </c>
      <c r="S747" t="s">
        <v>131</v>
      </c>
    </row>
    <row r="748" spans="1:19" x14ac:dyDescent="0.25">
      <c r="A748" t="s">
        <v>207</v>
      </c>
      <c r="B748">
        <v>216.2</v>
      </c>
      <c r="C748">
        <v>46.3</v>
      </c>
      <c r="D748">
        <v>41.5</v>
      </c>
      <c r="E748">
        <v>57.1</v>
      </c>
      <c r="F748">
        <v>51.4</v>
      </c>
      <c r="G748">
        <v>52.6</v>
      </c>
      <c r="H748">
        <v>51.4</v>
      </c>
      <c r="I748">
        <v>50.8</v>
      </c>
      <c r="J748">
        <v>48.4</v>
      </c>
      <c r="K748">
        <v>52.6</v>
      </c>
      <c r="L748">
        <v>51.3</v>
      </c>
      <c r="M748">
        <v>51.7</v>
      </c>
      <c r="N748">
        <v>62.1</v>
      </c>
      <c r="O748">
        <v>29.5</v>
      </c>
      <c r="P748">
        <v>33.6</v>
      </c>
      <c r="Q748">
        <v>25.9</v>
      </c>
      <c r="R748">
        <v>47</v>
      </c>
      <c r="S748" t="s">
        <v>131</v>
      </c>
    </row>
    <row r="749" spans="1:19" x14ac:dyDescent="0.25">
      <c r="A749" t="s">
        <v>200</v>
      </c>
      <c r="B749">
        <v>39.799999999999997</v>
      </c>
      <c r="C749">
        <v>44.3</v>
      </c>
      <c r="D749">
        <v>39.799999999999997</v>
      </c>
      <c r="E749">
        <v>49.9</v>
      </c>
      <c r="F749">
        <v>51.4</v>
      </c>
      <c r="G749">
        <v>51</v>
      </c>
      <c r="H749">
        <v>54.2</v>
      </c>
      <c r="I749">
        <v>54.4</v>
      </c>
      <c r="J749">
        <v>53.5</v>
      </c>
      <c r="K749">
        <v>55.9</v>
      </c>
      <c r="L749">
        <v>55.8</v>
      </c>
      <c r="M749">
        <v>59.5</v>
      </c>
      <c r="N749">
        <v>48.5</v>
      </c>
      <c r="O749">
        <v>62.3</v>
      </c>
      <c r="P749">
        <v>62.8</v>
      </c>
      <c r="Q749">
        <v>53.1</v>
      </c>
      <c r="R749">
        <v>50.2</v>
      </c>
      <c r="S749" t="s">
        <v>131</v>
      </c>
    </row>
    <row r="750" spans="1:19" x14ac:dyDescent="0.25">
      <c r="A750" t="s">
        <v>205</v>
      </c>
      <c r="B750">
        <v>64.8</v>
      </c>
      <c r="C750">
        <v>31.9</v>
      </c>
      <c r="D750">
        <v>33.200000000000003</v>
      </c>
      <c r="E750">
        <v>15</v>
      </c>
      <c r="F750">
        <v>12.5</v>
      </c>
      <c r="G750">
        <v>10.3</v>
      </c>
      <c r="H750">
        <v>7.7</v>
      </c>
      <c r="I750">
        <v>6.3</v>
      </c>
      <c r="J750">
        <v>2.5</v>
      </c>
      <c r="K750">
        <v>0</v>
      </c>
      <c r="L750">
        <v>5.9</v>
      </c>
      <c r="M750">
        <v>6.5</v>
      </c>
      <c r="N750">
        <v>1.6</v>
      </c>
      <c r="O750">
        <v>1</v>
      </c>
      <c r="P750">
        <v>0.1</v>
      </c>
      <c r="Q750">
        <v>0</v>
      </c>
      <c r="R750">
        <v>3.3</v>
      </c>
      <c r="S750" t="s">
        <v>131</v>
      </c>
    </row>
    <row r="751" spans="1:19" x14ac:dyDescent="0.25">
      <c r="A751" t="s">
        <v>216</v>
      </c>
      <c r="B751">
        <v>1097.3</v>
      </c>
      <c r="C751">
        <v>29.3</v>
      </c>
      <c r="D751">
        <v>32.799999999999997</v>
      </c>
      <c r="E751">
        <v>29.4</v>
      </c>
      <c r="F751">
        <v>31</v>
      </c>
      <c r="G751">
        <v>32.5</v>
      </c>
      <c r="H751">
        <v>31.2</v>
      </c>
      <c r="I751">
        <v>33.700000000000003</v>
      </c>
      <c r="J751" t="s">
        <v>162</v>
      </c>
      <c r="K751" t="s">
        <v>162</v>
      </c>
      <c r="L751" t="s">
        <v>162</v>
      </c>
      <c r="M751" t="s">
        <v>162</v>
      </c>
      <c r="N751" t="s">
        <v>162</v>
      </c>
      <c r="O751" t="s">
        <v>162</v>
      </c>
      <c r="P751" t="s">
        <v>162</v>
      </c>
      <c r="Q751" t="s">
        <v>162</v>
      </c>
      <c r="R751" t="s">
        <v>162</v>
      </c>
      <c r="S751" t="s">
        <v>131</v>
      </c>
    </row>
    <row r="752" spans="1:19" x14ac:dyDescent="0.25">
      <c r="A752" t="s">
        <v>204</v>
      </c>
      <c r="B752">
        <v>720.3</v>
      </c>
      <c r="C752">
        <v>19.2</v>
      </c>
      <c r="D752">
        <v>21.9</v>
      </c>
      <c r="E752">
        <v>21.4</v>
      </c>
      <c r="F752">
        <v>16.8</v>
      </c>
      <c r="G752">
        <v>16.899999999999999</v>
      </c>
      <c r="H752">
        <v>17.600000000000001</v>
      </c>
      <c r="I752">
        <v>18</v>
      </c>
      <c r="J752">
        <v>16.7</v>
      </c>
      <c r="K752">
        <v>16.8</v>
      </c>
      <c r="L752">
        <v>17.7</v>
      </c>
      <c r="M752">
        <v>16.8</v>
      </c>
      <c r="N752">
        <v>17.5</v>
      </c>
      <c r="O752">
        <v>13.4</v>
      </c>
      <c r="P752">
        <v>14.9</v>
      </c>
      <c r="Q752" t="s">
        <v>162</v>
      </c>
      <c r="R752" t="s">
        <v>162</v>
      </c>
      <c r="S752" t="s">
        <v>131</v>
      </c>
    </row>
    <row r="753" spans="1:19" x14ac:dyDescent="0.25">
      <c r="A753" t="s">
        <v>206</v>
      </c>
      <c r="B753">
        <v>5705.9</v>
      </c>
      <c r="C753">
        <v>14.9</v>
      </c>
      <c r="D753">
        <v>12.7</v>
      </c>
      <c r="E753">
        <v>9.6</v>
      </c>
      <c r="F753">
        <v>7.1</v>
      </c>
      <c r="G753">
        <v>6.7</v>
      </c>
      <c r="H753">
        <v>7.3</v>
      </c>
      <c r="I753">
        <v>3.7</v>
      </c>
      <c r="J753">
        <v>4.5</v>
      </c>
      <c r="K753">
        <v>2.2000000000000002</v>
      </c>
      <c r="L753">
        <v>1.8</v>
      </c>
      <c r="M753">
        <v>1.7</v>
      </c>
      <c r="N753">
        <v>2.6</v>
      </c>
      <c r="O753">
        <v>1.7</v>
      </c>
      <c r="P753">
        <v>1.6</v>
      </c>
      <c r="Q753">
        <v>0.6</v>
      </c>
      <c r="R753">
        <v>0.7</v>
      </c>
      <c r="S753" t="s">
        <v>131</v>
      </c>
    </row>
    <row r="754" spans="1:19" x14ac:dyDescent="0.25">
      <c r="A754" t="s">
        <v>208</v>
      </c>
      <c r="B754">
        <v>289.7</v>
      </c>
      <c r="C754">
        <v>8.9</v>
      </c>
      <c r="D754">
        <v>5.2</v>
      </c>
      <c r="E754">
        <v>2.8</v>
      </c>
      <c r="F754">
        <v>0.8</v>
      </c>
      <c r="G754">
        <v>0.3</v>
      </c>
      <c r="H754">
        <v>0.5</v>
      </c>
      <c r="I754">
        <v>0.1</v>
      </c>
      <c r="J754">
        <v>0.2</v>
      </c>
      <c r="K754">
        <v>0.1</v>
      </c>
      <c r="L754">
        <v>0.5</v>
      </c>
      <c r="M754">
        <v>0.3</v>
      </c>
      <c r="N754">
        <v>0.9</v>
      </c>
      <c r="O754">
        <v>0.5</v>
      </c>
      <c r="P754">
        <v>0.3</v>
      </c>
      <c r="Q754">
        <v>0</v>
      </c>
      <c r="R754">
        <v>0.2</v>
      </c>
      <c r="S754" t="s">
        <v>131</v>
      </c>
    </row>
    <row r="755" spans="1:19" x14ac:dyDescent="0.25">
      <c r="A755" t="s">
        <v>215</v>
      </c>
      <c r="B755">
        <v>37.4</v>
      </c>
      <c r="C755">
        <v>0.4</v>
      </c>
      <c r="D755">
        <v>1.8</v>
      </c>
      <c r="E755">
        <v>3</v>
      </c>
      <c r="F755">
        <v>0.6</v>
      </c>
      <c r="G755">
        <v>0.2</v>
      </c>
      <c r="H755">
        <v>0.6</v>
      </c>
      <c r="I755">
        <v>1.1000000000000001</v>
      </c>
      <c r="J755">
        <v>1.9</v>
      </c>
      <c r="K755">
        <v>2.5</v>
      </c>
      <c r="L755">
        <v>0.1</v>
      </c>
      <c r="M755">
        <v>0.7</v>
      </c>
      <c r="N755">
        <v>0.6</v>
      </c>
      <c r="O755">
        <v>0</v>
      </c>
      <c r="P755">
        <v>0</v>
      </c>
      <c r="Q755">
        <v>0</v>
      </c>
      <c r="R755">
        <v>0.2</v>
      </c>
      <c r="S755" t="s">
        <v>131</v>
      </c>
    </row>
    <row r="756" spans="1:19" x14ac:dyDescent="0.25">
      <c r="A756" t="s">
        <v>209</v>
      </c>
      <c r="B756">
        <v>211.5</v>
      </c>
      <c r="C756">
        <v>0.3</v>
      </c>
      <c r="D756">
        <v>0.4</v>
      </c>
      <c r="E756">
        <v>0.5</v>
      </c>
      <c r="F756">
        <v>0.4</v>
      </c>
      <c r="G756">
        <v>0.3</v>
      </c>
      <c r="H756">
        <v>0.3</v>
      </c>
      <c r="I756">
        <v>0.2</v>
      </c>
      <c r="J756">
        <v>0.3</v>
      </c>
      <c r="K756">
        <v>0.3</v>
      </c>
      <c r="L756">
        <v>0.1</v>
      </c>
      <c r="M756">
        <v>0.2</v>
      </c>
      <c r="N756">
        <v>0.3</v>
      </c>
      <c r="O756">
        <v>0.2</v>
      </c>
      <c r="P756">
        <v>0.1</v>
      </c>
      <c r="Q756">
        <v>0.1</v>
      </c>
      <c r="R756">
        <v>0.1</v>
      </c>
      <c r="S756" t="s">
        <v>131</v>
      </c>
    </row>
    <row r="757" spans="1:19" x14ac:dyDescent="0.25">
      <c r="A757" t="s">
        <v>166</v>
      </c>
      <c r="B757" t="s">
        <v>162</v>
      </c>
      <c r="C757" t="s">
        <v>162</v>
      </c>
      <c r="D757" t="s">
        <v>162</v>
      </c>
      <c r="E757" t="s">
        <v>162</v>
      </c>
      <c r="F757" t="s">
        <v>162</v>
      </c>
      <c r="G757" t="s">
        <v>162</v>
      </c>
      <c r="H757" t="s">
        <v>162</v>
      </c>
      <c r="I757" t="s">
        <v>162</v>
      </c>
      <c r="J757">
        <v>32</v>
      </c>
      <c r="K757">
        <v>32.4</v>
      </c>
      <c r="L757">
        <v>31</v>
      </c>
      <c r="M757">
        <v>31.2</v>
      </c>
      <c r="N757">
        <v>24.2</v>
      </c>
      <c r="O757">
        <v>25.3</v>
      </c>
      <c r="P757">
        <v>20</v>
      </c>
      <c r="Q757">
        <v>22.4</v>
      </c>
      <c r="R757">
        <v>23.8</v>
      </c>
      <c r="S757" t="s">
        <v>131</v>
      </c>
    </row>
    <row r="758" spans="1:19" x14ac:dyDescent="0.25">
      <c r="A758" t="s">
        <v>211</v>
      </c>
      <c r="S758" t="s">
        <v>131</v>
      </c>
    </row>
    <row r="759" spans="1:19" x14ac:dyDescent="0.25">
      <c r="A759" t="s">
        <v>212</v>
      </c>
      <c r="B759">
        <v>32.799999999999997</v>
      </c>
      <c r="C759">
        <v>3.1</v>
      </c>
      <c r="D759">
        <v>4.4000000000000004</v>
      </c>
      <c r="E759">
        <v>5.2</v>
      </c>
      <c r="F759">
        <v>7.1</v>
      </c>
      <c r="G759">
        <v>16.899999999999999</v>
      </c>
      <c r="H759">
        <v>20.7</v>
      </c>
      <c r="I759">
        <v>14.2</v>
      </c>
      <c r="J759">
        <v>4.5999999999999996</v>
      </c>
      <c r="K759">
        <v>24.2</v>
      </c>
      <c r="L759">
        <v>10.4</v>
      </c>
      <c r="M759">
        <v>8.9</v>
      </c>
      <c r="N759" t="s">
        <v>162</v>
      </c>
      <c r="O759" t="s">
        <v>162</v>
      </c>
      <c r="P759" t="s">
        <v>162</v>
      </c>
      <c r="Q759" t="s">
        <v>162</v>
      </c>
      <c r="R759" t="s">
        <v>162</v>
      </c>
      <c r="S759" t="s">
        <v>131</v>
      </c>
    </row>
    <row r="760" spans="1:19" x14ac:dyDescent="0.25">
      <c r="A760" t="s">
        <v>213</v>
      </c>
      <c r="B760">
        <v>28223.4</v>
      </c>
      <c r="C760" t="s">
        <v>162</v>
      </c>
      <c r="D760" t="s">
        <v>162</v>
      </c>
      <c r="E760" t="s">
        <v>162</v>
      </c>
      <c r="F760" t="s">
        <v>162</v>
      </c>
      <c r="G760" t="s">
        <v>162</v>
      </c>
      <c r="H760" t="s">
        <v>162</v>
      </c>
      <c r="I760" t="s">
        <v>162</v>
      </c>
      <c r="J760" t="s">
        <v>162</v>
      </c>
      <c r="K760" t="s">
        <v>162</v>
      </c>
      <c r="L760" t="s">
        <v>162</v>
      </c>
      <c r="M760" t="s">
        <v>162</v>
      </c>
      <c r="N760" t="s">
        <v>162</v>
      </c>
      <c r="O760" t="s">
        <v>162</v>
      </c>
      <c r="P760" t="s">
        <v>162</v>
      </c>
      <c r="Q760" t="s">
        <v>162</v>
      </c>
      <c r="R760" t="s">
        <v>162</v>
      </c>
      <c r="S760" t="s">
        <v>131</v>
      </c>
    </row>
    <row r="761" spans="1:19" x14ac:dyDescent="0.25">
      <c r="A761" t="s">
        <v>214</v>
      </c>
      <c r="S761" t="s">
        <v>131</v>
      </c>
    </row>
    <row r="762" spans="1:19" x14ac:dyDescent="0.25">
      <c r="A762" t="s">
        <v>132</v>
      </c>
      <c r="S762" t="s">
        <v>132</v>
      </c>
    </row>
    <row r="763" spans="1:19" x14ac:dyDescent="0.25">
      <c r="A763" t="s">
        <v>198</v>
      </c>
      <c r="B763" t="s">
        <v>257</v>
      </c>
      <c r="C763" t="s">
        <v>256</v>
      </c>
      <c r="D763" t="s">
        <v>181</v>
      </c>
      <c r="E763" t="s">
        <v>180</v>
      </c>
      <c r="F763" t="s">
        <v>179</v>
      </c>
      <c r="G763" t="s">
        <v>178</v>
      </c>
      <c r="H763" t="s">
        <v>177</v>
      </c>
      <c r="I763" t="s">
        <v>176</v>
      </c>
      <c r="J763" t="s">
        <v>175</v>
      </c>
      <c r="K763" t="s">
        <v>174</v>
      </c>
      <c r="L763" t="s">
        <v>173</v>
      </c>
      <c r="M763" t="s">
        <v>172</v>
      </c>
      <c r="N763" t="s">
        <v>171</v>
      </c>
      <c r="O763" t="s">
        <v>170</v>
      </c>
      <c r="P763" t="s">
        <v>169</v>
      </c>
      <c r="Q763" t="s">
        <v>168</v>
      </c>
      <c r="R763" t="s">
        <v>167</v>
      </c>
      <c r="S763" t="s">
        <v>132</v>
      </c>
    </row>
    <row r="764" spans="1:19" x14ac:dyDescent="0.25">
      <c r="A764" t="s">
        <v>199</v>
      </c>
      <c r="S764" t="s">
        <v>132</v>
      </c>
    </row>
    <row r="765" spans="1:19" x14ac:dyDescent="0.25">
      <c r="A765" t="s">
        <v>165</v>
      </c>
      <c r="B765">
        <v>57.8</v>
      </c>
      <c r="C765">
        <v>78</v>
      </c>
      <c r="D765">
        <v>86.5</v>
      </c>
      <c r="E765">
        <v>85.1</v>
      </c>
      <c r="F765">
        <v>95.7</v>
      </c>
      <c r="G765">
        <v>83.7</v>
      </c>
      <c r="H765">
        <v>87.6</v>
      </c>
      <c r="I765">
        <v>80.7</v>
      </c>
      <c r="J765">
        <v>89.9</v>
      </c>
      <c r="K765">
        <v>88.1</v>
      </c>
      <c r="L765">
        <v>84.3</v>
      </c>
      <c r="M765">
        <v>77.8</v>
      </c>
      <c r="N765">
        <v>84.4</v>
      </c>
      <c r="O765">
        <v>77.7</v>
      </c>
      <c r="P765">
        <v>90.1</v>
      </c>
      <c r="Q765">
        <v>73.599999999999994</v>
      </c>
      <c r="R765">
        <v>80</v>
      </c>
      <c r="S765" t="s">
        <v>132</v>
      </c>
    </row>
    <row r="766" spans="1:19" x14ac:dyDescent="0.25">
      <c r="A766" t="s">
        <v>202</v>
      </c>
      <c r="B766">
        <v>7327.6</v>
      </c>
      <c r="C766">
        <v>54.7</v>
      </c>
      <c r="D766">
        <v>35.700000000000003</v>
      </c>
      <c r="E766">
        <v>42.4</v>
      </c>
      <c r="F766">
        <v>56.5</v>
      </c>
      <c r="G766">
        <v>57.6</v>
      </c>
      <c r="H766">
        <v>56.2</v>
      </c>
      <c r="I766">
        <v>44.4</v>
      </c>
      <c r="J766">
        <v>51.3</v>
      </c>
      <c r="K766">
        <v>51.6</v>
      </c>
      <c r="L766">
        <v>36</v>
      </c>
      <c r="M766">
        <v>37.200000000000003</v>
      </c>
      <c r="N766">
        <v>45.4</v>
      </c>
      <c r="O766">
        <v>38.799999999999997</v>
      </c>
      <c r="P766">
        <v>41</v>
      </c>
      <c r="Q766">
        <v>45.3</v>
      </c>
      <c r="R766">
        <v>40.700000000000003</v>
      </c>
      <c r="S766" t="s">
        <v>132</v>
      </c>
    </row>
    <row r="767" spans="1:19" x14ac:dyDescent="0.25">
      <c r="A767" t="s">
        <v>216</v>
      </c>
      <c r="B767">
        <v>12050.1</v>
      </c>
      <c r="C767">
        <v>34.5</v>
      </c>
      <c r="D767">
        <v>37.700000000000003</v>
      </c>
      <c r="E767">
        <v>37.5</v>
      </c>
      <c r="F767">
        <v>40.4</v>
      </c>
      <c r="G767">
        <v>41</v>
      </c>
      <c r="H767">
        <v>41.1</v>
      </c>
      <c r="I767">
        <v>40.200000000000003</v>
      </c>
      <c r="J767" t="s">
        <v>162</v>
      </c>
      <c r="K767" t="s">
        <v>162</v>
      </c>
      <c r="L767" t="s">
        <v>162</v>
      </c>
      <c r="M767" t="s">
        <v>162</v>
      </c>
      <c r="N767" t="s">
        <v>162</v>
      </c>
      <c r="O767" t="s">
        <v>162</v>
      </c>
      <c r="P767" t="s">
        <v>162</v>
      </c>
      <c r="Q767" t="s">
        <v>162</v>
      </c>
      <c r="R767" t="s">
        <v>162</v>
      </c>
      <c r="S767" t="s">
        <v>132</v>
      </c>
    </row>
    <row r="768" spans="1:19" x14ac:dyDescent="0.25">
      <c r="A768" t="s">
        <v>203</v>
      </c>
      <c r="B768">
        <v>840.6</v>
      </c>
      <c r="C768">
        <v>20.100000000000001</v>
      </c>
      <c r="D768">
        <v>23.9</v>
      </c>
      <c r="E768">
        <v>37.6</v>
      </c>
      <c r="F768">
        <v>38.299999999999997</v>
      </c>
      <c r="G768">
        <v>51.6</v>
      </c>
      <c r="H768">
        <v>26.9</v>
      </c>
      <c r="I768">
        <v>27</v>
      </c>
      <c r="J768">
        <v>34.1</v>
      </c>
      <c r="K768">
        <v>35.299999999999997</v>
      </c>
      <c r="L768">
        <v>18.899999999999999</v>
      </c>
      <c r="M768">
        <v>28.7</v>
      </c>
      <c r="N768">
        <v>15.2</v>
      </c>
      <c r="O768">
        <v>20</v>
      </c>
      <c r="P768">
        <v>37.4</v>
      </c>
      <c r="Q768">
        <v>47.5</v>
      </c>
      <c r="R768">
        <v>51</v>
      </c>
      <c r="S768" t="s">
        <v>132</v>
      </c>
    </row>
    <row r="769" spans="1:19" x14ac:dyDescent="0.25">
      <c r="A769" t="s">
        <v>204</v>
      </c>
      <c r="B769">
        <v>47.5</v>
      </c>
      <c r="C769">
        <v>18.899999999999999</v>
      </c>
      <c r="D769">
        <v>20</v>
      </c>
      <c r="E769">
        <v>20.6</v>
      </c>
      <c r="F769">
        <v>20.100000000000001</v>
      </c>
      <c r="G769">
        <v>22.3</v>
      </c>
      <c r="H769">
        <v>23.7</v>
      </c>
      <c r="I769">
        <v>22.6</v>
      </c>
      <c r="J769">
        <v>24.8</v>
      </c>
      <c r="K769">
        <v>18.399999999999999</v>
      </c>
      <c r="L769" t="s">
        <v>162</v>
      </c>
      <c r="M769" t="s">
        <v>162</v>
      </c>
      <c r="N769" t="s">
        <v>162</v>
      </c>
      <c r="O769" t="s">
        <v>162</v>
      </c>
      <c r="P769" t="s">
        <v>162</v>
      </c>
      <c r="Q769" t="s">
        <v>162</v>
      </c>
      <c r="R769" t="s">
        <v>162</v>
      </c>
      <c r="S769" t="s">
        <v>132</v>
      </c>
    </row>
    <row r="770" spans="1:19" x14ac:dyDescent="0.25">
      <c r="A770" t="s">
        <v>201</v>
      </c>
      <c r="B770">
        <v>3272.5</v>
      </c>
      <c r="C770">
        <v>18.600000000000001</v>
      </c>
      <c r="D770">
        <v>32.5</v>
      </c>
      <c r="E770">
        <v>40</v>
      </c>
      <c r="F770">
        <v>21</v>
      </c>
      <c r="G770">
        <v>27.5</v>
      </c>
      <c r="H770">
        <v>40.700000000000003</v>
      </c>
      <c r="I770">
        <v>45.6</v>
      </c>
      <c r="J770">
        <v>44.3</v>
      </c>
      <c r="K770">
        <v>53.7</v>
      </c>
      <c r="L770">
        <v>65.3</v>
      </c>
      <c r="M770">
        <v>65</v>
      </c>
      <c r="N770">
        <v>63.5</v>
      </c>
      <c r="O770">
        <v>74.599999999999994</v>
      </c>
      <c r="P770">
        <v>67.7</v>
      </c>
      <c r="Q770">
        <v>73.3</v>
      </c>
      <c r="R770">
        <v>78.3</v>
      </c>
      <c r="S770" t="s">
        <v>132</v>
      </c>
    </row>
    <row r="771" spans="1:19" x14ac:dyDescent="0.25">
      <c r="A771" t="s">
        <v>205</v>
      </c>
      <c r="B771">
        <v>5822.8</v>
      </c>
      <c r="C771">
        <v>15.8</v>
      </c>
      <c r="D771">
        <v>11.1</v>
      </c>
      <c r="E771">
        <v>8.1</v>
      </c>
      <c r="F771">
        <v>12.5</v>
      </c>
      <c r="G771">
        <v>12.2</v>
      </c>
      <c r="H771">
        <v>9.6999999999999993</v>
      </c>
      <c r="I771">
        <v>7</v>
      </c>
      <c r="J771">
        <v>10.7</v>
      </c>
      <c r="K771">
        <v>6.6</v>
      </c>
      <c r="L771">
        <v>7.5</v>
      </c>
      <c r="M771">
        <v>14.4</v>
      </c>
      <c r="N771">
        <v>19.100000000000001</v>
      </c>
      <c r="O771">
        <v>19.8</v>
      </c>
      <c r="P771">
        <v>20.3</v>
      </c>
      <c r="Q771">
        <v>16.7</v>
      </c>
      <c r="R771">
        <v>19.2</v>
      </c>
      <c r="S771" t="s">
        <v>132</v>
      </c>
    </row>
    <row r="772" spans="1:19" x14ac:dyDescent="0.25">
      <c r="A772" t="s">
        <v>215</v>
      </c>
      <c r="B772">
        <v>86.3</v>
      </c>
      <c r="C772">
        <v>14</v>
      </c>
      <c r="D772">
        <v>24</v>
      </c>
      <c r="E772">
        <v>14.5</v>
      </c>
      <c r="F772">
        <v>8.4</v>
      </c>
      <c r="G772">
        <v>9.9</v>
      </c>
      <c r="H772">
        <v>8.3000000000000007</v>
      </c>
      <c r="I772">
        <v>9.4</v>
      </c>
      <c r="J772">
        <v>10.8</v>
      </c>
      <c r="K772">
        <v>6.5</v>
      </c>
      <c r="L772">
        <v>10.4</v>
      </c>
      <c r="M772">
        <v>0.1</v>
      </c>
      <c r="N772">
        <v>1.3</v>
      </c>
      <c r="O772">
        <v>0.9</v>
      </c>
      <c r="P772">
        <v>0.3</v>
      </c>
      <c r="Q772">
        <v>0</v>
      </c>
      <c r="R772">
        <v>0.1</v>
      </c>
      <c r="S772" t="s">
        <v>132</v>
      </c>
    </row>
    <row r="773" spans="1:19" x14ac:dyDescent="0.25">
      <c r="A773" t="s">
        <v>206</v>
      </c>
      <c r="B773">
        <v>1649.2</v>
      </c>
      <c r="C773">
        <v>11.9</v>
      </c>
      <c r="D773">
        <v>12.9</v>
      </c>
      <c r="E773">
        <v>15.2</v>
      </c>
      <c r="F773">
        <v>13.8</v>
      </c>
      <c r="G773">
        <v>16</v>
      </c>
      <c r="H773">
        <v>15.4</v>
      </c>
      <c r="I773">
        <v>4.8</v>
      </c>
      <c r="J773">
        <v>7.5</v>
      </c>
      <c r="K773">
        <v>4.9000000000000004</v>
      </c>
      <c r="L773">
        <v>3.1</v>
      </c>
      <c r="M773">
        <v>0.6</v>
      </c>
      <c r="N773">
        <v>3</v>
      </c>
      <c r="O773">
        <v>3.2</v>
      </c>
      <c r="P773">
        <v>2.4</v>
      </c>
      <c r="Q773">
        <v>1.7</v>
      </c>
      <c r="R773">
        <v>1.6</v>
      </c>
      <c r="S773" t="s">
        <v>132</v>
      </c>
    </row>
    <row r="774" spans="1:19" x14ac:dyDescent="0.25">
      <c r="A774" t="s">
        <v>200</v>
      </c>
      <c r="B774">
        <v>18.399999999999999</v>
      </c>
      <c r="C774">
        <v>10.4</v>
      </c>
      <c r="D774">
        <v>10</v>
      </c>
      <c r="E774">
        <v>16.399999999999999</v>
      </c>
      <c r="F774">
        <v>17.8</v>
      </c>
      <c r="G774">
        <v>20</v>
      </c>
      <c r="H774">
        <v>18.600000000000001</v>
      </c>
      <c r="I774">
        <v>18.100000000000001</v>
      </c>
      <c r="J774">
        <v>16</v>
      </c>
      <c r="K774">
        <v>22.5</v>
      </c>
      <c r="L774">
        <v>10.1</v>
      </c>
      <c r="M774">
        <v>14.3</v>
      </c>
      <c r="N774">
        <v>15.1</v>
      </c>
      <c r="O774">
        <v>2.2999999999999998</v>
      </c>
      <c r="P774">
        <v>0</v>
      </c>
      <c r="Q774">
        <v>0</v>
      </c>
      <c r="R774">
        <v>0</v>
      </c>
      <c r="S774" t="s">
        <v>132</v>
      </c>
    </row>
    <row r="775" spans="1:19" x14ac:dyDescent="0.25">
      <c r="A775" t="s">
        <v>209</v>
      </c>
      <c r="B775">
        <v>53.9</v>
      </c>
      <c r="C775">
        <v>0.5</v>
      </c>
      <c r="D775">
        <v>0.5</v>
      </c>
      <c r="E775">
        <v>0.5</v>
      </c>
      <c r="F775">
        <v>0.2</v>
      </c>
      <c r="G775">
        <v>0.3</v>
      </c>
      <c r="H775">
        <v>0.2</v>
      </c>
      <c r="I775">
        <v>0.2</v>
      </c>
      <c r="J775">
        <v>0.1</v>
      </c>
      <c r="K775">
        <v>0.3</v>
      </c>
      <c r="L775">
        <v>0.1</v>
      </c>
      <c r="M775">
        <v>0.1</v>
      </c>
      <c r="N775">
        <v>0.2</v>
      </c>
      <c r="O775">
        <v>0.1</v>
      </c>
      <c r="P775">
        <v>0.1</v>
      </c>
      <c r="Q775">
        <v>0.1</v>
      </c>
      <c r="R775">
        <v>0.1</v>
      </c>
      <c r="S775" t="s">
        <v>132</v>
      </c>
    </row>
    <row r="776" spans="1:19" x14ac:dyDescent="0.25">
      <c r="A776" t="s">
        <v>207</v>
      </c>
      <c r="B776" t="s">
        <v>162</v>
      </c>
      <c r="C776" t="s">
        <v>162</v>
      </c>
      <c r="D776" t="s">
        <v>162</v>
      </c>
      <c r="E776" t="s">
        <v>162</v>
      </c>
      <c r="F776" t="s">
        <v>162</v>
      </c>
      <c r="G776" t="s">
        <v>162</v>
      </c>
      <c r="H776" t="s">
        <v>162</v>
      </c>
      <c r="I776" t="s">
        <v>162</v>
      </c>
      <c r="J776" t="s">
        <v>162</v>
      </c>
      <c r="K776" t="s">
        <v>162</v>
      </c>
      <c r="L776" t="s">
        <v>162</v>
      </c>
      <c r="M776" t="s">
        <v>162</v>
      </c>
      <c r="N776" t="s">
        <v>162</v>
      </c>
      <c r="O776" t="s">
        <v>162</v>
      </c>
      <c r="P776" t="s">
        <v>162</v>
      </c>
      <c r="Q776">
        <v>0</v>
      </c>
      <c r="R776">
        <v>7.8</v>
      </c>
      <c r="S776" t="s">
        <v>132</v>
      </c>
    </row>
    <row r="777" spans="1:19" x14ac:dyDescent="0.25">
      <c r="A777" t="s">
        <v>166</v>
      </c>
      <c r="B777" t="s">
        <v>162</v>
      </c>
      <c r="C777" t="s">
        <v>162</v>
      </c>
      <c r="D777" t="s">
        <v>162</v>
      </c>
      <c r="E777" t="s">
        <v>162</v>
      </c>
      <c r="F777" t="s">
        <v>162</v>
      </c>
      <c r="G777" t="s">
        <v>162</v>
      </c>
      <c r="H777" t="s">
        <v>162</v>
      </c>
      <c r="I777" t="s">
        <v>162</v>
      </c>
      <c r="J777">
        <v>42.1</v>
      </c>
      <c r="K777">
        <v>39.200000000000003</v>
      </c>
      <c r="L777">
        <v>42.7</v>
      </c>
      <c r="M777">
        <v>40.700000000000003</v>
      </c>
      <c r="N777">
        <v>39.9</v>
      </c>
      <c r="O777">
        <v>40.799999999999997</v>
      </c>
      <c r="P777">
        <v>36</v>
      </c>
      <c r="Q777">
        <v>35.4</v>
      </c>
      <c r="R777">
        <v>39</v>
      </c>
      <c r="S777" t="s">
        <v>132</v>
      </c>
    </row>
    <row r="778" spans="1:19" x14ac:dyDescent="0.25">
      <c r="A778" t="s">
        <v>211</v>
      </c>
      <c r="S778" t="s">
        <v>132</v>
      </c>
    </row>
    <row r="779" spans="1:19" x14ac:dyDescent="0.25">
      <c r="A779" t="s">
        <v>220</v>
      </c>
      <c r="B779">
        <v>258</v>
      </c>
      <c r="C779">
        <v>1.8</v>
      </c>
      <c r="D779">
        <v>3.5</v>
      </c>
      <c r="E779">
        <v>3.6</v>
      </c>
      <c r="F779">
        <v>4.9000000000000004</v>
      </c>
      <c r="G779">
        <v>4.2</v>
      </c>
      <c r="H779">
        <v>6.8</v>
      </c>
      <c r="I779">
        <v>6.2</v>
      </c>
      <c r="J779">
        <v>4</v>
      </c>
      <c r="K779">
        <v>3.1</v>
      </c>
      <c r="L779">
        <v>5.8</v>
      </c>
      <c r="M779">
        <v>4.7</v>
      </c>
      <c r="N779" t="s">
        <v>162</v>
      </c>
      <c r="O779" t="s">
        <v>162</v>
      </c>
      <c r="P779" t="s">
        <v>162</v>
      </c>
      <c r="Q779" t="s">
        <v>162</v>
      </c>
      <c r="R779" t="s">
        <v>162</v>
      </c>
      <c r="S779" t="s">
        <v>132</v>
      </c>
    </row>
    <row r="780" spans="1:19" x14ac:dyDescent="0.25">
      <c r="A780" t="s">
        <v>212</v>
      </c>
      <c r="B780">
        <v>10</v>
      </c>
      <c r="C780">
        <v>0</v>
      </c>
      <c r="D780">
        <v>0</v>
      </c>
      <c r="E780">
        <v>0</v>
      </c>
      <c r="F780">
        <v>6.4</v>
      </c>
      <c r="G780" t="s">
        <v>162</v>
      </c>
      <c r="H780" t="s">
        <v>162</v>
      </c>
      <c r="I780" t="s">
        <v>162</v>
      </c>
      <c r="J780" t="s">
        <v>162</v>
      </c>
      <c r="K780" t="s">
        <v>162</v>
      </c>
      <c r="L780" t="s">
        <v>162</v>
      </c>
      <c r="M780" t="s">
        <v>162</v>
      </c>
      <c r="N780" t="s">
        <v>162</v>
      </c>
      <c r="O780" t="s">
        <v>162</v>
      </c>
      <c r="P780" t="s">
        <v>162</v>
      </c>
      <c r="Q780" t="s">
        <v>162</v>
      </c>
      <c r="R780" t="s">
        <v>162</v>
      </c>
      <c r="S780" t="s">
        <v>132</v>
      </c>
    </row>
    <row r="781" spans="1:19" x14ac:dyDescent="0.25">
      <c r="A781" t="s">
        <v>213</v>
      </c>
      <c r="B781">
        <v>31494.7</v>
      </c>
      <c r="C781" t="s">
        <v>162</v>
      </c>
      <c r="D781" t="s">
        <v>162</v>
      </c>
      <c r="E781" t="s">
        <v>162</v>
      </c>
      <c r="F781" t="s">
        <v>162</v>
      </c>
      <c r="G781" t="s">
        <v>162</v>
      </c>
      <c r="H781" t="s">
        <v>162</v>
      </c>
      <c r="I781" t="s">
        <v>162</v>
      </c>
      <c r="J781" t="s">
        <v>162</v>
      </c>
      <c r="K781" t="s">
        <v>162</v>
      </c>
      <c r="L781" t="s">
        <v>162</v>
      </c>
      <c r="M781" t="s">
        <v>162</v>
      </c>
      <c r="N781" t="s">
        <v>162</v>
      </c>
      <c r="O781" t="s">
        <v>162</v>
      </c>
      <c r="P781" t="s">
        <v>162</v>
      </c>
      <c r="Q781" t="s">
        <v>162</v>
      </c>
      <c r="R781" t="s">
        <v>162</v>
      </c>
      <c r="S781" t="s">
        <v>132</v>
      </c>
    </row>
    <row r="782" spans="1:19" x14ac:dyDescent="0.25">
      <c r="A782" t="s">
        <v>214</v>
      </c>
      <c r="S782" t="s">
        <v>132</v>
      </c>
    </row>
    <row r="783" spans="1:19" x14ac:dyDescent="0.25">
      <c r="A783" t="s">
        <v>133</v>
      </c>
      <c r="S783" t="s">
        <v>133</v>
      </c>
    </row>
    <row r="784" spans="1:19" x14ac:dyDescent="0.25">
      <c r="A784" t="s">
        <v>198</v>
      </c>
      <c r="B784" t="s">
        <v>257</v>
      </c>
      <c r="C784" t="s">
        <v>256</v>
      </c>
      <c r="D784" t="s">
        <v>181</v>
      </c>
      <c r="E784" t="s">
        <v>180</v>
      </c>
      <c r="F784" t="s">
        <v>179</v>
      </c>
      <c r="G784" t="s">
        <v>178</v>
      </c>
      <c r="H784" t="s">
        <v>177</v>
      </c>
      <c r="I784" t="s">
        <v>176</v>
      </c>
      <c r="J784" t="s">
        <v>175</v>
      </c>
      <c r="K784" t="s">
        <v>174</v>
      </c>
      <c r="L784" t="s">
        <v>173</v>
      </c>
      <c r="M784" t="s">
        <v>172</v>
      </c>
      <c r="N784" t="s">
        <v>171</v>
      </c>
      <c r="O784" t="s">
        <v>170</v>
      </c>
      <c r="P784" t="s">
        <v>169</v>
      </c>
      <c r="Q784" t="s">
        <v>168</v>
      </c>
      <c r="R784" t="s">
        <v>167</v>
      </c>
      <c r="S784" t="s">
        <v>133</v>
      </c>
    </row>
    <row r="785" spans="1:19" x14ac:dyDescent="0.25">
      <c r="A785" t="s">
        <v>199</v>
      </c>
      <c r="S785" t="s">
        <v>133</v>
      </c>
    </row>
    <row r="786" spans="1:19" x14ac:dyDescent="0.25">
      <c r="A786" t="s">
        <v>164</v>
      </c>
      <c r="B786">
        <v>19.5</v>
      </c>
      <c r="C786">
        <v>103</v>
      </c>
      <c r="D786">
        <v>104.7</v>
      </c>
      <c r="E786">
        <v>107</v>
      </c>
      <c r="F786">
        <v>112.2</v>
      </c>
      <c r="G786">
        <v>108.6</v>
      </c>
      <c r="H786">
        <v>103.2</v>
      </c>
      <c r="I786">
        <v>102.1</v>
      </c>
      <c r="J786">
        <v>107.2</v>
      </c>
      <c r="K786">
        <v>113.1</v>
      </c>
      <c r="L786">
        <v>118.3</v>
      </c>
      <c r="M786">
        <v>106.2</v>
      </c>
      <c r="N786">
        <v>123.3</v>
      </c>
      <c r="O786" t="s">
        <v>162</v>
      </c>
      <c r="P786" t="s">
        <v>162</v>
      </c>
      <c r="Q786" t="s">
        <v>162</v>
      </c>
      <c r="R786" t="s">
        <v>162</v>
      </c>
      <c r="S786" t="s">
        <v>133</v>
      </c>
    </row>
    <row r="787" spans="1:19" x14ac:dyDescent="0.25">
      <c r="A787" t="s">
        <v>202</v>
      </c>
      <c r="B787">
        <v>3409.2</v>
      </c>
      <c r="C787">
        <v>73.2</v>
      </c>
      <c r="D787">
        <v>61.3</v>
      </c>
      <c r="E787">
        <v>68.3</v>
      </c>
      <c r="F787">
        <v>61.8</v>
      </c>
      <c r="G787">
        <v>69.099999999999994</v>
      </c>
      <c r="H787">
        <v>59.7</v>
      </c>
      <c r="I787">
        <v>49.9</v>
      </c>
      <c r="J787">
        <v>54.6</v>
      </c>
      <c r="K787">
        <v>61.9</v>
      </c>
      <c r="L787">
        <v>49.3</v>
      </c>
      <c r="M787">
        <v>55.8</v>
      </c>
      <c r="N787">
        <v>45.6</v>
      </c>
      <c r="O787">
        <v>33</v>
      </c>
      <c r="P787">
        <v>65.099999999999994</v>
      </c>
      <c r="Q787">
        <v>62.4</v>
      </c>
      <c r="R787">
        <v>65.400000000000006</v>
      </c>
      <c r="S787" t="s">
        <v>133</v>
      </c>
    </row>
    <row r="788" spans="1:19" x14ac:dyDescent="0.25">
      <c r="A788" t="s">
        <v>200</v>
      </c>
      <c r="B788">
        <v>52.6</v>
      </c>
      <c r="C788">
        <v>62.7</v>
      </c>
      <c r="D788">
        <v>68.400000000000006</v>
      </c>
      <c r="E788">
        <v>72.599999999999994</v>
      </c>
      <c r="F788">
        <v>77</v>
      </c>
      <c r="G788">
        <v>71.3</v>
      </c>
      <c r="H788">
        <v>75.400000000000006</v>
      </c>
      <c r="I788">
        <v>76.599999999999994</v>
      </c>
      <c r="J788">
        <v>76.5</v>
      </c>
      <c r="K788">
        <v>79</v>
      </c>
      <c r="L788">
        <v>82.2</v>
      </c>
      <c r="M788">
        <v>78.2</v>
      </c>
      <c r="N788">
        <v>78.900000000000006</v>
      </c>
      <c r="O788">
        <v>88.1</v>
      </c>
      <c r="P788">
        <v>86</v>
      </c>
      <c r="Q788">
        <v>81.599999999999994</v>
      </c>
      <c r="R788">
        <v>83.1</v>
      </c>
      <c r="S788" t="s">
        <v>133</v>
      </c>
    </row>
    <row r="789" spans="1:19" x14ac:dyDescent="0.25">
      <c r="A789" t="s">
        <v>215</v>
      </c>
      <c r="B789">
        <v>229.2</v>
      </c>
      <c r="C789">
        <v>60.3</v>
      </c>
      <c r="D789">
        <v>36.299999999999997</v>
      </c>
      <c r="E789">
        <v>42.9</v>
      </c>
      <c r="F789">
        <v>22.8</v>
      </c>
      <c r="G789">
        <v>18.3</v>
      </c>
      <c r="H789">
        <v>5.6</v>
      </c>
      <c r="I789">
        <v>8.4</v>
      </c>
      <c r="J789">
        <v>7.4</v>
      </c>
      <c r="K789">
        <v>17.600000000000001</v>
      </c>
      <c r="L789" t="s">
        <v>162</v>
      </c>
      <c r="M789" t="s">
        <v>162</v>
      </c>
      <c r="N789" t="s">
        <v>162</v>
      </c>
      <c r="O789" t="s">
        <v>162</v>
      </c>
      <c r="P789" t="s">
        <v>162</v>
      </c>
      <c r="Q789" t="s">
        <v>162</v>
      </c>
      <c r="R789" t="s">
        <v>162</v>
      </c>
      <c r="S789" t="s">
        <v>133</v>
      </c>
    </row>
    <row r="790" spans="1:19" x14ac:dyDescent="0.25">
      <c r="A790" t="s">
        <v>165</v>
      </c>
      <c r="B790">
        <v>242.3</v>
      </c>
      <c r="C790">
        <v>36.4</v>
      </c>
      <c r="D790">
        <v>36.799999999999997</v>
      </c>
      <c r="E790">
        <v>34.200000000000003</v>
      </c>
      <c r="F790">
        <v>31.8</v>
      </c>
      <c r="G790">
        <v>32.299999999999997</v>
      </c>
      <c r="H790">
        <v>34.200000000000003</v>
      </c>
      <c r="I790">
        <v>32.1</v>
      </c>
      <c r="J790">
        <v>32.9</v>
      </c>
      <c r="K790">
        <v>34.1</v>
      </c>
      <c r="L790">
        <v>37</v>
      </c>
      <c r="M790">
        <v>31.8</v>
      </c>
      <c r="N790">
        <v>36.1</v>
      </c>
      <c r="O790">
        <v>29.9</v>
      </c>
      <c r="P790">
        <v>39.200000000000003</v>
      </c>
      <c r="Q790">
        <v>39.9</v>
      </c>
      <c r="R790">
        <v>43.9</v>
      </c>
      <c r="S790" t="s">
        <v>133</v>
      </c>
    </row>
    <row r="791" spans="1:19" x14ac:dyDescent="0.25">
      <c r="A791" t="s">
        <v>203</v>
      </c>
      <c r="B791">
        <v>8361.7000000000007</v>
      </c>
      <c r="C791">
        <v>35.9</v>
      </c>
      <c r="D791">
        <v>42.7</v>
      </c>
      <c r="E791">
        <v>37.9</v>
      </c>
      <c r="F791">
        <v>43.7</v>
      </c>
      <c r="G791">
        <v>41.6</v>
      </c>
      <c r="H791">
        <v>48.2</v>
      </c>
      <c r="I791">
        <v>51.9</v>
      </c>
      <c r="J791">
        <v>46.7</v>
      </c>
      <c r="K791">
        <v>41.9</v>
      </c>
      <c r="L791">
        <v>47.3</v>
      </c>
      <c r="M791">
        <v>44.4</v>
      </c>
      <c r="N791">
        <v>53.1</v>
      </c>
      <c r="O791">
        <v>57.4</v>
      </c>
      <c r="P791">
        <v>41.4</v>
      </c>
      <c r="Q791">
        <v>44.7</v>
      </c>
      <c r="R791">
        <v>46</v>
      </c>
      <c r="S791" t="s">
        <v>133</v>
      </c>
    </row>
    <row r="792" spans="1:19" x14ac:dyDescent="0.25">
      <c r="A792" t="s">
        <v>216</v>
      </c>
      <c r="B792">
        <v>3976.5</v>
      </c>
      <c r="C792">
        <v>25.7</v>
      </c>
      <c r="D792">
        <v>23.7</v>
      </c>
      <c r="E792">
        <v>28.4</v>
      </c>
      <c r="F792">
        <v>28.9</v>
      </c>
      <c r="G792">
        <v>23</v>
      </c>
      <c r="H792">
        <v>26.5</v>
      </c>
      <c r="I792">
        <v>22.2</v>
      </c>
      <c r="J792" t="s">
        <v>162</v>
      </c>
      <c r="K792" t="s">
        <v>162</v>
      </c>
      <c r="L792" t="s">
        <v>162</v>
      </c>
      <c r="M792" t="s">
        <v>162</v>
      </c>
      <c r="N792" t="s">
        <v>162</v>
      </c>
      <c r="O792" t="s">
        <v>162</v>
      </c>
      <c r="P792" t="s">
        <v>162</v>
      </c>
      <c r="Q792" t="s">
        <v>162</v>
      </c>
      <c r="R792" t="s">
        <v>162</v>
      </c>
      <c r="S792" t="s">
        <v>133</v>
      </c>
    </row>
    <row r="793" spans="1:19" x14ac:dyDescent="0.25">
      <c r="A793" t="s">
        <v>204</v>
      </c>
      <c r="B793">
        <v>902.4</v>
      </c>
      <c r="C793">
        <v>23.5</v>
      </c>
      <c r="D793">
        <v>23.9</v>
      </c>
      <c r="E793">
        <v>24</v>
      </c>
      <c r="F793">
        <v>24.7</v>
      </c>
      <c r="G793">
        <v>24</v>
      </c>
      <c r="H793">
        <v>24.1</v>
      </c>
      <c r="I793">
        <v>19.5</v>
      </c>
      <c r="J793">
        <v>14.5</v>
      </c>
      <c r="K793">
        <v>19.899999999999999</v>
      </c>
      <c r="L793">
        <v>20.2</v>
      </c>
      <c r="M793">
        <v>21.9</v>
      </c>
      <c r="N793">
        <v>11.9</v>
      </c>
      <c r="O793">
        <v>1</v>
      </c>
      <c r="P793" t="s">
        <v>162</v>
      </c>
      <c r="Q793" t="s">
        <v>162</v>
      </c>
      <c r="R793" t="s">
        <v>162</v>
      </c>
      <c r="S793" t="s">
        <v>133</v>
      </c>
    </row>
    <row r="794" spans="1:19" x14ac:dyDescent="0.25">
      <c r="A794" t="s">
        <v>206</v>
      </c>
      <c r="B794">
        <v>124</v>
      </c>
      <c r="C794">
        <v>17.399999999999999</v>
      </c>
      <c r="D794">
        <v>2.8</v>
      </c>
      <c r="E794">
        <v>5.0999999999999996</v>
      </c>
      <c r="F794">
        <v>3.4</v>
      </c>
      <c r="G794">
        <v>7.3</v>
      </c>
      <c r="H794">
        <v>3.9</v>
      </c>
      <c r="I794">
        <v>5.7</v>
      </c>
      <c r="J794">
        <v>4.0999999999999996</v>
      </c>
      <c r="K794">
        <v>3.2</v>
      </c>
      <c r="L794">
        <v>3.1</v>
      </c>
      <c r="M794">
        <v>4.2</v>
      </c>
      <c r="N794">
        <v>1.4</v>
      </c>
      <c r="O794">
        <v>2.5</v>
      </c>
      <c r="P794">
        <v>0.6</v>
      </c>
      <c r="Q794">
        <v>2.8</v>
      </c>
      <c r="R794">
        <v>1</v>
      </c>
      <c r="S794" t="s">
        <v>133</v>
      </c>
    </row>
    <row r="795" spans="1:19" x14ac:dyDescent="0.25">
      <c r="A795" t="s">
        <v>209</v>
      </c>
      <c r="B795">
        <v>6.6</v>
      </c>
      <c r="C795">
        <v>0.3</v>
      </c>
      <c r="D795">
        <v>0.3</v>
      </c>
      <c r="E795">
        <v>0.3</v>
      </c>
      <c r="F795" t="s">
        <v>162</v>
      </c>
      <c r="G795" t="s">
        <v>162</v>
      </c>
      <c r="H795" t="s">
        <v>162</v>
      </c>
      <c r="I795" t="s">
        <v>162</v>
      </c>
      <c r="J795" t="s">
        <v>162</v>
      </c>
      <c r="K795" t="s">
        <v>162</v>
      </c>
      <c r="L795" t="s">
        <v>162</v>
      </c>
      <c r="M795" t="s">
        <v>162</v>
      </c>
      <c r="N795" t="s">
        <v>162</v>
      </c>
      <c r="O795" t="s">
        <v>162</v>
      </c>
      <c r="P795" t="s">
        <v>162</v>
      </c>
      <c r="Q795" t="s">
        <v>162</v>
      </c>
      <c r="R795" t="s">
        <v>162</v>
      </c>
      <c r="S795" t="s">
        <v>133</v>
      </c>
    </row>
    <row r="796" spans="1:19" x14ac:dyDescent="0.25">
      <c r="A796" t="s">
        <v>201</v>
      </c>
      <c r="B796" t="s">
        <v>162</v>
      </c>
      <c r="C796" t="s">
        <v>162</v>
      </c>
      <c r="D796" t="s">
        <v>162</v>
      </c>
      <c r="E796" t="s">
        <v>162</v>
      </c>
      <c r="F796">
        <v>39.5</v>
      </c>
      <c r="G796">
        <v>50.2</v>
      </c>
      <c r="H796">
        <v>28.9</v>
      </c>
      <c r="I796">
        <v>33.9</v>
      </c>
      <c r="J796">
        <v>37</v>
      </c>
      <c r="K796">
        <v>46.5</v>
      </c>
      <c r="L796">
        <v>62.5</v>
      </c>
      <c r="M796">
        <v>73.5</v>
      </c>
      <c r="N796">
        <v>51.4</v>
      </c>
      <c r="O796">
        <v>65.2</v>
      </c>
      <c r="P796">
        <v>80.599999999999994</v>
      </c>
      <c r="Q796">
        <v>62.4</v>
      </c>
      <c r="R796">
        <v>78.8</v>
      </c>
      <c r="S796" t="s">
        <v>133</v>
      </c>
    </row>
    <row r="797" spans="1:19" x14ac:dyDescent="0.25">
      <c r="A797" t="s">
        <v>205</v>
      </c>
      <c r="B797" t="s">
        <v>162</v>
      </c>
      <c r="C797" t="s">
        <v>162</v>
      </c>
      <c r="D797" t="s">
        <v>162</v>
      </c>
      <c r="E797" t="s">
        <v>162</v>
      </c>
      <c r="F797" t="s">
        <v>162</v>
      </c>
      <c r="G797" t="s">
        <v>162</v>
      </c>
      <c r="H797" t="s">
        <v>162</v>
      </c>
      <c r="I797" t="s">
        <v>162</v>
      </c>
      <c r="J797" t="s">
        <v>162</v>
      </c>
      <c r="K797" t="s">
        <v>162</v>
      </c>
      <c r="L797" t="s">
        <v>162</v>
      </c>
      <c r="M797" t="s">
        <v>162</v>
      </c>
      <c r="N797" t="s">
        <v>162</v>
      </c>
      <c r="O797" t="s">
        <v>162</v>
      </c>
      <c r="P797" t="s">
        <v>162</v>
      </c>
      <c r="Q797" t="s">
        <v>162</v>
      </c>
      <c r="R797">
        <v>6.9</v>
      </c>
      <c r="S797" t="s">
        <v>133</v>
      </c>
    </row>
    <row r="798" spans="1:19" x14ac:dyDescent="0.25">
      <c r="A798" t="s">
        <v>166</v>
      </c>
      <c r="B798" t="s">
        <v>162</v>
      </c>
      <c r="C798" t="s">
        <v>162</v>
      </c>
      <c r="D798" t="s">
        <v>162</v>
      </c>
      <c r="E798" t="s">
        <v>162</v>
      </c>
      <c r="F798" t="s">
        <v>162</v>
      </c>
      <c r="G798" t="s">
        <v>162</v>
      </c>
      <c r="H798" t="s">
        <v>162</v>
      </c>
      <c r="I798" t="s">
        <v>162</v>
      </c>
      <c r="J798">
        <v>25.8</v>
      </c>
      <c r="K798">
        <v>24</v>
      </c>
      <c r="L798">
        <v>27.3</v>
      </c>
      <c r="M798">
        <v>26.9</v>
      </c>
      <c r="N798">
        <v>25.5</v>
      </c>
      <c r="O798">
        <v>25.2</v>
      </c>
      <c r="P798">
        <v>23.2</v>
      </c>
      <c r="Q798">
        <v>25.1</v>
      </c>
      <c r="R798">
        <v>30.5</v>
      </c>
      <c r="S798" t="s">
        <v>133</v>
      </c>
    </row>
    <row r="799" spans="1:19" x14ac:dyDescent="0.25">
      <c r="A799" t="s">
        <v>211</v>
      </c>
      <c r="S799" t="s">
        <v>133</v>
      </c>
    </row>
    <row r="800" spans="1:19" x14ac:dyDescent="0.25">
      <c r="A800" t="s">
        <v>212</v>
      </c>
      <c r="B800">
        <v>35</v>
      </c>
      <c r="C800">
        <v>7.8</v>
      </c>
      <c r="D800">
        <v>7.1</v>
      </c>
      <c r="E800">
        <v>0.1</v>
      </c>
      <c r="F800">
        <v>0.1</v>
      </c>
      <c r="G800">
        <v>0.2</v>
      </c>
      <c r="H800">
        <v>0.2</v>
      </c>
      <c r="I800">
        <v>0.3</v>
      </c>
      <c r="J800">
        <v>0.2</v>
      </c>
      <c r="K800">
        <v>0.2</v>
      </c>
      <c r="L800" t="s">
        <v>162</v>
      </c>
      <c r="M800" t="s">
        <v>162</v>
      </c>
      <c r="N800" t="s">
        <v>162</v>
      </c>
      <c r="O800" t="s">
        <v>162</v>
      </c>
      <c r="P800" t="s">
        <v>162</v>
      </c>
      <c r="Q800" t="s">
        <v>162</v>
      </c>
      <c r="R800" t="s">
        <v>162</v>
      </c>
      <c r="S800" t="s">
        <v>133</v>
      </c>
    </row>
    <row r="801" spans="1:19" x14ac:dyDescent="0.25">
      <c r="A801" t="s">
        <v>213</v>
      </c>
      <c r="B801">
        <v>17359</v>
      </c>
      <c r="C801" t="s">
        <v>162</v>
      </c>
      <c r="D801" t="s">
        <v>162</v>
      </c>
      <c r="E801" t="s">
        <v>162</v>
      </c>
      <c r="F801" t="s">
        <v>162</v>
      </c>
      <c r="G801" t="s">
        <v>162</v>
      </c>
      <c r="H801" t="s">
        <v>162</v>
      </c>
      <c r="I801" t="s">
        <v>162</v>
      </c>
      <c r="J801" t="s">
        <v>162</v>
      </c>
      <c r="K801" t="s">
        <v>162</v>
      </c>
      <c r="L801" t="s">
        <v>162</v>
      </c>
      <c r="M801" t="s">
        <v>162</v>
      </c>
      <c r="N801" t="s">
        <v>162</v>
      </c>
      <c r="O801" t="s">
        <v>162</v>
      </c>
      <c r="P801" t="s">
        <v>162</v>
      </c>
      <c r="Q801" t="s">
        <v>162</v>
      </c>
      <c r="R801" t="s">
        <v>162</v>
      </c>
      <c r="S801" t="s">
        <v>133</v>
      </c>
    </row>
    <row r="802" spans="1:19" x14ac:dyDescent="0.25">
      <c r="A802" t="s">
        <v>214</v>
      </c>
      <c r="S802" t="s">
        <v>133</v>
      </c>
    </row>
    <row r="803" spans="1:19" x14ac:dyDescent="0.25">
      <c r="A803" t="s">
        <v>134</v>
      </c>
      <c r="S803" t="s">
        <v>134</v>
      </c>
    </row>
    <row r="804" spans="1:19" x14ac:dyDescent="0.25">
      <c r="A804" t="s">
        <v>198</v>
      </c>
      <c r="B804" t="s">
        <v>257</v>
      </c>
      <c r="C804" t="s">
        <v>256</v>
      </c>
      <c r="D804" t="s">
        <v>181</v>
      </c>
      <c r="E804" t="s">
        <v>180</v>
      </c>
      <c r="F804" t="s">
        <v>179</v>
      </c>
      <c r="G804" t="s">
        <v>178</v>
      </c>
      <c r="H804" t="s">
        <v>177</v>
      </c>
      <c r="I804" t="s">
        <v>176</v>
      </c>
      <c r="J804" t="s">
        <v>175</v>
      </c>
      <c r="K804" t="s">
        <v>174</v>
      </c>
      <c r="L804" t="s">
        <v>173</v>
      </c>
      <c r="M804" t="s">
        <v>172</v>
      </c>
      <c r="N804" t="s">
        <v>171</v>
      </c>
      <c r="O804" t="s">
        <v>170</v>
      </c>
      <c r="P804" t="s">
        <v>169</v>
      </c>
      <c r="Q804" t="s">
        <v>168</v>
      </c>
      <c r="R804" t="s">
        <v>167</v>
      </c>
      <c r="S804" t="s">
        <v>134</v>
      </c>
    </row>
    <row r="805" spans="1:19" x14ac:dyDescent="0.25">
      <c r="A805" t="s">
        <v>199</v>
      </c>
      <c r="S805" t="s">
        <v>134</v>
      </c>
    </row>
    <row r="806" spans="1:19" x14ac:dyDescent="0.25">
      <c r="A806" t="s">
        <v>163</v>
      </c>
      <c r="B806">
        <v>9093.2000000000007</v>
      </c>
      <c r="C806">
        <v>94.5</v>
      </c>
      <c r="D806">
        <v>95.6</v>
      </c>
      <c r="E806">
        <v>95.3</v>
      </c>
      <c r="F806">
        <v>95.8</v>
      </c>
      <c r="G806">
        <v>98.3</v>
      </c>
      <c r="H806">
        <v>97.3</v>
      </c>
      <c r="I806">
        <v>96.9</v>
      </c>
      <c r="J806">
        <v>96.4</v>
      </c>
      <c r="K806">
        <v>95.1</v>
      </c>
      <c r="L806">
        <v>93.2</v>
      </c>
      <c r="M806">
        <v>92.8</v>
      </c>
      <c r="N806">
        <v>88.4</v>
      </c>
      <c r="O806">
        <v>90.5</v>
      </c>
      <c r="P806">
        <v>93.1</v>
      </c>
      <c r="Q806">
        <v>93.4</v>
      </c>
      <c r="R806">
        <v>95.9</v>
      </c>
      <c r="S806" t="s">
        <v>134</v>
      </c>
    </row>
    <row r="807" spans="1:19" x14ac:dyDescent="0.25">
      <c r="A807" t="s">
        <v>207</v>
      </c>
      <c r="B807">
        <v>85.9</v>
      </c>
      <c r="C807">
        <v>77.5</v>
      </c>
      <c r="D807">
        <v>72.3</v>
      </c>
      <c r="E807">
        <v>74.5</v>
      </c>
      <c r="F807">
        <v>76.400000000000006</v>
      </c>
      <c r="G807">
        <v>66.400000000000006</v>
      </c>
      <c r="H807">
        <v>60.9</v>
      </c>
      <c r="I807">
        <v>49.7</v>
      </c>
      <c r="J807">
        <v>61.4</v>
      </c>
      <c r="K807">
        <v>50.9</v>
      </c>
      <c r="L807">
        <v>56.9</v>
      </c>
      <c r="M807">
        <v>75.5</v>
      </c>
      <c r="N807">
        <v>75.2</v>
      </c>
      <c r="O807">
        <v>69.5</v>
      </c>
      <c r="P807">
        <v>60.1</v>
      </c>
      <c r="Q807">
        <v>56.5</v>
      </c>
      <c r="R807">
        <v>72.599999999999994</v>
      </c>
      <c r="S807" t="s">
        <v>134</v>
      </c>
    </row>
    <row r="808" spans="1:19" x14ac:dyDescent="0.25">
      <c r="A808" t="s">
        <v>202</v>
      </c>
      <c r="B808">
        <v>19024.400000000001</v>
      </c>
      <c r="C808">
        <v>76.900000000000006</v>
      </c>
      <c r="D808">
        <v>73.3</v>
      </c>
      <c r="E808">
        <v>74.900000000000006</v>
      </c>
      <c r="F808">
        <v>72.400000000000006</v>
      </c>
      <c r="G808">
        <v>67.2</v>
      </c>
      <c r="H808">
        <v>68.400000000000006</v>
      </c>
      <c r="I808">
        <v>71.599999999999994</v>
      </c>
      <c r="J808">
        <v>72.2</v>
      </c>
      <c r="K808">
        <v>70</v>
      </c>
      <c r="L808">
        <v>66.2</v>
      </c>
      <c r="M808">
        <v>65</v>
      </c>
      <c r="N808">
        <v>67.5</v>
      </c>
      <c r="O808">
        <v>54.9</v>
      </c>
      <c r="P808">
        <v>46.4</v>
      </c>
      <c r="Q808">
        <v>40.9</v>
      </c>
      <c r="R808">
        <v>25.6</v>
      </c>
      <c r="S808" t="s">
        <v>134</v>
      </c>
    </row>
    <row r="809" spans="1:19" x14ac:dyDescent="0.25">
      <c r="A809" t="s">
        <v>200</v>
      </c>
      <c r="B809">
        <v>349.1</v>
      </c>
      <c r="C809">
        <v>70.8</v>
      </c>
      <c r="D809">
        <v>66.599999999999994</v>
      </c>
      <c r="E809">
        <v>72.3</v>
      </c>
      <c r="F809">
        <v>69.8</v>
      </c>
      <c r="G809">
        <v>65.7</v>
      </c>
      <c r="H809">
        <v>66.8</v>
      </c>
      <c r="I809">
        <v>70.599999999999994</v>
      </c>
      <c r="J809">
        <v>66.3</v>
      </c>
      <c r="K809">
        <v>68.5</v>
      </c>
      <c r="L809">
        <v>67</v>
      </c>
      <c r="M809">
        <v>65.099999999999994</v>
      </c>
      <c r="N809">
        <v>67.2</v>
      </c>
      <c r="O809">
        <v>64.7</v>
      </c>
      <c r="P809">
        <v>65.7</v>
      </c>
      <c r="Q809">
        <v>64.099999999999994</v>
      </c>
      <c r="R809">
        <v>64.2</v>
      </c>
      <c r="S809" t="s">
        <v>134</v>
      </c>
    </row>
    <row r="810" spans="1:19" x14ac:dyDescent="0.25">
      <c r="A810" t="s">
        <v>203</v>
      </c>
      <c r="B810">
        <v>929.5</v>
      </c>
      <c r="C810">
        <v>34.200000000000003</v>
      </c>
      <c r="D810">
        <v>32.6</v>
      </c>
      <c r="E810">
        <v>38.5</v>
      </c>
      <c r="F810">
        <v>33.799999999999997</v>
      </c>
      <c r="G810">
        <v>44.5</v>
      </c>
      <c r="H810">
        <v>54.1</v>
      </c>
      <c r="I810">
        <v>39.6</v>
      </c>
      <c r="J810">
        <v>30</v>
      </c>
      <c r="K810">
        <v>33</v>
      </c>
      <c r="L810">
        <v>33.700000000000003</v>
      </c>
      <c r="M810">
        <v>37.1</v>
      </c>
      <c r="N810">
        <v>29.9</v>
      </c>
      <c r="O810">
        <v>44.3</v>
      </c>
      <c r="P810">
        <v>31</v>
      </c>
      <c r="Q810">
        <v>35.1</v>
      </c>
      <c r="R810">
        <v>33.9</v>
      </c>
      <c r="S810" t="s">
        <v>134</v>
      </c>
    </row>
    <row r="811" spans="1:19" x14ac:dyDescent="0.25">
      <c r="A811" t="s">
        <v>165</v>
      </c>
      <c r="B811">
        <v>80.2</v>
      </c>
      <c r="C811">
        <v>27.5</v>
      </c>
      <c r="D811">
        <v>43.6</v>
      </c>
      <c r="E811">
        <v>55.5</v>
      </c>
      <c r="F811">
        <v>55.1</v>
      </c>
      <c r="G811">
        <v>39.9</v>
      </c>
      <c r="H811">
        <v>62.8</v>
      </c>
      <c r="I811">
        <v>57.1</v>
      </c>
      <c r="J811">
        <v>46.1</v>
      </c>
      <c r="K811">
        <v>50.2</v>
      </c>
      <c r="L811">
        <v>56.2</v>
      </c>
      <c r="M811">
        <v>30.8</v>
      </c>
      <c r="N811">
        <v>49.7</v>
      </c>
      <c r="O811">
        <v>44</v>
      </c>
      <c r="P811">
        <v>74.5</v>
      </c>
      <c r="Q811">
        <v>75</v>
      </c>
      <c r="R811">
        <v>69.900000000000006</v>
      </c>
      <c r="S811" t="s">
        <v>134</v>
      </c>
    </row>
    <row r="812" spans="1:19" x14ac:dyDescent="0.25">
      <c r="A812" t="s">
        <v>216</v>
      </c>
      <c r="B812">
        <v>1487.1</v>
      </c>
      <c r="C812">
        <v>25</v>
      </c>
      <c r="D812">
        <v>27.9</v>
      </c>
      <c r="E812">
        <v>27</v>
      </c>
      <c r="F812">
        <v>29.2</v>
      </c>
      <c r="G812">
        <v>27</v>
      </c>
      <c r="H812">
        <v>29.7</v>
      </c>
      <c r="I812">
        <v>29.9</v>
      </c>
      <c r="J812" t="s">
        <v>162</v>
      </c>
      <c r="K812" t="s">
        <v>162</v>
      </c>
      <c r="L812" t="s">
        <v>162</v>
      </c>
      <c r="M812" t="s">
        <v>162</v>
      </c>
      <c r="N812" t="s">
        <v>162</v>
      </c>
      <c r="O812" t="s">
        <v>162</v>
      </c>
      <c r="P812" t="s">
        <v>162</v>
      </c>
      <c r="Q812" t="s">
        <v>162</v>
      </c>
      <c r="R812" t="s">
        <v>162</v>
      </c>
      <c r="S812" t="s">
        <v>134</v>
      </c>
    </row>
    <row r="813" spans="1:19" x14ac:dyDescent="0.25">
      <c r="A813" t="s">
        <v>215</v>
      </c>
      <c r="B813">
        <v>257.10000000000002</v>
      </c>
      <c r="C813">
        <v>24.3</v>
      </c>
      <c r="D813">
        <v>23.9</v>
      </c>
      <c r="E813">
        <v>17</v>
      </c>
      <c r="F813">
        <v>13.6</v>
      </c>
      <c r="G813">
        <v>15</v>
      </c>
      <c r="H813">
        <v>17.899999999999999</v>
      </c>
      <c r="I813">
        <v>19</v>
      </c>
      <c r="J813">
        <v>18.899999999999999</v>
      </c>
      <c r="K813">
        <v>7.7</v>
      </c>
      <c r="L813">
        <v>8.3000000000000007</v>
      </c>
      <c r="M813">
        <v>4.9000000000000004</v>
      </c>
      <c r="N813">
        <v>3.2</v>
      </c>
      <c r="O813">
        <v>2.8</v>
      </c>
      <c r="P813">
        <v>5.5</v>
      </c>
      <c r="Q813">
        <v>2.9</v>
      </c>
      <c r="R813">
        <v>5.6</v>
      </c>
      <c r="S813" t="s">
        <v>134</v>
      </c>
    </row>
    <row r="814" spans="1:19" x14ac:dyDescent="0.25">
      <c r="A814" t="s">
        <v>206</v>
      </c>
      <c r="B814">
        <v>1920</v>
      </c>
      <c r="C814">
        <v>24.1</v>
      </c>
      <c r="D814">
        <v>24</v>
      </c>
      <c r="E814">
        <v>21.9</v>
      </c>
      <c r="F814">
        <v>24</v>
      </c>
      <c r="G814">
        <v>21.8</v>
      </c>
      <c r="H814">
        <v>18.100000000000001</v>
      </c>
      <c r="I814">
        <v>22.5</v>
      </c>
      <c r="J814">
        <v>19.899999999999999</v>
      </c>
      <c r="K814">
        <v>19.2</v>
      </c>
      <c r="L814">
        <v>16.3</v>
      </c>
      <c r="M814">
        <v>11.1</v>
      </c>
      <c r="N814">
        <v>7</v>
      </c>
      <c r="O814">
        <v>7.9</v>
      </c>
      <c r="P814">
        <v>7.5</v>
      </c>
      <c r="Q814">
        <v>5.5</v>
      </c>
      <c r="R814">
        <v>5.5</v>
      </c>
      <c r="S814" t="s">
        <v>134</v>
      </c>
    </row>
    <row r="815" spans="1:19" x14ac:dyDescent="0.25">
      <c r="A815" t="s">
        <v>201</v>
      </c>
      <c r="B815">
        <v>6686.7</v>
      </c>
      <c r="C815">
        <v>22.2</v>
      </c>
      <c r="D815">
        <v>31.8</v>
      </c>
      <c r="E815">
        <v>34.4</v>
      </c>
      <c r="F815">
        <v>30.9</v>
      </c>
      <c r="G815">
        <v>42.6</v>
      </c>
      <c r="H815">
        <v>43.4</v>
      </c>
      <c r="I815">
        <v>47.8</v>
      </c>
      <c r="J815">
        <v>49.1</v>
      </c>
      <c r="K815">
        <v>54.4</v>
      </c>
      <c r="L815">
        <v>63.8</v>
      </c>
      <c r="M815">
        <v>62.6</v>
      </c>
      <c r="N815">
        <v>57.6</v>
      </c>
      <c r="O815">
        <v>62.2</v>
      </c>
      <c r="P815">
        <v>67</v>
      </c>
      <c r="Q815">
        <v>63.9</v>
      </c>
      <c r="R815">
        <v>71.5</v>
      </c>
      <c r="S815" t="s">
        <v>134</v>
      </c>
    </row>
    <row r="816" spans="1:19" x14ac:dyDescent="0.25">
      <c r="A816" t="s">
        <v>204</v>
      </c>
      <c r="B816">
        <v>230.2</v>
      </c>
      <c r="C816">
        <v>17</v>
      </c>
      <c r="D816">
        <v>17.3</v>
      </c>
      <c r="E816">
        <v>16.899999999999999</v>
      </c>
      <c r="F816">
        <v>14.7</v>
      </c>
      <c r="G816">
        <v>14.5</v>
      </c>
      <c r="H816">
        <v>13.1</v>
      </c>
      <c r="I816">
        <v>15.3</v>
      </c>
      <c r="J816">
        <v>16.8</v>
      </c>
      <c r="K816">
        <v>17.3</v>
      </c>
      <c r="L816">
        <v>16.899999999999999</v>
      </c>
      <c r="M816">
        <v>17.7</v>
      </c>
      <c r="N816">
        <v>15.3</v>
      </c>
      <c r="O816">
        <v>17.899999999999999</v>
      </c>
      <c r="P816">
        <v>20.5</v>
      </c>
      <c r="Q816">
        <v>27.1</v>
      </c>
      <c r="R816">
        <v>0</v>
      </c>
      <c r="S816" t="s">
        <v>134</v>
      </c>
    </row>
    <row r="817" spans="1:19" x14ac:dyDescent="0.25">
      <c r="A817" t="s">
        <v>205</v>
      </c>
      <c r="B817">
        <v>5647.1</v>
      </c>
      <c r="C817">
        <v>13.1</v>
      </c>
      <c r="D817">
        <v>13.8</v>
      </c>
      <c r="E817">
        <v>5.5</v>
      </c>
      <c r="F817">
        <v>10.7</v>
      </c>
      <c r="G817">
        <v>6.8</v>
      </c>
      <c r="H817">
        <v>8.9</v>
      </c>
      <c r="I817">
        <v>16.5</v>
      </c>
      <c r="J817">
        <v>19.2</v>
      </c>
      <c r="K817">
        <v>20.6</v>
      </c>
      <c r="L817">
        <v>11.2</v>
      </c>
      <c r="M817">
        <v>4.9000000000000004</v>
      </c>
      <c r="N817">
        <v>10.9</v>
      </c>
      <c r="O817">
        <v>26</v>
      </c>
      <c r="P817">
        <v>34.299999999999997</v>
      </c>
      <c r="Q817">
        <v>31.2</v>
      </c>
      <c r="R817">
        <v>30.1</v>
      </c>
      <c r="S817" t="s">
        <v>134</v>
      </c>
    </row>
    <row r="818" spans="1:19" x14ac:dyDescent="0.25">
      <c r="A818" t="s">
        <v>209</v>
      </c>
      <c r="B818">
        <v>91.7</v>
      </c>
      <c r="C818">
        <v>0.5</v>
      </c>
      <c r="D818">
        <v>0.7</v>
      </c>
      <c r="E818">
        <v>0.7</v>
      </c>
      <c r="F818">
        <v>0.7</v>
      </c>
      <c r="G818">
        <v>1.3</v>
      </c>
      <c r="H818">
        <v>0.8</v>
      </c>
      <c r="I818">
        <v>0.4</v>
      </c>
      <c r="J818">
        <v>0.7</v>
      </c>
      <c r="K818">
        <v>1.9</v>
      </c>
      <c r="L818">
        <v>1.4</v>
      </c>
      <c r="M818">
        <v>1.3</v>
      </c>
      <c r="N818">
        <v>0.3</v>
      </c>
      <c r="O818">
        <v>0.5</v>
      </c>
      <c r="P818">
        <v>0.9</v>
      </c>
      <c r="Q818">
        <v>0.6</v>
      </c>
      <c r="R818">
        <v>1</v>
      </c>
      <c r="S818" t="s">
        <v>134</v>
      </c>
    </row>
    <row r="819" spans="1:19" x14ac:dyDescent="0.25">
      <c r="A819" t="s">
        <v>217</v>
      </c>
      <c r="B819">
        <v>20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32.200000000000003</v>
      </c>
      <c r="J819">
        <v>8.5</v>
      </c>
      <c r="K819">
        <v>9.6</v>
      </c>
      <c r="L819">
        <v>8.4</v>
      </c>
      <c r="M819">
        <v>4.5999999999999996</v>
      </c>
      <c r="N819" t="s">
        <v>162</v>
      </c>
      <c r="O819" t="s">
        <v>162</v>
      </c>
      <c r="P819" t="s">
        <v>162</v>
      </c>
      <c r="Q819" t="s">
        <v>162</v>
      </c>
      <c r="R819" t="s">
        <v>162</v>
      </c>
      <c r="S819" t="s">
        <v>134</v>
      </c>
    </row>
    <row r="820" spans="1:19" x14ac:dyDescent="0.25">
      <c r="A820" t="s">
        <v>208</v>
      </c>
      <c r="B820">
        <v>1233.2</v>
      </c>
      <c r="C820">
        <v>0</v>
      </c>
      <c r="D820">
        <v>0.6</v>
      </c>
      <c r="E820">
        <v>0.2</v>
      </c>
      <c r="F820">
        <v>0.1</v>
      </c>
      <c r="G820">
        <v>0.1</v>
      </c>
      <c r="H820">
        <v>0.8</v>
      </c>
      <c r="I820">
        <v>0.3</v>
      </c>
      <c r="J820">
        <v>0.2</v>
      </c>
      <c r="K820">
        <v>0.6</v>
      </c>
      <c r="L820">
        <v>1.3</v>
      </c>
      <c r="M820">
        <v>0.4</v>
      </c>
      <c r="N820">
        <v>0.3</v>
      </c>
      <c r="O820">
        <v>0.4</v>
      </c>
      <c r="P820">
        <v>0.4</v>
      </c>
      <c r="Q820">
        <v>0.1</v>
      </c>
      <c r="R820">
        <v>0.3</v>
      </c>
      <c r="S820" t="s">
        <v>134</v>
      </c>
    </row>
    <row r="821" spans="1:19" x14ac:dyDescent="0.25">
      <c r="A821" t="s">
        <v>219</v>
      </c>
      <c r="B821" t="s">
        <v>162</v>
      </c>
      <c r="C821" t="s">
        <v>162</v>
      </c>
      <c r="D821" t="s">
        <v>162</v>
      </c>
      <c r="E821" t="s">
        <v>162</v>
      </c>
      <c r="F821" t="s">
        <v>162</v>
      </c>
      <c r="G821">
        <v>50.5</v>
      </c>
      <c r="H821" t="s">
        <v>162</v>
      </c>
      <c r="I821">
        <v>41.4</v>
      </c>
      <c r="J821">
        <v>41</v>
      </c>
      <c r="K821">
        <v>47.6</v>
      </c>
      <c r="L821">
        <v>1.1000000000000001</v>
      </c>
      <c r="M821">
        <v>0.9</v>
      </c>
      <c r="N821">
        <v>0.9</v>
      </c>
      <c r="O821">
        <v>3.3</v>
      </c>
      <c r="P821">
        <v>4.8</v>
      </c>
      <c r="Q821">
        <v>2.5</v>
      </c>
      <c r="R821">
        <v>1.9</v>
      </c>
      <c r="S821" t="s">
        <v>134</v>
      </c>
    </row>
    <row r="822" spans="1:19" x14ac:dyDescent="0.25">
      <c r="A822" t="s">
        <v>166</v>
      </c>
      <c r="B822" t="s">
        <v>162</v>
      </c>
      <c r="C822" t="s">
        <v>162</v>
      </c>
      <c r="D822" t="s">
        <v>162</v>
      </c>
      <c r="E822" t="s">
        <v>162</v>
      </c>
      <c r="F822" t="s">
        <v>162</v>
      </c>
      <c r="G822" t="s">
        <v>162</v>
      </c>
      <c r="H822" t="s">
        <v>162</v>
      </c>
      <c r="I822" t="s">
        <v>162</v>
      </c>
      <c r="J822">
        <v>29.6</v>
      </c>
      <c r="K822">
        <v>28.5</v>
      </c>
      <c r="L822">
        <v>30.3</v>
      </c>
      <c r="M822">
        <v>28.5</v>
      </c>
      <c r="N822">
        <v>24.9</v>
      </c>
      <c r="O822">
        <v>27.3</v>
      </c>
      <c r="P822">
        <v>30.4</v>
      </c>
      <c r="Q822">
        <v>25.9</v>
      </c>
      <c r="R822">
        <v>25.9</v>
      </c>
      <c r="S822" t="s">
        <v>134</v>
      </c>
    </row>
    <row r="823" spans="1:19" x14ac:dyDescent="0.25">
      <c r="A823" t="s">
        <v>211</v>
      </c>
      <c r="S823" t="s">
        <v>134</v>
      </c>
    </row>
    <row r="824" spans="1:19" x14ac:dyDescent="0.25">
      <c r="A824" t="s">
        <v>220</v>
      </c>
      <c r="B824">
        <v>1491.5</v>
      </c>
      <c r="C824">
        <v>20.2</v>
      </c>
      <c r="D824">
        <v>18.399999999999999</v>
      </c>
      <c r="E824">
        <v>17.5</v>
      </c>
      <c r="F824">
        <v>14.1</v>
      </c>
      <c r="G824">
        <v>12.9</v>
      </c>
      <c r="H824">
        <v>15</v>
      </c>
      <c r="I824">
        <v>13.9</v>
      </c>
      <c r="J824">
        <v>13.1</v>
      </c>
      <c r="K824">
        <v>12.3</v>
      </c>
      <c r="L824">
        <v>14.2</v>
      </c>
      <c r="M824">
        <v>14.2</v>
      </c>
      <c r="N824" t="s">
        <v>162</v>
      </c>
      <c r="O824" t="s">
        <v>162</v>
      </c>
      <c r="P824" t="s">
        <v>162</v>
      </c>
      <c r="Q824" t="s">
        <v>162</v>
      </c>
      <c r="R824" t="s">
        <v>162</v>
      </c>
      <c r="S824" t="s">
        <v>134</v>
      </c>
    </row>
    <row r="825" spans="1:19" x14ac:dyDescent="0.25">
      <c r="A825" t="s">
        <v>212</v>
      </c>
      <c r="B825">
        <v>34.6</v>
      </c>
      <c r="C825">
        <v>13.1</v>
      </c>
      <c r="D825">
        <v>19</v>
      </c>
      <c r="E825">
        <v>17.100000000000001</v>
      </c>
      <c r="F825">
        <v>17</v>
      </c>
      <c r="G825">
        <v>12</v>
      </c>
      <c r="H825">
        <v>5</v>
      </c>
      <c r="I825">
        <v>25.9</v>
      </c>
      <c r="J825">
        <v>11</v>
      </c>
      <c r="K825" t="s">
        <v>162</v>
      </c>
      <c r="L825" t="s">
        <v>162</v>
      </c>
      <c r="M825" t="s">
        <v>162</v>
      </c>
      <c r="N825" t="s">
        <v>162</v>
      </c>
      <c r="O825" t="s">
        <v>162</v>
      </c>
      <c r="P825" t="s">
        <v>162</v>
      </c>
      <c r="Q825" t="s">
        <v>162</v>
      </c>
      <c r="R825" t="s">
        <v>162</v>
      </c>
      <c r="S825" t="s">
        <v>134</v>
      </c>
    </row>
    <row r="826" spans="1:19" x14ac:dyDescent="0.25">
      <c r="A826" t="s">
        <v>213</v>
      </c>
      <c r="B826">
        <v>48661.5</v>
      </c>
      <c r="C826" t="s">
        <v>162</v>
      </c>
      <c r="D826" t="s">
        <v>162</v>
      </c>
      <c r="E826" t="s">
        <v>162</v>
      </c>
      <c r="F826" t="s">
        <v>162</v>
      </c>
      <c r="G826" t="s">
        <v>162</v>
      </c>
      <c r="H826" t="s">
        <v>162</v>
      </c>
      <c r="I826" t="s">
        <v>162</v>
      </c>
      <c r="J826" t="s">
        <v>162</v>
      </c>
      <c r="K826" t="s">
        <v>162</v>
      </c>
      <c r="L826" t="s">
        <v>162</v>
      </c>
      <c r="M826" t="s">
        <v>162</v>
      </c>
      <c r="N826" t="s">
        <v>162</v>
      </c>
      <c r="O826" t="s">
        <v>162</v>
      </c>
      <c r="P826" t="s">
        <v>162</v>
      </c>
      <c r="Q826" t="s">
        <v>162</v>
      </c>
      <c r="R826" t="s">
        <v>162</v>
      </c>
      <c r="S826" t="s">
        <v>134</v>
      </c>
    </row>
    <row r="827" spans="1:19" x14ac:dyDescent="0.25">
      <c r="A827" t="s">
        <v>214</v>
      </c>
      <c r="S827" t="s">
        <v>134</v>
      </c>
    </row>
    <row r="828" spans="1:19" x14ac:dyDescent="0.25">
      <c r="A828" t="s">
        <v>135</v>
      </c>
      <c r="S828" t="s">
        <v>135</v>
      </c>
    </row>
    <row r="829" spans="1:19" x14ac:dyDescent="0.25">
      <c r="A829" t="s">
        <v>198</v>
      </c>
      <c r="B829" t="s">
        <v>257</v>
      </c>
      <c r="C829" t="s">
        <v>256</v>
      </c>
      <c r="D829" t="s">
        <v>181</v>
      </c>
      <c r="E829" t="s">
        <v>180</v>
      </c>
      <c r="F829" t="s">
        <v>179</v>
      </c>
      <c r="G829" t="s">
        <v>178</v>
      </c>
      <c r="H829" t="s">
        <v>177</v>
      </c>
      <c r="I829" t="s">
        <v>176</v>
      </c>
      <c r="J829" t="s">
        <v>175</v>
      </c>
      <c r="K829" t="s">
        <v>174</v>
      </c>
      <c r="L829" t="s">
        <v>173</v>
      </c>
      <c r="M829" t="s">
        <v>172</v>
      </c>
      <c r="N829" t="s">
        <v>171</v>
      </c>
      <c r="O829" t="s">
        <v>170</v>
      </c>
      <c r="P829" t="s">
        <v>169</v>
      </c>
      <c r="Q829" t="s">
        <v>168</v>
      </c>
      <c r="R829" t="s">
        <v>167</v>
      </c>
      <c r="S829" t="s">
        <v>135</v>
      </c>
    </row>
    <row r="830" spans="1:19" x14ac:dyDescent="0.25">
      <c r="A830" t="s">
        <v>199</v>
      </c>
      <c r="S830" t="s">
        <v>135</v>
      </c>
    </row>
    <row r="831" spans="1:19" x14ac:dyDescent="0.25">
      <c r="A831" t="s">
        <v>215</v>
      </c>
      <c r="B831">
        <v>14.5</v>
      </c>
      <c r="C831">
        <v>80</v>
      </c>
      <c r="D831">
        <v>76.099999999999994</v>
      </c>
      <c r="E831">
        <v>78.3</v>
      </c>
      <c r="F831">
        <v>66.599999999999994</v>
      </c>
      <c r="G831">
        <v>70.900000000000006</v>
      </c>
      <c r="H831">
        <v>72.8</v>
      </c>
      <c r="I831">
        <v>44.2</v>
      </c>
      <c r="J831">
        <v>8.6999999999999993</v>
      </c>
      <c r="K831">
        <v>0</v>
      </c>
      <c r="L831" t="s">
        <v>162</v>
      </c>
      <c r="M831" t="s">
        <v>162</v>
      </c>
      <c r="N831" t="s">
        <v>162</v>
      </c>
      <c r="O831" t="s">
        <v>162</v>
      </c>
      <c r="P831" t="s">
        <v>162</v>
      </c>
      <c r="Q831" t="s">
        <v>162</v>
      </c>
      <c r="R831" t="s">
        <v>162</v>
      </c>
      <c r="S831" t="s">
        <v>135</v>
      </c>
    </row>
    <row r="832" spans="1:19" x14ac:dyDescent="0.25">
      <c r="A832" t="s">
        <v>200</v>
      </c>
      <c r="B832">
        <v>40.1</v>
      </c>
      <c r="C832">
        <v>70.3</v>
      </c>
      <c r="D832">
        <v>62.2</v>
      </c>
      <c r="E832">
        <v>59.3</v>
      </c>
      <c r="F832">
        <v>59</v>
      </c>
      <c r="G832">
        <v>59.2</v>
      </c>
      <c r="H832">
        <v>60.1</v>
      </c>
      <c r="I832">
        <v>60.6</v>
      </c>
      <c r="J832">
        <v>63.2</v>
      </c>
      <c r="K832">
        <v>65.3</v>
      </c>
      <c r="L832">
        <v>63.9</v>
      </c>
      <c r="M832">
        <v>22.7</v>
      </c>
      <c r="N832">
        <v>48.3</v>
      </c>
      <c r="O832">
        <v>61.4</v>
      </c>
      <c r="P832">
        <v>66</v>
      </c>
      <c r="Q832">
        <v>69.7</v>
      </c>
      <c r="R832">
        <v>76.099999999999994</v>
      </c>
      <c r="S832" t="s">
        <v>135</v>
      </c>
    </row>
    <row r="833" spans="1:19" x14ac:dyDescent="0.25">
      <c r="A833" t="s">
        <v>206</v>
      </c>
      <c r="B833">
        <v>12.4</v>
      </c>
      <c r="C833">
        <v>68.599999999999994</v>
      </c>
      <c r="D833">
        <v>69.900000000000006</v>
      </c>
      <c r="E833">
        <v>75.3</v>
      </c>
      <c r="F833">
        <v>76.7</v>
      </c>
      <c r="G833">
        <v>75.8</v>
      </c>
      <c r="H833">
        <v>76.7</v>
      </c>
      <c r="I833">
        <v>147.19999999999999</v>
      </c>
      <c r="J833" t="s">
        <v>162</v>
      </c>
      <c r="K833" t="s">
        <v>162</v>
      </c>
      <c r="L833" t="s">
        <v>162</v>
      </c>
      <c r="M833" t="s">
        <v>162</v>
      </c>
      <c r="N833" t="s">
        <v>162</v>
      </c>
      <c r="O833" t="s">
        <v>162</v>
      </c>
      <c r="P833" t="s">
        <v>162</v>
      </c>
      <c r="Q833" t="s">
        <v>162</v>
      </c>
      <c r="R833" t="s">
        <v>162</v>
      </c>
      <c r="S833" t="s">
        <v>135</v>
      </c>
    </row>
    <row r="834" spans="1:19" x14ac:dyDescent="0.25">
      <c r="A834" t="s">
        <v>202</v>
      </c>
      <c r="B834">
        <v>1735.2</v>
      </c>
      <c r="C834">
        <v>61.7</v>
      </c>
      <c r="D834">
        <v>44.9</v>
      </c>
      <c r="E834">
        <v>55.3</v>
      </c>
      <c r="F834">
        <v>51.4</v>
      </c>
      <c r="G834">
        <v>44.4</v>
      </c>
      <c r="H834">
        <v>49.7</v>
      </c>
      <c r="I834">
        <v>45</v>
      </c>
      <c r="J834">
        <v>40.4</v>
      </c>
      <c r="K834">
        <v>42.9</v>
      </c>
      <c r="L834">
        <v>39.4</v>
      </c>
      <c r="M834">
        <v>40.4</v>
      </c>
      <c r="N834">
        <v>50.3</v>
      </c>
      <c r="O834">
        <v>53.1</v>
      </c>
      <c r="P834">
        <v>46.3</v>
      </c>
      <c r="Q834">
        <v>44.5</v>
      </c>
      <c r="R834">
        <v>42.4</v>
      </c>
      <c r="S834" t="s">
        <v>135</v>
      </c>
    </row>
    <row r="835" spans="1:19" x14ac:dyDescent="0.25">
      <c r="A835" t="s">
        <v>221</v>
      </c>
      <c r="B835">
        <v>29.3</v>
      </c>
      <c r="C835">
        <v>34.1</v>
      </c>
      <c r="D835">
        <v>43.3</v>
      </c>
      <c r="E835">
        <v>32.799999999999997</v>
      </c>
      <c r="F835">
        <v>46.7</v>
      </c>
      <c r="G835">
        <v>45.9</v>
      </c>
      <c r="H835">
        <v>45.7</v>
      </c>
      <c r="I835">
        <v>40.700000000000003</v>
      </c>
      <c r="J835" t="s">
        <v>162</v>
      </c>
      <c r="K835" t="s">
        <v>162</v>
      </c>
      <c r="L835" t="s">
        <v>162</v>
      </c>
      <c r="M835" t="s">
        <v>162</v>
      </c>
      <c r="N835" t="s">
        <v>162</v>
      </c>
      <c r="O835" t="s">
        <v>162</v>
      </c>
      <c r="P835" t="s">
        <v>162</v>
      </c>
      <c r="Q835" t="s">
        <v>162</v>
      </c>
      <c r="R835" t="s">
        <v>162</v>
      </c>
      <c r="S835" t="s">
        <v>135</v>
      </c>
    </row>
    <row r="836" spans="1:19" x14ac:dyDescent="0.25">
      <c r="A836" t="s">
        <v>203</v>
      </c>
      <c r="B836">
        <v>2.7</v>
      </c>
      <c r="C836">
        <v>31.9</v>
      </c>
      <c r="D836">
        <v>31.2</v>
      </c>
      <c r="E836">
        <v>18.899999999999999</v>
      </c>
      <c r="F836">
        <v>15</v>
      </c>
      <c r="G836">
        <v>15.4</v>
      </c>
      <c r="H836">
        <v>17.399999999999999</v>
      </c>
      <c r="I836">
        <v>10</v>
      </c>
      <c r="J836">
        <v>9</v>
      </c>
      <c r="K836">
        <v>13.3</v>
      </c>
      <c r="L836">
        <v>16.8</v>
      </c>
      <c r="M836">
        <v>18.8</v>
      </c>
      <c r="N836">
        <v>30.3</v>
      </c>
      <c r="O836">
        <v>31.3</v>
      </c>
      <c r="P836">
        <v>15.7</v>
      </c>
      <c r="Q836">
        <v>20</v>
      </c>
      <c r="R836">
        <v>21</v>
      </c>
      <c r="S836" t="s">
        <v>135</v>
      </c>
    </row>
    <row r="837" spans="1:19" x14ac:dyDescent="0.25">
      <c r="A837" t="s">
        <v>205</v>
      </c>
      <c r="B837">
        <v>10.9</v>
      </c>
      <c r="C837">
        <v>27</v>
      </c>
      <c r="D837">
        <v>31.1</v>
      </c>
      <c r="E837">
        <v>24.1</v>
      </c>
      <c r="F837">
        <v>24.4</v>
      </c>
      <c r="G837">
        <v>24.1</v>
      </c>
      <c r="H837">
        <v>22.6</v>
      </c>
      <c r="I837">
        <v>25.8</v>
      </c>
      <c r="J837">
        <v>24.7</v>
      </c>
      <c r="K837">
        <v>27.2</v>
      </c>
      <c r="L837">
        <v>19.7</v>
      </c>
      <c r="M837">
        <v>19.8</v>
      </c>
      <c r="N837">
        <v>19.899999999999999</v>
      </c>
      <c r="O837">
        <v>20.9</v>
      </c>
      <c r="P837">
        <v>1.1000000000000001</v>
      </c>
      <c r="Q837">
        <v>21.4</v>
      </c>
      <c r="R837">
        <v>10</v>
      </c>
      <c r="S837" t="s">
        <v>135</v>
      </c>
    </row>
    <row r="838" spans="1:19" x14ac:dyDescent="0.25">
      <c r="A838" t="s">
        <v>216</v>
      </c>
      <c r="B838">
        <v>48</v>
      </c>
      <c r="C838">
        <v>19.399999999999999</v>
      </c>
      <c r="D838">
        <v>23.3</v>
      </c>
      <c r="E838">
        <v>23.1</v>
      </c>
      <c r="F838">
        <v>24.7</v>
      </c>
      <c r="G838">
        <v>23.1</v>
      </c>
      <c r="H838">
        <v>20.9</v>
      </c>
      <c r="I838">
        <v>22.8</v>
      </c>
      <c r="J838" t="s">
        <v>162</v>
      </c>
      <c r="K838" t="s">
        <v>162</v>
      </c>
      <c r="L838" t="s">
        <v>162</v>
      </c>
      <c r="M838" t="s">
        <v>162</v>
      </c>
      <c r="N838" t="s">
        <v>162</v>
      </c>
      <c r="O838" t="s">
        <v>162</v>
      </c>
      <c r="P838" t="s">
        <v>162</v>
      </c>
      <c r="Q838" t="s">
        <v>162</v>
      </c>
      <c r="R838" t="s">
        <v>162</v>
      </c>
      <c r="S838" t="s">
        <v>135</v>
      </c>
    </row>
    <row r="839" spans="1:19" x14ac:dyDescent="0.25">
      <c r="A839" t="s">
        <v>204</v>
      </c>
      <c r="B839">
        <v>290.5</v>
      </c>
      <c r="C839">
        <v>16.399999999999999</v>
      </c>
      <c r="D839">
        <v>17</v>
      </c>
      <c r="E839">
        <v>17.5</v>
      </c>
      <c r="F839">
        <v>17.3</v>
      </c>
      <c r="G839">
        <v>16</v>
      </c>
      <c r="H839">
        <v>16.3</v>
      </c>
      <c r="I839">
        <v>15.8</v>
      </c>
      <c r="J839">
        <v>16.399999999999999</v>
      </c>
      <c r="K839">
        <v>18.399999999999999</v>
      </c>
      <c r="L839">
        <v>16.2</v>
      </c>
      <c r="M839">
        <v>15.7</v>
      </c>
      <c r="N839" t="s">
        <v>162</v>
      </c>
      <c r="O839" t="s">
        <v>162</v>
      </c>
      <c r="P839" t="s">
        <v>162</v>
      </c>
      <c r="Q839" t="s">
        <v>162</v>
      </c>
      <c r="R839" t="s">
        <v>162</v>
      </c>
      <c r="S839" t="s">
        <v>135</v>
      </c>
    </row>
    <row r="840" spans="1:19" x14ac:dyDescent="0.25">
      <c r="A840" t="s">
        <v>209</v>
      </c>
      <c r="B840">
        <v>7.1</v>
      </c>
      <c r="C840">
        <v>0.1</v>
      </c>
      <c r="D840">
        <v>0.6</v>
      </c>
      <c r="E840">
        <v>0</v>
      </c>
      <c r="F840">
        <v>0</v>
      </c>
      <c r="G840">
        <v>0.1</v>
      </c>
      <c r="H840">
        <v>0.1</v>
      </c>
      <c r="I840">
        <v>6.9</v>
      </c>
      <c r="J840">
        <v>20.2</v>
      </c>
      <c r="K840">
        <v>17.3</v>
      </c>
      <c r="L840">
        <v>16</v>
      </c>
      <c r="M840">
        <v>16</v>
      </c>
      <c r="N840">
        <v>10.9</v>
      </c>
      <c r="O840">
        <v>13.1</v>
      </c>
      <c r="P840">
        <v>13.6</v>
      </c>
      <c r="Q840">
        <v>13.3</v>
      </c>
      <c r="R840">
        <v>13.3</v>
      </c>
      <c r="S840" t="s">
        <v>135</v>
      </c>
    </row>
    <row r="841" spans="1:19" x14ac:dyDescent="0.25">
      <c r="A841" t="s">
        <v>208</v>
      </c>
      <c r="B841" t="s">
        <v>162</v>
      </c>
      <c r="C841" t="s">
        <v>162</v>
      </c>
      <c r="D841" t="s">
        <v>162</v>
      </c>
      <c r="E841" t="s">
        <v>162</v>
      </c>
      <c r="F841" t="s">
        <v>162</v>
      </c>
      <c r="G841" t="s">
        <v>162</v>
      </c>
      <c r="H841" t="s">
        <v>162</v>
      </c>
      <c r="I841">
        <v>55.1</v>
      </c>
      <c r="J841">
        <v>55</v>
      </c>
      <c r="K841">
        <v>57.3</v>
      </c>
      <c r="L841">
        <v>56.3</v>
      </c>
      <c r="M841">
        <v>55.6</v>
      </c>
      <c r="N841">
        <v>55.7</v>
      </c>
      <c r="O841">
        <v>62.2</v>
      </c>
      <c r="P841">
        <v>61.8</v>
      </c>
      <c r="Q841">
        <v>60.1</v>
      </c>
      <c r="R841">
        <v>63.1</v>
      </c>
      <c r="S841" t="s">
        <v>135</v>
      </c>
    </row>
    <row r="842" spans="1:19" x14ac:dyDescent="0.25">
      <c r="A842" t="s">
        <v>219</v>
      </c>
      <c r="B842" t="s">
        <v>162</v>
      </c>
      <c r="C842" t="s">
        <v>162</v>
      </c>
      <c r="D842" t="s">
        <v>162</v>
      </c>
      <c r="E842" t="s">
        <v>162</v>
      </c>
      <c r="F842" t="s">
        <v>162</v>
      </c>
      <c r="G842" t="s">
        <v>162</v>
      </c>
      <c r="H842" t="s">
        <v>162</v>
      </c>
      <c r="I842">
        <v>0</v>
      </c>
      <c r="J842">
        <v>0</v>
      </c>
      <c r="K842">
        <v>38.5</v>
      </c>
      <c r="L842">
        <v>41.3</v>
      </c>
      <c r="M842">
        <v>24.4</v>
      </c>
      <c r="N842">
        <v>16.2</v>
      </c>
      <c r="O842">
        <v>0</v>
      </c>
      <c r="P842">
        <v>0</v>
      </c>
      <c r="Q842">
        <v>0</v>
      </c>
      <c r="R842">
        <v>16.2</v>
      </c>
      <c r="S842" t="s">
        <v>135</v>
      </c>
    </row>
    <row r="843" spans="1:19" x14ac:dyDescent="0.25">
      <c r="A843" t="s">
        <v>166</v>
      </c>
      <c r="B843" t="s">
        <v>162</v>
      </c>
      <c r="C843" t="s">
        <v>162</v>
      </c>
      <c r="D843" t="s">
        <v>162</v>
      </c>
      <c r="E843" t="s">
        <v>162</v>
      </c>
      <c r="F843" t="s">
        <v>162</v>
      </c>
      <c r="G843" t="s">
        <v>162</v>
      </c>
      <c r="H843" t="s">
        <v>162</v>
      </c>
      <c r="I843" t="s">
        <v>162</v>
      </c>
      <c r="J843">
        <v>19.100000000000001</v>
      </c>
      <c r="K843">
        <v>15.3</v>
      </c>
      <c r="L843">
        <v>29.8</v>
      </c>
      <c r="M843">
        <v>9.9</v>
      </c>
      <c r="N843">
        <v>10.5</v>
      </c>
      <c r="O843">
        <v>22.2</v>
      </c>
      <c r="P843">
        <v>23.8</v>
      </c>
      <c r="Q843" t="s">
        <v>162</v>
      </c>
      <c r="R843" t="s">
        <v>162</v>
      </c>
      <c r="S843" t="s">
        <v>135</v>
      </c>
    </row>
    <row r="844" spans="1:19" x14ac:dyDescent="0.25">
      <c r="A844" t="s">
        <v>211</v>
      </c>
      <c r="S844" t="s">
        <v>135</v>
      </c>
    </row>
    <row r="845" spans="1:19" x14ac:dyDescent="0.25">
      <c r="A845" t="s">
        <v>212</v>
      </c>
      <c r="B845">
        <v>3</v>
      </c>
      <c r="C845">
        <v>3.7</v>
      </c>
      <c r="D845">
        <v>72.900000000000006</v>
      </c>
      <c r="E845" t="s">
        <v>162</v>
      </c>
      <c r="F845" t="s">
        <v>162</v>
      </c>
      <c r="G845" t="s">
        <v>162</v>
      </c>
      <c r="H845" t="s">
        <v>162</v>
      </c>
      <c r="I845" t="s">
        <v>162</v>
      </c>
      <c r="J845" t="s">
        <v>162</v>
      </c>
      <c r="K845" t="s">
        <v>162</v>
      </c>
      <c r="L845" t="s">
        <v>162</v>
      </c>
      <c r="M845" t="s">
        <v>162</v>
      </c>
      <c r="N845" t="s">
        <v>162</v>
      </c>
      <c r="O845" t="s">
        <v>162</v>
      </c>
      <c r="P845" t="s">
        <v>162</v>
      </c>
      <c r="Q845" t="s">
        <v>162</v>
      </c>
      <c r="R845" t="s">
        <v>162</v>
      </c>
      <c r="S845" t="s">
        <v>135</v>
      </c>
    </row>
    <row r="846" spans="1:19" x14ac:dyDescent="0.25">
      <c r="A846" t="s">
        <v>213</v>
      </c>
      <c r="B846">
        <v>2193.6999999999998</v>
      </c>
      <c r="C846" t="s">
        <v>162</v>
      </c>
      <c r="D846" t="s">
        <v>162</v>
      </c>
      <c r="E846" t="s">
        <v>162</v>
      </c>
      <c r="F846" t="s">
        <v>162</v>
      </c>
      <c r="G846" t="s">
        <v>162</v>
      </c>
      <c r="H846" t="s">
        <v>162</v>
      </c>
      <c r="I846" t="s">
        <v>162</v>
      </c>
      <c r="J846" t="s">
        <v>162</v>
      </c>
      <c r="K846" t="s">
        <v>162</v>
      </c>
      <c r="L846" t="s">
        <v>162</v>
      </c>
      <c r="M846" t="s">
        <v>162</v>
      </c>
      <c r="N846" t="s">
        <v>162</v>
      </c>
      <c r="O846" t="s">
        <v>162</v>
      </c>
      <c r="P846" t="s">
        <v>162</v>
      </c>
      <c r="Q846" t="s">
        <v>162</v>
      </c>
      <c r="R846" t="s">
        <v>162</v>
      </c>
      <c r="S846" t="s">
        <v>135</v>
      </c>
    </row>
    <row r="847" spans="1:19" x14ac:dyDescent="0.25">
      <c r="A847" t="s">
        <v>214</v>
      </c>
      <c r="S847" t="s">
        <v>135</v>
      </c>
    </row>
    <row r="848" spans="1:19" x14ac:dyDescent="0.25">
      <c r="A848" t="s">
        <v>136</v>
      </c>
      <c r="S848" t="s">
        <v>136</v>
      </c>
    </row>
    <row r="849" spans="1:19" x14ac:dyDescent="0.25">
      <c r="A849" t="s">
        <v>198</v>
      </c>
      <c r="B849" t="s">
        <v>257</v>
      </c>
      <c r="C849" t="s">
        <v>256</v>
      </c>
      <c r="D849" t="s">
        <v>181</v>
      </c>
      <c r="E849" t="s">
        <v>180</v>
      </c>
      <c r="F849" t="s">
        <v>179</v>
      </c>
      <c r="G849" t="s">
        <v>178</v>
      </c>
      <c r="H849" t="s">
        <v>177</v>
      </c>
      <c r="I849" t="s">
        <v>176</v>
      </c>
      <c r="J849" t="s">
        <v>175</v>
      </c>
      <c r="K849" t="s">
        <v>174</v>
      </c>
      <c r="L849" t="s">
        <v>173</v>
      </c>
      <c r="M849" t="s">
        <v>172</v>
      </c>
      <c r="N849" t="s">
        <v>171</v>
      </c>
      <c r="O849" t="s">
        <v>170</v>
      </c>
      <c r="P849" t="s">
        <v>169</v>
      </c>
      <c r="Q849" t="s">
        <v>168</v>
      </c>
      <c r="R849" t="s">
        <v>167</v>
      </c>
      <c r="S849" t="s">
        <v>136</v>
      </c>
    </row>
    <row r="850" spans="1:19" x14ac:dyDescent="0.25">
      <c r="A850" t="s">
        <v>199</v>
      </c>
      <c r="S850" t="s">
        <v>136</v>
      </c>
    </row>
    <row r="851" spans="1:19" x14ac:dyDescent="0.25">
      <c r="A851" t="s">
        <v>163</v>
      </c>
      <c r="B851">
        <v>6600.3</v>
      </c>
      <c r="C851">
        <v>96.2</v>
      </c>
      <c r="D851">
        <v>94</v>
      </c>
      <c r="E851">
        <v>93</v>
      </c>
      <c r="F851">
        <v>94.5</v>
      </c>
      <c r="G851">
        <v>97.4</v>
      </c>
      <c r="H851">
        <v>91.5</v>
      </c>
      <c r="I851">
        <v>94.3</v>
      </c>
      <c r="J851">
        <v>96.6</v>
      </c>
      <c r="K851">
        <v>92.6</v>
      </c>
      <c r="L851">
        <v>91.3</v>
      </c>
      <c r="M851">
        <v>94.5</v>
      </c>
      <c r="N851">
        <v>89.5</v>
      </c>
      <c r="O851">
        <v>93.1</v>
      </c>
      <c r="P851">
        <v>91.5</v>
      </c>
      <c r="Q851">
        <v>91.8</v>
      </c>
      <c r="R851">
        <v>91.1</v>
      </c>
      <c r="S851" t="s">
        <v>136</v>
      </c>
    </row>
    <row r="852" spans="1:19" x14ac:dyDescent="0.25">
      <c r="A852" t="s">
        <v>202</v>
      </c>
      <c r="B852">
        <v>3242.1</v>
      </c>
      <c r="C852">
        <v>66.5</v>
      </c>
      <c r="D852">
        <v>66.400000000000006</v>
      </c>
      <c r="E852">
        <v>68.5</v>
      </c>
      <c r="F852">
        <v>72</v>
      </c>
      <c r="G852">
        <v>70.900000000000006</v>
      </c>
      <c r="H852">
        <v>64.2</v>
      </c>
      <c r="I852">
        <v>64.900000000000006</v>
      </c>
      <c r="J852">
        <v>57.7</v>
      </c>
      <c r="K852">
        <v>58.1</v>
      </c>
      <c r="L852">
        <v>49.4</v>
      </c>
      <c r="M852">
        <v>50</v>
      </c>
      <c r="N852">
        <v>50.8</v>
      </c>
      <c r="O852">
        <v>51.4</v>
      </c>
      <c r="P852">
        <v>40.200000000000003</v>
      </c>
      <c r="Q852">
        <v>39.4</v>
      </c>
      <c r="R852">
        <v>20.7</v>
      </c>
      <c r="S852" t="s">
        <v>136</v>
      </c>
    </row>
    <row r="853" spans="1:19" x14ac:dyDescent="0.25">
      <c r="A853" t="s">
        <v>165</v>
      </c>
      <c r="B853">
        <v>464.8</v>
      </c>
      <c r="C853">
        <v>47.4</v>
      </c>
      <c r="D853">
        <v>49.4</v>
      </c>
      <c r="E853">
        <v>51.3</v>
      </c>
      <c r="F853">
        <v>53.2</v>
      </c>
      <c r="G853">
        <v>54.8</v>
      </c>
      <c r="H853">
        <v>57.8</v>
      </c>
      <c r="I853">
        <v>59.1</v>
      </c>
      <c r="J853">
        <v>59.3</v>
      </c>
      <c r="K853">
        <v>55.5</v>
      </c>
      <c r="L853">
        <v>60.2</v>
      </c>
      <c r="M853">
        <v>62.7</v>
      </c>
      <c r="N853">
        <v>60.5</v>
      </c>
      <c r="O853">
        <v>68.2</v>
      </c>
      <c r="P853">
        <v>66.3</v>
      </c>
      <c r="Q853">
        <v>65.400000000000006</v>
      </c>
      <c r="R853">
        <v>64.599999999999994</v>
      </c>
      <c r="S853" t="s">
        <v>136</v>
      </c>
    </row>
    <row r="854" spans="1:19" x14ac:dyDescent="0.25">
      <c r="A854" t="s">
        <v>201</v>
      </c>
      <c r="B854">
        <v>4749</v>
      </c>
      <c r="C854">
        <v>35.700000000000003</v>
      </c>
      <c r="D854">
        <v>32.299999999999997</v>
      </c>
      <c r="E854">
        <v>34.4</v>
      </c>
      <c r="F854">
        <v>28.8</v>
      </c>
      <c r="G854">
        <v>33.1</v>
      </c>
      <c r="H854">
        <v>43.2</v>
      </c>
      <c r="I854">
        <v>40.1</v>
      </c>
      <c r="J854">
        <v>45.6</v>
      </c>
      <c r="K854">
        <v>48.7</v>
      </c>
      <c r="L854">
        <v>59.4</v>
      </c>
      <c r="M854">
        <v>46</v>
      </c>
      <c r="N854">
        <v>50.7</v>
      </c>
      <c r="O854">
        <v>54.8</v>
      </c>
      <c r="P854">
        <v>60.5</v>
      </c>
      <c r="Q854">
        <v>56.1</v>
      </c>
      <c r="R854">
        <v>68.099999999999994</v>
      </c>
      <c r="S854" t="s">
        <v>136</v>
      </c>
    </row>
    <row r="855" spans="1:19" x14ac:dyDescent="0.25">
      <c r="A855" t="s">
        <v>205</v>
      </c>
      <c r="B855">
        <v>780</v>
      </c>
      <c r="C855">
        <v>32.700000000000003</v>
      </c>
      <c r="D855">
        <v>38.4</v>
      </c>
      <c r="E855">
        <v>31.4</v>
      </c>
      <c r="F855">
        <v>24.4</v>
      </c>
      <c r="G855">
        <v>31.5</v>
      </c>
      <c r="H855">
        <v>15.6</v>
      </c>
      <c r="I855">
        <v>10.5</v>
      </c>
      <c r="J855">
        <v>27.8</v>
      </c>
      <c r="K855">
        <v>9.6999999999999993</v>
      </c>
      <c r="L855">
        <v>14.3</v>
      </c>
      <c r="M855">
        <v>11.3</v>
      </c>
      <c r="N855">
        <v>46.8</v>
      </c>
      <c r="O855" t="s">
        <v>162</v>
      </c>
      <c r="P855" t="s">
        <v>162</v>
      </c>
      <c r="Q855" t="s">
        <v>162</v>
      </c>
      <c r="R855" t="s">
        <v>162</v>
      </c>
      <c r="S855" t="s">
        <v>136</v>
      </c>
    </row>
    <row r="856" spans="1:19" x14ac:dyDescent="0.25">
      <c r="A856" t="s">
        <v>200</v>
      </c>
      <c r="B856">
        <v>43.1</v>
      </c>
      <c r="C856">
        <v>26.2</v>
      </c>
      <c r="D856">
        <v>23.4</v>
      </c>
      <c r="E856">
        <v>27.7</v>
      </c>
      <c r="F856">
        <v>32.299999999999997</v>
      </c>
      <c r="G856">
        <v>33.1</v>
      </c>
      <c r="H856">
        <v>37.1</v>
      </c>
      <c r="I856">
        <v>42.5</v>
      </c>
      <c r="J856">
        <v>44.4</v>
      </c>
      <c r="K856">
        <v>46</v>
      </c>
      <c r="L856">
        <v>50.7</v>
      </c>
      <c r="M856">
        <v>55.6</v>
      </c>
      <c r="N856">
        <v>51.8</v>
      </c>
      <c r="O856">
        <v>47.9</v>
      </c>
      <c r="P856">
        <v>56.3</v>
      </c>
      <c r="Q856">
        <v>55.1</v>
      </c>
      <c r="R856">
        <v>50.9</v>
      </c>
      <c r="S856" t="s">
        <v>136</v>
      </c>
    </row>
    <row r="857" spans="1:19" x14ac:dyDescent="0.25">
      <c r="A857" t="s">
        <v>204</v>
      </c>
      <c r="B857">
        <v>1474.4</v>
      </c>
      <c r="C857">
        <v>21.3</v>
      </c>
      <c r="D857">
        <v>22.9</v>
      </c>
      <c r="E857">
        <v>23.4</v>
      </c>
      <c r="F857">
        <v>22.7</v>
      </c>
      <c r="G857">
        <v>21.8</v>
      </c>
      <c r="H857">
        <v>21</v>
      </c>
      <c r="I857">
        <v>18.3</v>
      </c>
      <c r="J857">
        <v>21.3</v>
      </c>
      <c r="K857">
        <v>19.3</v>
      </c>
      <c r="L857">
        <v>21.8</v>
      </c>
      <c r="M857" t="s">
        <v>162</v>
      </c>
      <c r="N857" t="s">
        <v>162</v>
      </c>
      <c r="O857" t="s">
        <v>162</v>
      </c>
      <c r="P857" t="s">
        <v>162</v>
      </c>
      <c r="Q857" t="s">
        <v>162</v>
      </c>
      <c r="R857" t="s">
        <v>162</v>
      </c>
      <c r="S857" t="s">
        <v>136</v>
      </c>
    </row>
    <row r="858" spans="1:19" x14ac:dyDescent="0.25">
      <c r="A858" t="s">
        <v>203</v>
      </c>
      <c r="B858">
        <v>1294</v>
      </c>
      <c r="C858">
        <v>19.399999999999999</v>
      </c>
      <c r="D858">
        <v>18.7</v>
      </c>
      <c r="E858">
        <v>22.1</v>
      </c>
      <c r="F858">
        <v>33.5</v>
      </c>
      <c r="G858">
        <v>25.9</v>
      </c>
      <c r="H858">
        <v>25.6</v>
      </c>
      <c r="I858">
        <v>15.3</v>
      </c>
      <c r="J858">
        <v>18.600000000000001</v>
      </c>
      <c r="K858">
        <v>21.8</v>
      </c>
      <c r="L858">
        <v>21.9</v>
      </c>
      <c r="M858">
        <v>27</v>
      </c>
      <c r="N858">
        <v>12.1</v>
      </c>
      <c r="O858">
        <v>13.3</v>
      </c>
      <c r="P858">
        <v>20.3</v>
      </c>
      <c r="Q858">
        <v>19.899999999999999</v>
      </c>
      <c r="R858">
        <v>9.6</v>
      </c>
      <c r="S858" t="s">
        <v>136</v>
      </c>
    </row>
    <row r="859" spans="1:19" x14ac:dyDescent="0.25">
      <c r="A859" t="s">
        <v>206</v>
      </c>
      <c r="B859">
        <v>2538.4</v>
      </c>
      <c r="C859">
        <v>12.3</v>
      </c>
      <c r="D859">
        <v>15.8</v>
      </c>
      <c r="E859">
        <v>8.6999999999999993</v>
      </c>
      <c r="F859">
        <v>10.199999999999999</v>
      </c>
      <c r="G859">
        <v>9.5</v>
      </c>
      <c r="H859">
        <v>17</v>
      </c>
      <c r="I859">
        <v>11.1</v>
      </c>
      <c r="J859">
        <v>11.6</v>
      </c>
      <c r="K859">
        <v>13.7</v>
      </c>
      <c r="L859">
        <v>3.7</v>
      </c>
      <c r="M859">
        <v>4.3</v>
      </c>
      <c r="N859">
        <v>9.8000000000000007</v>
      </c>
      <c r="O859">
        <v>5.2</v>
      </c>
      <c r="P859">
        <v>5.6</v>
      </c>
      <c r="Q859">
        <v>2.6</v>
      </c>
      <c r="R859">
        <v>3.4</v>
      </c>
      <c r="S859" t="s">
        <v>136</v>
      </c>
    </row>
    <row r="860" spans="1:19" x14ac:dyDescent="0.25">
      <c r="A860" t="s">
        <v>209</v>
      </c>
      <c r="B860">
        <v>59.6</v>
      </c>
      <c r="C860">
        <v>0.3</v>
      </c>
      <c r="D860">
        <v>0.6</v>
      </c>
      <c r="E860">
        <v>0.4</v>
      </c>
      <c r="F860">
        <v>0.4</v>
      </c>
      <c r="G860">
        <v>0.4</v>
      </c>
      <c r="H860">
        <v>0.4</v>
      </c>
      <c r="I860">
        <v>0.5</v>
      </c>
      <c r="J860">
        <v>0.6</v>
      </c>
      <c r="K860">
        <v>0.4</v>
      </c>
      <c r="L860">
        <v>0.3</v>
      </c>
      <c r="M860">
        <v>0.3</v>
      </c>
      <c r="N860">
        <v>0.2</v>
      </c>
      <c r="O860">
        <v>0.4</v>
      </c>
      <c r="P860">
        <v>0.5</v>
      </c>
      <c r="Q860">
        <v>0.4</v>
      </c>
      <c r="R860">
        <v>0.3</v>
      </c>
      <c r="S860" t="s">
        <v>136</v>
      </c>
    </row>
    <row r="861" spans="1:19" x14ac:dyDescent="0.25">
      <c r="A861" t="s">
        <v>208</v>
      </c>
      <c r="B861">
        <v>157</v>
      </c>
      <c r="C861">
        <v>0</v>
      </c>
      <c r="D861">
        <v>0.5</v>
      </c>
      <c r="E861">
        <v>0</v>
      </c>
      <c r="F861">
        <v>0</v>
      </c>
      <c r="G861">
        <v>0.2</v>
      </c>
      <c r="H861">
        <v>2.4</v>
      </c>
      <c r="I861">
        <v>0.8</v>
      </c>
      <c r="J861">
        <v>1.1000000000000001</v>
      </c>
      <c r="K861">
        <v>1.1000000000000001</v>
      </c>
      <c r="L861">
        <v>1.2</v>
      </c>
      <c r="M861">
        <v>0.6</v>
      </c>
      <c r="N861">
        <v>0.9</v>
      </c>
      <c r="O861">
        <v>1.2</v>
      </c>
      <c r="P861">
        <v>1.3</v>
      </c>
      <c r="Q861">
        <v>0.5</v>
      </c>
      <c r="R861">
        <v>0.8</v>
      </c>
      <c r="S861" t="s">
        <v>136</v>
      </c>
    </row>
    <row r="862" spans="1:19" x14ac:dyDescent="0.25">
      <c r="A862" t="s">
        <v>215</v>
      </c>
      <c r="B862" t="s">
        <v>162</v>
      </c>
      <c r="C862" t="s">
        <v>162</v>
      </c>
      <c r="D862" t="s">
        <v>162</v>
      </c>
      <c r="E862" t="s">
        <v>162</v>
      </c>
      <c r="F862" t="s">
        <v>162</v>
      </c>
      <c r="G862" t="s">
        <v>162</v>
      </c>
      <c r="H862" t="s">
        <v>162</v>
      </c>
      <c r="I862" t="s">
        <v>162</v>
      </c>
      <c r="J862" t="s">
        <v>162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1.6</v>
      </c>
      <c r="Q862">
        <v>0</v>
      </c>
      <c r="R862">
        <v>0.3</v>
      </c>
      <c r="S862" t="s">
        <v>136</v>
      </c>
    </row>
    <row r="863" spans="1:19" x14ac:dyDescent="0.25">
      <c r="A863" t="s">
        <v>219</v>
      </c>
      <c r="B863" t="s">
        <v>162</v>
      </c>
      <c r="C863" t="s">
        <v>162</v>
      </c>
      <c r="D863" t="s">
        <v>162</v>
      </c>
      <c r="E863" t="s">
        <v>162</v>
      </c>
      <c r="F863" t="s">
        <v>162</v>
      </c>
      <c r="G863" t="s">
        <v>162</v>
      </c>
      <c r="H863" t="s">
        <v>162</v>
      </c>
      <c r="I863" t="s">
        <v>162</v>
      </c>
      <c r="J863" t="s">
        <v>162</v>
      </c>
      <c r="K863">
        <v>0</v>
      </c>
      <c r="L863">
        <v>0</v>
      </c>
      <c r="M863">
        <v>0</v>
      </c>
      <c r="N863">
        <v>0</v>
      </c>
      <c r="O863">
        <v>0.2</v>
      </c>
      <c r="P863">
        <v>1.9</v>
      </c>
      <c r="Q863">
        <v>2.9</v>
      </c>
      <c r="R863">
        <v>1</v>
      </c>
      <c r="S863" t="s">
        <v>136</v>
      </c>
    </row>
    <row r="864" spans="1:19" x14ac:dyDescent="0.25">
      <c r="A864" t="s">
        <v>211</v>
      </c>
      <c r="S864" t="s">
        <v>136</v>
      </c>
    </row>
    <row r="865" spans="1:19" x14ac:dyDescent="0.25">
      <c r="A865" t="s">
        <v>220</v>
      </c>
      <c r="B865">
        <v>2943.1</v>
      </c>
      <c r="C865">
        <v>13.2</v>
      </c>
      <c r="D865">
        <v>14.3</v>
      </c>
      <c r="E865">
        <v>12.9</v>
      </c>
      <c r="F865">
        <v>13.2</v>
      </c>
      <c r="G865">
        <v>15.4</v>
      </c>
      <c r="H865">
        <v>13</v>
      </c>
      <c r="I865">
        <v>15.9</v>
      </c>
      <c r="J865">
        <v>16.600000000000001</v>
      </c>
      <c r="K865">
        <v>15.4</v>
      </c>
      <c r="L865">
        <v>15</v>
      </c>
      <c r="M865">
        <v>13.6</v>
      </c>
      <c r="N865" t="s">
        <v>162</v>
      </c>
      <c r="O865" t="s">
        <v>162</v>
      </c>
      <c r="P865" t="s">
        <v>162</v>
      </c>
      <c r="Q865" t="s">
        <v>162</v>
      </c>
      <c r="R865" t="s">
        <v>162</v>
      </c>
      <c r="S865" t="s">
        <v>136</v>
      </c>
    </row>
    <row r="866" spans="1:19" x14ac:dyDescent="0.25">
      <c r="A866" t="s">
        <v>212</v>
      </c>
      <c r="B866">
        <v>17.600000000000001</v>
      </c>
      <c r="C866">
        <v>0.4</v>
      </c>
      <c r="D866">
        <v>1.3</v>
      </c>
      <c r="E866">
        <v>4.4000000000000004</v>
      </c>
      <c r="F866">
        <v>6</v>
      </c>
      <c r="G866">
        <v>6.6</v>
      </c>
      <c r="H866" t="s">
        <v>162</v>
      </c>
      <c r="I866" t="s">
        <v>162</v>
      </c>
      <c r="J866" t="s">
        <v>162</v>
      </c>
      <c r="K866" t="s">
        <v>162</v>
      </c>
      <c r="L866" t="s">
        <v>162</v>
      </c>
      <c r="M866" t="s">
        <v>162</v>
      </c>
      <c r="N866" t="s">
        <v>162</v>
      </c>
      <c r="O866" t="s">
        <v>162</v>
      </c>
      <c r="P866" t="s">
        <v>162</v>
      </c>
      <c r="Q866" t="s">
        <v>162</v>
      </c>
      <c r="R866" t="s">
        <v>162</v>
      </c>
      <c r="S866" t="s">
        <v>136</v>
      </c>
    </row>
    <row r="867" spans="1:19" x14ac:dyDescent="0.25">
      <c r="A867" t="s">
        <v>213</v>
      </c>
      <c r="B867">
        <v>24363.3</v>
      </c>
      <c r="C867" t="s">
        <v>162</v>
      </c>
      <c r="D867" t="s">
        <v>162</v>
      </c>
      <c r="E867" t="s">
        <v>162</v>
      </c>
      <c r="F867" t="s">
        <v>162</v>
      </c>
      <c r="G867" t="s">
        <v>162</v>
      </c>
      <c r="H867" t="s">
        <v>162</v>
      </c>
      <c r="I867" t="s">
        <v>162</v>
      </c>
      <c r="J867" t="s">
        <v>162</v>
      </c>
      <c r="K867" t="s">
        <v>162</v>
      </c>
      <c r="L867" t="s">
        <v>162</v>
      </c>
      <c r="M867" t="s">
        <v>162</v>
      </c>
      <c r="N867" t="s">
        <v>162</v>
      </c>
      <c r="O867" t="s">
        <v>162</v>
      </c>
      <c r="P867" t="s">
        <v>162</v>
      </c>
      <c r="Q867" t="s">
        <v>162</v>
      </c>
      <c r="R867" t="s">
        <v>162</v>
      </c>
      <c r="S867" t="s">
        <v>136</v>
      </c>
    </row>
    <row r="868" spans="1:19" x14ac:dyDescent="0.25">
      <c r="A868" t="s">
        <v>214</v>
      </c>
      <c r="S868" t="s">
        <v>136</v>
      </c>
    </row>
    <row r="869" spans="1:19" x14ac:dyDescent="0.25">
      <c r="A869" t="s">
        <v>137</v>
      </c>
      <c r="S869" t="s">
        <v>137</v>
      </c>
    </row>
    <row r="870" spans="1:19" x14ac:dyDescent="0.25">
      <c r="A870" t="s">
        <v>198</v>
      </c>
      <c r="B870" t="s">
        <v>257</v>
      </c>
      <c r="C870" t="s">
        <v>256</v>
      </c>
      <c r="D870" t="s">
        <v>181</v>
      </c>
      <c r="E870" t="s">
        <v>180</v>
      </c>
      <c r="F870" t="s">
        <v>179</v>
      </c>
      <c r="G870" t="s">
        <v>178</v>
      </c>
      <c r="H870" t="s">
        <v>177</v>
      </c>
      <c r="I870" t="s">
        <v>176</v>
      </c>
      <c r="J870" t="s">
        <v>175</v>
      </c>
      <c r="K870" t="s">
        <v>174</v>
      </c>
      <c r="L870" t="s">
        <v>173</v>
      </c>
      <c r="M870" t="s">
        <v>172</v>
      </c>
      <c r="N870" t="s">
        <v>171</v>
      </c>
      <c r="O870" t="s">
        <v>170</v>
      </c>
      <c r="P870" t="s">
        <v>169</v>
      </c>
      <c r="Q870" t="s">
        <v>168</v>
      </c>
      <c r="R870" t="s">
        <v>167</v>
      </c>
      <c r="S870" t="s">
        <v>137</v>
      </c>
    </row>
    <row r="871" spans="1:19" x14ac:dyDescent="0.25">
      <c r="A871" t="s">
        <v>199</v>
      </c>
      <c r="S871" t="s">
        <v>137</v>
      </c>
    </row>
    <row r="872" spans="1:19" x14ac:dyDescent="0.25">
      <c r="A872" t="s">
        <v>205</v>
      </c>
      <c r="B872">
        <v>7.5</v>
      </c>
      <c r="C872">
        <v>53.4</v>
      </c>
      <c r="D872">
        <v>57.2</v>
      </c>
      <c r="E872">
        <v>55.8</v>
      </c>
      <c r="F872">
        <v>49.9</v>
      </c>
      <c r="G872">
        <v>59.8</v>
      </c>
      <c r="H872" t="s">
        <v>162</v>
      </c>
      <c r="I872" t="s">
        <v>162</v>
      </c>
      <c r="J872" t="s">
        <v>162</v>
      </c>
      <c r="K872" t="s">
        <v>162</v>
      </c>
      <c r="L872" t="s">
        <v>162</v>
      </c>
      <c r="M872" t="s">
        <v>162</v>
      </c>
      <c r="N872" t="s">
        <v>162</v>
      </c>
      <c r="O872" t="s">
        <v>162</v>
      </c>
      <c r="P872" t="s">
        <v>162</v>
      </c>
      <c r="Q872" t="s">
        <v>162</v>
      </c>
      <c r="R872" t="s">
        <v>162</v>
      </c>
      <c r="S872" t="s">
        <v>137</v>
      </c>
    </row>
    <row r="873" spans="1:19" x14ac:dyDescent="0.25">
      <c r="A873" t="s">
        <v>165</v>
      </c>
      <c r="B873">
        <v>5.4</v>
      </c>
      <c r="C873">
        <v>49.4</v>
      </c>
      <c r="D873">
        <v>67.099999999999994</v>
      </c>
      <c r="E873">
        <v>67.900000000000006</v>
      </c>
      <c r="F873">
        <v>28.5</v>
      </c>
      <c r="G873">
        <v>0</v>
      </c>
      <c r="H873" t="s">
        <v>162</v>
      </c>
      <c r="I873" t="s">
        <v>162</v>
      </c>
      <c r="J873" t="s">
        <v>162</v>
      </c>
      <c r="K873" t="s">
        <v>162</v>
      </c>
      <c r="L873" t="s">
        <v>162</v>
      </c>
      <c r="M873" t="s">
        <v>162</v>
      </c>
      <c r="N873" t="s">
        <v>162</v>
      </c>
      <c r="O873" t="s">
        <v>162</v>
      </c>
      <c r="P873" t="s">
        <v>162</v>
      </c>
      <c r="Q873" t="s">
        <v>162</v>
      </c>
      <c r="R873" t="s">
        <v>162</v>
      </c>
      <c r="S873" t="s">
        <v>137</v>
      </c>
    </row>
    <row r="874" spans="1:19" x14ac:dyDescent="0.25">
      <c r="A874" t="s">
        <v>202</v>
      </c>
      <c r="B874">
        <v>295</v>
      </c>
      <c r="C874">
        <v>41.1</v>
      </c>
      <c r="D874">
        <v>29.7</v>
      </c>
      <c r="E874">
        <v>22.7</v>
      </c>
      <c r="F874">
        <v>29.2</v>
      </c>
      <c r="G874">
        <v>33.200000000000003</v>
      </c>
      <c r="H874">
        <v>34.1</v>
      </c>
      <c r="I874">
        <v>21.9</v>
      </c>
      <c r="J874">
        <v>28.3</v>
      </c>
      <c r="K874">
        <v>24.3</v>
      </c>
      <c r="L874">
        <v>14.1</v>
      </c>
      <c r="M874">
        <v>17</v>
      </c>
      <c r="N874">
        <v>1</v>
      </c>
      <c r="O874" t="s">
        <v>162</v>
      </c>
      <c r="P874" t="s">
        <v>162</v>
      </c>
      <c r="Q874" t="s">
        <v>162</v>
      </c>
      <c r="R874" t="s">
        <v>162</v>
      </c>
      <c r="S874" t="s">
        <v>137</v>
      </c>
    </row>
    <row r="875" spans="1:19" x14ac:dyDescent="0.25">
      <c r="A875" t="s">
        <v>216</v>
      </c>
      <c r="B875">
        <v>2800</v>
      </c>
      <c r="C875">
        <v>37.9</v>
      </c>
      <c r="D875">
        <v>42.5</v>
      </c>
      <c r="E875">
        <v>39.700000000000003</v>
      </c>
      <c r="F875">
        <v>38.799999999999997</v>
      </c>
      <c r="G875">
        <v>35</v>
      </c>
      <c r="H875">
        <v>38.200000000000003</v>
      </c>
      <c r="I875">
        <v>40.299999999999997</v>
      </c>
      <c r="J875" t="s">
        <v>162</v>
      </c>
      <c r="K875" t="s">
        <v>162</v>
      </c>
      <c r="L875" t="s">
        <v>162</v>
      </c>
      <c r="M875" t="s">
        <v>162</v>
      </c>
      <c r="N875" t="s">
        <v>162</v>
      </c>
      <c r="O875" t="s">
        <v>162</v>
      </c>
      <c r="P875" t="s">
        <v>162</v>
      </c>
      <c r="Q875" t="s">
        <v>162</v>
      </c>
      <c r="R875" t="s">
        <v>162</v>
      </c>
      <c r="S875" t="s">
        <v>137</v>
      </c>
    </row>
    <row r="876" spans="1:19" x14ac:dyDescent="0.25">
      <c r="A876" t="s">
        <v>201</v>
      </c>
      <c r="B876">
        <v>475</v>
      </c>
      <c r="C876">
        <v>37.700000000000003</v>
      </c>
      <c r="D876">
        <v>45.1</v>
      </c>
      <c r="E876">
        <v>39.5</v>
      </c>
      <c r="F876">
        <v>39.6</v>
      </c>
      <c r="G876">
        <v>63.1</v>
      </c>
      <c r="H876">
        <v>56.4</v>
      </c>
      <c r="I876">
        <v>49.7</v>
      </c>
      <c r="J876">
        <v>50.1</v>
      </c>
      <c r="K876">
        <v>36</v>
      </c>
      <c r="L876">
        <v>64.7</v>
      </c>
      <c r="M876">
        <v>65.599999999999994</v>
      </c>
      <c r="N876">
        <v>67</v>
      </c>
      <c r="O876">
        <v>59.6</v>
      </c>
      <c r="P876">
        <v>75.900000000000006</v>
      </c>
      <c r="Q876">
        <v>74.900000000000006</v>
      </c>
      <c r="R876">
        <v>84.7</v>
      </c>
      <c r="S876" t="s">
        <v>137</v>
      </c>
    </row>
    <row r="877" spans="1:19" x14ac:dyDescent="0.25">
      <c r="A877" t="s">
        <v>203</v>
      </c>
      <c r="B877">
        <v>1598</v>
      </c>
      <c r="C877">
        <v>30.7</v>
      </c>
      <c r="D877">
        <v>30.4</v>
      </c>
      <c r="E877">
        <v>35.6</v>
      </c>
      <c r="F877">
        <v>41.5</v>
      </c>
      <c r="G877">
        <v>56.5</v>
      </c>
      <c r="H877">
        <v>44.8</v>
      </c>
      <c r="I877">
        <v>37.5</v>
      </c>
      <c r="J877">
        <v>32.200000000000003</v>
      </c>
      <c r="K877">
        <v>34.700000000000003</v>
      </c>
      <c r="L877">
        <v>39.299999999999997</v>
      </c>
      <c r="M877">
        <v>29</v>
      </c>
      <c r="N877">
        <v>42.6</v>
      </c>
      <c r="O877">
        <v>47.3</v>
      </c>
      <c r="P877">
        <v>37.5</v>
      </c>
      <c r="Q877">
        <v>29.8</v>
      </c>
      <c r="R877">
        <v>21.8</v>
      </c>
      <c r="S877" t="s">
        <v>137</v>
      </c>
    </row>
    <row r="878" spans="1:19" x14ac:dyDescent="0.25">
      <c r="A878" t="s">
        <v>215</v>
      </c>
      <c r="B878">
        <v>63.9</v>
      </c>
      <c r="C878">
        <v>17.2</v>
      </c>
      <c r="D878">
        <v>9.4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0.1</v>
      </c>
      <c r="O878">
        <v>0</v>
      </c>
      <c r="P878">
        <v>0</v>
      </c>
      <c r="Q878">
        <v>0</v>
      </c>
      <c r="R878">
        <v>0.1</v>
      </c>
      <c r="S878" t="s">
        <v>137</v>
      </c>
    </row>
    <row r="879" spans="1:19" x14ac:dyDescent="0.25">
      <c r="A879" t="s">
        <v>204</v>
      </c>
      <c r="B879">
        <v>21.2</v>
      </c>
      <c r="C879">
        <v>16.2</v>
      </c>
      <c r="D879">
        <v>23.6</v>
      </c>
      <c r="E879">
        <v>22.9</v>
      </c>
      <c r="F879">
        <v>23.3</v>
      </c>
      <c r="G879">
        <v>20.9</v>
      </c>
      <c r="H879">
        <v>19.100000000000001</v>
      </c>
      <c r="I879">
        <v>23.5</v>
      </c>
      <c r="J879">
        <v>11.5</v>
      </c>
      <c r="K879" t="s">
        <v>162</v>
      </c>
      <c r="L879" t="s">
        <v>162</v>
      </c>
      <c r="M879" t="s">
        <v>162</v>
      </c>
      <c r="N879" t="s">
        <v>162</v>
      </c>
      <c r="O879" t="s">
        <v>162</v>
      </c>
      <c r="P879" t="s">
        <v>162</v>
      </c>
      <c r="Q879" t="s">
        <v>162</v>
      </c>
      <c r="R879" t="s">
        <v>162</v>
      </c>
      <c r="S879" t="s">
        <v>137</v>
      </c>
    </row>
    <row r="880" spans="1:19" x14ac:dyDescent="0.25">
      <c r="A880" t="s">
        <v>206</v>
      </c>
      <c r="B880">
        <v>893.7</v>
      </c>
      <c r="C880">
        <v>11.6</v>
      </c>
      <c r="D880">
        <v>7.1</v>
      </c>
      <c r="E880">
        <v>9.4</v>
      </c>
      <c r="F880">
        <v>5.6</v>
      </c>
      <c r="G880">
        <v>4.7</v>
      </c>
      <c r="H880">
        <v>4.8</v>
      </c>
      <c r="I880">
        <v>1.6</v>
      </c>
      <c r="J880">
        <v>3.2</v>
      </c>
      <c r="K880">
        <v>2.8</v>
      </c>
      <c r="L880">
        <v>1.8</v>
      </c>
      <c r="M880">
        <v>1</v>
      </c>
      <c r="N880">
        <v>3.3</v>
      </c>
      <c r="O880">
        <v>2.2999999999999998</v>
      </c>
      <c r="P880">
        <v>2.4</v>
      </c>
      <c r="Q880">
        <v>1.4</v>
      </c>
      <c r="R880">
        <v>3.8</v>
      </c>
      <c r="S880" t="s">
        <v>137</v>
      </c>
    </row>
    <row r="881" spans="1:19" x14ac:dyDescent="0.25">
      <c r="A881" t="s">
        <v>208</v>
      </c>
      <c r="B881">
        <v>184.4</v>
      </c>
      <c r="C881">
        <v>1.6</v>
      </c>
      <c r="D881">
        <v>1.7</v>
      </c>
      <c r="E881">
        <v>2.1</v>
      </c>
      <c r="F881">
        <v>0.7</v>
      </c>
      <c r="G881">
        <v>1.2</v>
      </c>
      <c r="H881">
        <v>0.7</v>
      </c>
      <c r="I881">
        <v>0.2</v>
      </c>
      <c r="J881">
        <v>0.2</v>
      </c>
      <c r="K881">
        <v>0.2</v>
      </c>
      <c r="L881">
        <v>0.2</v>
      </c>
      <c r="M881">
        <v>0.2</v>
      </c>
      <c r="N881">
        <v>0.1</v>
      </c>
      <c r="O881">
        <v>0.1</v>
      </c>
      <c r="P881">
        <v>0</v>
      </c>
      <c r="Q881">
        <v>0.1</v>
      </c>
      <c r="R881">
        <v>0.3</v>
      </c>
      <c r="S881" t="s">
        <v>137</v>
      </c>
    </row>
    <row r="882" spans="1:19" x14ac:dyDescent="0.25">
      <c r="A882" t="s">
        <v>209</v>
      </c>
      <c r="B882">
        <v>29.7</v>
      </c>
      <c r="C882">
        <v>0</v>
      </c>
      <c r="D882">
        <v>0</v>
      </c>
      <c r="E882">
        <v>0.2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0.1</v>
      </c>
      <c r="N882">
        <v>0.2</v>
      </c>
      <c r="O882">
        <v>0.2</v>
      </c>
      <c r="P882">
        <v>0.2</v>
      </c>
      <c r="Q882">
        <v>0.2</v>
      </c>
      <c r="R882">
        <v>0.3</v>
      </c>
      <c r="S882" t="s">
        <v>137</v>
      </c>
    </row>
    <row r="883" spans="1:19" x14ac:dyDescent="0.25">
      <c r="A883" t="s">
        <v>166</v>
      </c>
      <c r="B883" t="s">
        <v>162</v>
      </c>
      <c r="C883" t="s">
        <v>162</v>
      </c>
      <c r="D883" t="s">
        <v>162</v>
      </c>
      <c r="E883" t="s">
        <v>162</v>
      </c>
      <c r="F883" t="s">
        <v>162</v>
      </c>
      <c r="G883" t="s">
        <v>162</v>
      </c>
      <c r="H883" t="s">
        <v>162</v>
      </c>
      <c r="I883" t="s">
        <v>162</v>
      </c>
      <c r="J883">
        <v>42.8</v>
      </c>
      <c r="K883">
        <v>40.299999999999997</v>
      </c>
      <c r="L883">
        <v>41.6</v>
      </c>
      <c r="M883">
        <v>38.799999999999997</v>
      </c>
      <c r="N883">
        <v>41.8</v>
      </c>
      <c r="O883">
        <v>39.5</v>
      </c>
      <c r="P883">
        <v>38.4</v>
      </c>
      <c r="Q883">
        <v>35.1</v>
      </c>
      <c r="R883">
        <v>36.799999999999997</v>
      </c>
      <c r="S883" t="s">
        <v>137</v>
      </c>
    </row>
    <row r="884" spans="1:19" x14ac:dyDescent="0.25">
      <c r="A884" t="s">
        <v>211</v>
      </c>
      <c r="S884" t="s">
        <v>137</v>
      </c>
    </row>
    <row r="885" spans="1:19" x14ac:dyDescent="0.25">
      <c r="A885" t="s">
        <v>212</v>
      </c>
      <c r="B885">
        <v>0.8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 t="s">
        <v>162</v>
      </c>
      <c r="J885" t="s">
        <v>162</v>
      </c>
      <c r="K885" t="s">
        <v>162</v>
      </c>
      <c r="L885" t="s">
        <v>162</v>
      </c>
      <c r="M885" t="s">
        <v>162</v>
      </c>
      <c r="N885" t="s">
        <v>162</v>
      </c>
      <c r="O885" t="s">
        <v>162</v>
      </c>
      <c r="P885" t="s">
        <v>162</v>
      </c>
      <c r="Q885" t="s">
        <v>162</v>
      </c>
      <c r="R885" t="s">
        <v>162</v>
      </c>
      <c r="S885" t="s">
        <v>137</v>
      </c>
    </row>
    <row r="886" spans="1:19" x14ac:dyDescent="0.25">
      <c r="A886" t="s">
        <v>213</v>
      </c>
      <c r="B886">
        <v>6374.5</v>
      </c>
      <c r="C886" t="s">
        <v>162</v>
      </c>
      <c r="D886" t="s">
        <v>162</v>
      </c>
      <c r="E886" t="s">
        <v>162</v>
      </c>
      <c r="F886" t="s">
        <v>162</v>
      </c>
      <c r="G886" t="s">
        <v>162</v>
      </c>
      <c r="H886" t="s">
        <v>162</v>
      </c>
      <c r="I886" t="s">
        <v>162</v>
      </c>
      <c r="J886" t="s">
        <v>162</v>
      </c>
      <c r="K886" t="s">
        <v>162</v>
      </c>
      <c r="L886" t="s">
        <v>162</v>
      </c>
      <c r="M886" t="s">
        <v>162</v>
      </c>
      <c r="N886" t="s">
        <v>162</v>
      </c>
      <c r="O886" t="s">
        <v>162</v>
      </c>
      <c r="P886" t="s">
        <v>162</v>
      </c>
      <c r="Q886" t="s">
        <v>162</v>
      </c>
      <c r="R886" t="s">
        <v>162</v>
      </c>
      <c r="S886" t="s">
        <v>137</v>
      </c>
    </row>
    <row r="887" spans="1:19" x14ac:dyDescent="0.25">
      <c r="A887" t="s">
        <v>214</v>
      </c>
      <c r="S887" t="s">
        <v>137</v>
      </c>
    </row>
    <row r="888" spans="1:19" x14ac:dyDescent="0.25">
      <c r="A888" t="s">
        <v>138</v>
      </c>
      <c r="S888" t="s">
        <v>138</v>
      </c>
    </row>
    <row r="889" spans="1:19" x14ac:dyDescent="0.25">
      <c r="A889" t="s">
        <v>198</v>
      </c>
      <c r="B889" t="s">
        <v>257</v>
      </c>
      <c r="C889" t="s">
        <v>256</v>
      </c>
      <c r="D889" t="s">
        <v>181</v>
      </c>
      <c r="E889" t="s">
        <v>180</v>
      </c>
      <c r="F889" t="s">
        <v>179</v>
      </c>
      <c r="G889" t="s">
        <v>178</v>
      </c>
      <c r="H889" t="s">
        <v>177</v>
      </c>
      <c r="I889" t="s">
        <v>176</v>
      </c>
      <c r="J889" t="s">
        <v>175</v>
      </c>
      <c r="K889" t="s">
        <v>174</v>
      </c>
      <c r="L889" t="s">
        <v>173</v>
      </c>
      <c r="M889" t="s">
        <v>172</v>
      </c>
      <c r="N889" t="s">
        <v>171</v>
      </c>
      <c r="O889" t="s">
        <v>170</v>
      </c>
      <c r="P889" t="s">
        <v>169</v>
      </c>
      <c r="Q889" t="s">
        <v>168</v>
      </c>
      <c r="R889" t="s">
        <v>167</v>
      </c>
      <c r="S889" t="s">
        <v>138</v>
      </c>
    </row>
    <row r="890" spans="1:19" x14ac:dyDescent="0.25">
      <c r="A890" t="s">
        <v>199</v>
      </c>
      <c r="S890" t="s">
        <v>138</v>
      </c>
    </row>
    <row r="891" spans="1:19" x14ac:dyDescent="0.25">
      <c r="A891" t="s">
        <v>163</v>
      </c>
      <c r="B891">
        <v>4522.7</v>
      </c>
      <c r="C891">
        <v>95.8</v>
      </c>
      <c r="D891">
        <v>90</v>
      </c>
      <c r="E891">
        <v>89.2</v>
      </c>
      <c r="F891">
        <v>92.3</v>
      </c>
      <c r="G891">
        <v>90.2</v>
      </c>
      <c r="H891">
        <v>91.3</v>
      </c>
      <c r="I891">
        <v>80.5</v>
      </c>
      <c r="J891">
        <v>84.9</v>
      </c>
      <c r="K891">
        <v>83.8</v>
      </c>
      <c r="L891">
        <v>92.9</v>
      </c>
      <c r="M891">
        <v>95.6</v>
      </c>
      <c r="N891">
        <v>84</v>
      </c>
      <c r="O891">
        <v>90.4</v>
      </c>
      <c r="P891">
        <v>93.1</v>
      </c>
      <c r="Q891">
        <v>90.5</v>
      </c>
      <c r="R891">
        <v>90.6</v>
      </c>
      <c r="S891" t="s">
        <v>138</v>
      </c>
    </row>
    <row r="892" spans="1:19" x14ac:dyDescent="0.25">
      <c r="A892" t="s">
        <v>200</v>
      </c>
      <c r="B892">
        <v>9.4</v>
      </c>
      <c r="C892">
        <v>61</v>
      </c>
      <c r="D892">
        <v>57.5</v>
      </c>
      <c r="E892">
        <v>57.5</v>
      </c>
      <c r="F892">
        <v>66</v>
      </c>
      <c r="G892">
        <v>62.8</v>
      </c>
      <c r="H892">
        <v>62.2</v>
      </c>
      <c r="I892">
        <v>66.900000000000006</v>
      </c>
      <c r="J892">
        <v>67.599999999999994</v>
      </c>
      <c r="K892">
        <v>61.3</v>
      </c>
      <c r="L892">
        <v>67.7</v>
      </c>
      <c r="M892">
        <v>72.400000000000006</v>
      </c>
      <c r="N892">
        <v>59.3</v>
      </c>
      <c r="O892">
        <v>30.1</v>
      </c>
      <c r="P892">
        <v>23.1</v>
      </c>
      <c r="Q892">
        <v>35.200000000000003</v>
      </c>
      <c r="R892">
        <v>33.200000000000003</v>
      </c>
      <c r="S892" t="s">
        <v>138</v>
      </c>
    </row>
    <row r="893" spans="1:19" x14ac:dyDescent="0.25">
      <c r="A893" t="s">
        <v>202</v>
      </c>
      <c r="B893">
        <v>2455.1</v>
      </c>
      <c r="C893">
        <v>60.3</v>
      </c>
      <c r="D893">
        <v>62.7</v>
      </c>
      <c r="E893">
        <v>50.7</v>
      </c>
      <c r="F893">
        <v>57</v>
      </c>
      <c r="G893">
        <v>64.8</v>
      </c>
      <c r="H893">
        <v>55.4</v>
      </c>
      <c r="I893">
        <v>67.900000000000006</v>
      </c>
      <c r="J893">
        <v>69.599999999999994</v>
      </c>
      <c r="K893">
        <v>64.599999999999994</v>
      </c>
      <c r="L893">
        <v>44.4</v>
      </c>
      <c r="M893">
        <v>29.3</v>
      </c>
      <c r="N893">
        <v>65.5</v>
      </c>
      <c r="O893">
        <v>57.6</v>
      </c>
      <c r="P893">
        <v>71.400000000000006</v>
      </c>
      <c r="Q893" t="s">
        <v>162</v>
      </c>
      <c r="R893" t="s">
        <v>162</v>
      </c>
      <c r="S893" t="s">
        <v>138</v>
      </c>
    </row>
    <row r="894" spans="1:19" x14ac:dyDescent="0.25">
      <c r="A894" t="s">
        <v>205</v>
      </c>
      <c r="B894">
        <v>130.30000000000001</v>
      </c>
      <c r="C894">
        <v>47.8</v>
      </c>
      <c r="D894">
        <v>45.1</v>
      </c>
      <c r="E894">
        <v>74.8</v>
      </c>
      <c r="F894">
        <v>76.400000000000006</v>
      </c>
      <c r="G894">
        <v>73.2</v>
      </c>
      <c r="H894">
        <v>77.099999999999994</v>
      </c>
      <c r="I894">
        <v>76.400000000000006</v>
      </c>
      <c r="J894">
        <v>76.400000000000006</v>
      </c>
      <c r="K894" t="s">
        <v>162</v>
      </c>
      <c r="L894">
        <v>78.099999999999994</v>
      </c>
      <c r="M894" t="s">
        <v>162</v>
      </c>
      <c r="N894" t="s">
        <v>162</v>
      </c>
      <c r="O894" t="s">
        <v>162</v>
      </c>
      <c r="P894">
        <v>3</v>
      </c>
      <c r="Q894">
        <v>11.6</v>
      </c>
      <c r="R894" t="s">
        <v>162</v>
      </c>
      <c r="S894" t="s">
        <v>138</v>
      </c>
    </row>
    <row r="895" spans="1:19" x14ac:dyDescent="0.25">
      <c r="A895" t="s">
        <v>203</v>
      </c>
      <c r="B895">
        <v>2608.6</v>
      </c>
      <c r="C895">
        <v>35.200000000000003</v>
      </c>
      <c r="D895">
        <v>40.299999999999997</v>
      </c>
      <c r="E895">
        <v>47.6</v>
      </c>
      <c r="F895">
        <v>58.7</v>
      </c>
      <c r="G895">
        <v>44.2</v>
      </c>
      <c r="H895">
        <v>44.9</v>
      </c>
      <c r="I895">
        <v>37.9</v>
      </c>
      <c r="J895">
        <v>29.5</v>
      </c>
      <c r="K895">
        <v>41.8</v>
      </c>
      <c r="L895">
        <v>38.799999999999997</v>
      </c>
      <c r="M895">
        <v>54.3</v>
      </c>
      <c r="N895">
        <v>36.1</v>
      </c>
      <c r="O895">
        <v>41.8</v>
      </c>
      <c r="P895">
        <v>35.4</v>
      </c>
      <c r="Q895">
        <v>44.6</v>
      </c>
      <c r="R895">
        <v>24.4</v>
      </c>
      <c r="S895" t="s">
        <v>138</v>
      </c>
    </row>
    <row r="896" spans="1:19" x14ac:dyDescent="0.25">
      <c r="A896" t="s">
        <v>165</v>
      </c>
      <c r="B896">
        <v>135.5</v>
      </c>
      <c r="C896">
        <v>35</v>
      </c>
      <c r="D896">
        <v>37.1</v>
      </c>
      <c r="E896">
        <v>47.7</v>
      </c>
      <c r="F896">
        <v>51.4</v>
      </c>
      <c r="G896">
        <v>61.1</v>
      </c>
      <c r="H896">
        <v>64.099999999999994</v>
      </c>
      <c r="I896">
        <v>61.2</v>
      </c>
      <c r="J896">
        <v>60.5</v>
      </c>
      <c r="K896">
        <v>66.599999999999994</v>
      </c>
      <c r="L896">
        <v>65.3</v>
      </c>
      <c r="M896">
        <v>63.9</v>
      </c>
      <c r="N896">
        <v>46.4</v>
      </c>
      <c r="O896">
        <v>63.7</v>
      </c>
      <c r="P896">
        <v>68.599999999999994</v>
      </c>
      <c r="Q896">
        <v>66.3</v>
      </c>
      <c r="R896">
        <v>71.099999999999994</v>
      </c>
      <c r="S896" t="s">
        <v>138</v>
      </c>
    </row>
    <row r="897" spans="1:19" x14ac:dyDescent="0.25">
      <c r="A897" t="s">
        <v>201</v>
      </c>
      <c r="B897">
        <v>5530.4</v>
      </c>
      <c r="C897">
        <v>33.1</v>
      </c>
      <c r="D897">
        <v>31.8</v>
      </c>
      <c r="E897">
        <v>36.6</v>
      </c>
      <c r="F897">
        <v>28.7</v>
      </c>
      <c r="G897">
        <v>37.4</v>
      </c>
      <c r="H897">
        <v>40.4</v>
      </c>
      <c r="I897">
        <v>45.4</v>
      </c>
      <c r="J897">
        <v>50.6</v>
      </c>
      <c r="K897">
        <v>45.3</v>
      </c>
      <c r="L897">
        <v>52.3</v>
      </c>
      <c r="M897">
        <v>45.3</v>
      </c>
      <c r="N897">
        <v>50.5</v>
      </c>
      <c r="O897">
        <v>54.6</v>
      </c>
      <c r="P897">
        <v>56.9</v>
      </c>
      <c r="Q897">
        <v>54.2</v>
      </c>
      <c r="R897">
        <v>68</v>
      </c>
      <c r="S897" t="s">
        <v>138</v>
      </c>
    </row>
    <row r="898" spans="1:19" x14ac:dyDescent="0.25">
      <c r="A898" t="s">
        <v>204</v>
      </c>
      <c r="B898">
        <v>475.4</v>
      </c>
      <c r="C898">
        <v>22.3</v>
      </c>
      <c r="D898">
        <v>24.8</v>
      </c>
      <c r="E898">
        <v>21.2</v>
      </c>
      <c r="F898">
        <v>20.3</v>
      </c>
      <c r="G898">
        <v>20.8</v>
      </c>
      <c r="H898">
        <v>19.5</v>
      </c>
      <c r="I898">
        <v>14.2</v>
      </c>
      <c r="J898">
        <v>19.8</v>
      </c>
      <c r="K898">
        <v>19.2</v>
      </c>
      <c r="L898">
        <v>18.399999999999999</v>
      </c>
      <c r="M898">
        <v>17.5</v>
      </c>
      <c r="N898">
        <v>24.2</v>
      </c>
      <c r="O898" t="s">
        <v>162</v>
      </c>
      <c r="P898" t="s">
        <v>162</v>
      </c>
      <c r="Q898" t="s">
        <v>162</v>
      </c>
      <c r="R898" t="s">
        <v>162</v>
      </c>
      <c r="S898" t="s">
        <v>138</v>
      </c>
    </row>
    <row r="899" spans="1:19" x14ac:dyDescent="0.25">
      <c r="A899" t="s">
        <v>216</v>
      </c>
      <c r="B899">
        <v>29.1</v>
      </c>
      <c r="C899">
        <v>6.4</v>
      </c>
      <c r="D899">
        <v>5.8</v>
      </c>
      <c r="E899">
        <v>11.1</v>
      </c>
      <c r="F899">
        <v>15.3</v>
      </c>
      <c r="G899">
        <v>14.9</v>
      </c>
      <c r="H899">
        <v>16.100000000000001</v>
      </c>
      <c r="I899">
        <v>17</v>
      </c>
      <c r="J899" t="s">
        <v>162</v>
      </c>
      <c r="K899" t="s">
        <v>162</v>
      </c>
      <c r="L899" t="s">
        <v>162</v>
      </c>
      <c r="M899" t="s">
        <v>162</v>
      </c>
      <c r="N899" t="s">
        <v>162</v>
      </c>
      <c r="O899" t="s">
        <v>162</v>
      </c>
      <c r="P899" t="s">
        <v>162</v>
      </c>
      <c r="Q899" t="s">
        <v>162</v>
      </c>
      <c r="R899" t="s">
        <v>162</v>
      </c>
      <c r="S899" t="s">
        <v>138</v>
      </c>
    </row>
    <row r="900" spans="1:19" x14ac:dyDescent="0.25">
      <c r="A900" t="s">
        <v>206</v>
      </c>
      <c r="B900">
        <v>3405.3</v>
      </c>
      <c r="C900">
        <v>4.7</v>
      </c>
      <c r="D900">
        <v>7.8</v>
      </c>
      <c r="E900">
        <v>6.7</v>
      </c>
      <c r="F900">
        <v>7.4</v>
      </c>
      <c r="G900">
        <v>6.6</v>
      </c>
      <c r="H900">
        <v>7.7</v>
      </c>
      <c r="I900">
        <v>4.3</v>
      </c>
      <c r="J900">
        <v>7.2</v>
      </c>
      <c r="K900">
        <v>3.5</v>
      </c>
      <c r="L900">
        <v>2.1</v>
      </c>
      <c r="M900">
        <v>1.9</v>
      </c>
      <c r="N900">
        <v>4.5999999999999996</v>
      </c>
      <c r="O900">
        <v>1.3</v>
      </c>
      <c r="P900">
        <v>2.5</v>
      </c>
      <c r="Q900">
        <v>1.1000000000000001</v>
      </c>
      <c r="R900">
        <v>1.3</v>
      </c>
      <c r="S900" t="s">
        <v>138</v>
      </c>
    </row>
    <row r="901" spans="1:19" x14ac:dyDescent="0.25">
      <c r="A901" t="s">
        <v>209</v>
      </c>
      <c r="B901">
        <v>43.2</v>
      </c>
      <c r="C901">
        <v>0.1</v>
      </c>
      <c r="D901">
        <v>1.8</v>
      </c>
      <c r="E901">
        <v>0.1</v>
      </c>
      <c r="F901">
        <v>0.1</v>
      </c>
      <c r="G901">
        <v>0.1</v>
      </c>
      <c r="H901">
        <v>0.5</v>
      </c>
      <c r="I901">
        <v>0.1</v>
      </c>
      <c r="J901">
        <v>0</v>
      </c>
      <c r="K901">
        <v>0</v>
      </c>
      <c r="L901">
        <v>0.2</v>
      </c>
      <c r="M901">
        <v>0</v>
      </c>
      <c r="N901">
        <v>0.1</v>
      </c>
      <c r="O901">
        <v>0</v>
      </c>
      <c r="P901">
        <v>0.4</v>
      </c>
      <c r="Q901">
        <v>0.5</v>
      </c>
      <c r="R901">
        <v>0.3</v>
      </c>
      <c r="S901" t="s">
        <v>138</v>
      </c>
    </row>
    <row r="902" spans="1:19" x14ac:dyDescent="0.25">
      <c r="A902" t="s">
        <v>215</v>
      </c>
      <c r="B902">
        <v>3.2</v>
      </c>
      <c r="C902">
        <v>0</v>
      </c>
      <c r="D902">
        <v>0</v>
      </c>
      <c r="E902">
        <v>63.8</v>
      </c>
      <c r="F902">
        <v>60.4</v>
      </c>
      <c r="G902">
        <v>61.6</v>
      </c>
      <c r="H902">
        <v>49.7</v>
      </c>
      <c r="I902">
        <v>50.2</v>
      </c>
      <c r="J902">
        <v>7.8</v>
      </c>
      <c r="K902">
        <v>0</v>
      </c>
      <c r="L902">
        <v>25.7</v>
      </c>
      <c r="M902" t="s">
        <v>162</v>
      </c>
      <c r="N902" t="s">
        <v>162</v>
      </c>
      <c r="O902" t="s">
        <v>162</v>
      </c>
      <c r="P902" t="s">
        <v>162</v>
      </c>
      <c r="Q902" t="s">
        <v>162</v>
      </c>
      <c r="R902" t="s">
        <v>162</v>
      </c>
      <c r="S902" t="s">
        <v>138</v>
      </c>
    </row>
    <row r="903" spans="1:19" x14ac:dyDescent="0.25">
      <c r="A903" t="s">
        <v>208</v>
      </c>
      <c r="B903">
        <v>427.2</v>
      </c>
      <c r="C903">
        <v>0</v>
      </c>
      <c r="D903">
        <v>0</v>
      </c>
      <c r="E903" t="s">
        <v>162</v>
      </c>
      <c r="F903" t="s">
        <v>162</v>
      </c>
      <c r="G903" t="s">
        <v>162</v>
      </c>
      <c r="H903" t="s">
        <v>162</v>
      </c>
      <c r="I903" t="s">
        <v>162</v>
      </c>
      <c r="J903" t="s">
        <v>162</v>
      </c>
      <c r="K903" t="s">
        <v>162</v>
      </c>
      <c r="L903" t="s">
        <v>162</v>
      </c>
      <c r="M903" t="s">
        <v>162</v>
      </c>
      <c r="N903" t="s">
        <v>162</v>
      </c>
      <c r="O903" t="s">
        <v>162</v>
      </c>
      <c r="P903" t="s">
        <v>162</v>
      </c>
      <c r="Q903" t="s">
        <v>162</v>
      </c>
      <c r="R903" t="s">
        <v>162</v>
      </c>
      <c r="S903" t="s">
        <v>138</v>
      </c>
    </row>
    <row r="904" spans="1:19" x14ac:dyDescent="0.25">
      <c r="A904" t="s">
        <v>166</v>
      </c>
      <c r="B904" t="s">
        <v>162</v>
      </c>
      <c r="C904" t="s">
        <v>162</v>
      </c>
      <c r="D904" t="s">
        <v>162</v>
      </c>
      <c r="E904" t="s">
        <v>162</v>
      </c>
      <c r="F904" t="s">
        <v>162</v>
      </c>
      <c r="G904" t="s">
        <v>162</v>
      </c>
      <c r="H904" t="s">
        <v>162</v>
      </c>
      <c r="I904" t="s">
        <v>162</v>
      </c>
      <c r="J904">
        <v>14.8</v>
      </c>
      <c r="K904">
        <v>18</v>
      </c>
      <c r="L904">
        <v>20.100000000000001</v>
      </c>
      <c r="M904">
        <v>18.3</v>
      </c>
      <c r="N904">
        <v>18.600000000000001</v>
      </c>
      <c r="O904">
        <v>20.8</v>
      </c>
      <c r="P904">
        <v>15.9</v>
      </c>
      <c r="Q904">
        <v>20.3</v>
      </c>
      <c r="R904">
        <v>19.600000000000001</v>
      </c>
      <c r="S904" t="s">
        <v>138</v>
      </c>
    </row>
    <row r="905" spans="1:19" x14ac:dyDescent="0.25">
      <c r="A905" t="s">
        <v>211</v>
      </c>
      <c r="S905" t="s">
        <v>138</v>
      </c>
    </row>
    <row r="906" spans="1:19" x14ac:dyDescent="0.25">
      <c r="A906" t="s">
        <v>220</v>
      </c>
      <c r="B906">
        <v>1616.3</v>
      </c>
      <c r="C906">
        <v>15.7</v>
      </c>
      <c r="D906">
        <v>13.6</v>
      </c>
      <c r="E906">
        <v>16.2</v>
      </c>
      <c r="F906">
        <v>20</v>
      </c>
      <c r="G906">
        <v>16.8</v>
      </c>
      <c r="H906">
        <v>17.100000000000001</v>
      </c>
      <c r="I906">
        <v>18.8</v>
      </c>
      <c r="J906">
        <v>19.399999999999999</v>
      </c>
      <c r="K906">
        <v>14.9</v>
      </c>
      <c r="L906">
        <v>8.5</v>
      </c>
      <c r="M906">
        <v>0.6</v>
      </c>
      <c r="N906" t="s">
        <v>162</v>
      </c>
      <c r="O906" t="s">
        <v>162</v>
      </c>
      <c r="P906" t="s">
        <v>162</v>
      </c>
      <c r="Q906" t="s">
        <v>162</v>
      </c>
      <c r="R906" t="s">
        <v>162</v>
      </c>
      <c r="S906" t="s">
        <v>138</v>
      </c>
    </row>
    <row r="907" spans="1:19" x14ac:dyDescent="0.25">
      <c r="A907" t="s">
        <v>213</v>
      </c>
      <c r="B907">
        <v>21391.7</v>
      </c>
      <c r="C907" t="s">
        <v>162</v>
      </c>
      <c r="D907" t="s">
        <v>162</v>
      </c>
      <c r="E907" t="s">
        <v>162</v>
      </c>
      <c r="F907" t="s">
        <v>162</v>
      </c>
      <c r="G907" t="s">
        <v>162</v>
      </c>
      <c r="H907" t="s">
        <v>162</v>
      </c>
      <c r="I907" t="s">
        <v>162</v>
      </c>
      <c r="J907" t="s">
        <v>162</v>
      </c>
      <c r="K907" t="s">
        <v>162</v>
      </c>
      <c r="L907" t="s">
        <v>162</v>
      </c>
      <c r="M907" t="s">
        <v>162</v>
      </c>
      <c r="N907" t="s">
        <v>162</v>
      </c>
      <c r="O907" t="s">
        <v>162</v>
      </c>
      <c r="P907" t="s">
        <v>162</v>
      </c>
      <c r="Q907" t="s">
        <v>162</v>
      </c>
      <c r="R907" t="s">
        <v>162</v>
      </c>
      <c r="S907" t="s">
        <v>138</v>
      </c>
    </row>
    <row r="908" spans="1:19" x14ac:dyDescent="0.25">
      <c r="A908" t="s">
        <v>214</v>
      </c>
      <c r="S908" t="s">
        <v>138</v>
      </c>
    </row>
    <row r="909" spans="1:19" x14ac:dyDescent="0.25">
      <c r="A909" t="s">
        <v>139</v>
      </c>
      <c r="S909" t="s">
        <v>139</v>
      </c>
    </row>
    <row r="910" spans="1:19" x14ac:dyDescent="0.25">
      <c r="A910" t="s">
        <v>198</v>
      </c>
      <c r="B910" t="s">
        <v>257</v>
      </c>
      <c r="C910" t="s">
        <v>256</v>
      </c>
      <c r="D910" t="s">
        <v>181</v>
      </c>
      <c r="E910" t="s">
        <v>180</v>
      </c>
      <c r="F910" t="s">
        <v>179</v>
      </c>
      <c r="G910" t="s">
        <v>178</v>
      </c>
      <c r="H910" t="s">
        <v>177</v>
      </c>
      <c r="I910" t="s">
        <v>176</v>
      </c>
      <c r="J910" t="s">
        <v>175</v>
      </c>
      <c r="K910" t="s">
        <v>174</v>
      </c>
      <c r="L910" t="s">
        <v>173</v>
      </c>
      <c r="M910" t="s">
        <v>172</v>
      </c>
      <c r="N910" t="s">
        <v>171</v>
      </c>
      <c r="O910" t="s">
        <v>170</v>
      </c>
      <c r="P910" t="s">
        <v>169</v>
      </c>
      <c r="Q910" t="s">
        <v>168</v>
      </c>
      <c r="R910" t="s">
        <v>167</v>
      </c>
      <c r="S910" t="s">
        <v>139</v>
      </c>
    </row>
    <row r="911" spans="1:19" x14ac:dyDescent="0.25">
      <c r="A911" t="s">
        <v>199</v>
      </c>
      <c r="S911" t="s">
        <v>139</v>
      </c>
    </row>
    <row r="912" spans="1:19" x14ac:dyDescent="0.25">
      <c r="A912" t="s">
        <v>163</v>
      </c>
      <c r="B912">
        <v>4980</v>
      </c>
      <c r="C912">
        <v>93.2</v>
      </c>
      <c r="D912">
        <v>95.4</v>
      </c>
      <c r="E912">
        <v>92.2</v>
      </c>
      <c r="F912">
        <v>94.7</v>
      </c>
      <c r="G912">
        <v>95</v>
      </c>
      <c r="H912">
        <v>94.8</v>
      </c>
      <c r="I912">
        <v>88.8</v>
      </c>
      <c r="J912">
        <v>96.6</v>
      </c>
      <c r="K912">
        <v>90.6</v>
      </c>
      <c r="L912">
        <v>90.4</v>
      </c>
      <c r="M912">
        <v>88.2</v>
      </c>
      <c r="N912">
        <v>88.2</v>
      </c>
      <c r="O912">
        <v>91.3</v>
      </c>
      <c r="P912">
        <v>95</v>
      </c>
      <c r="Q912">
        <v>96.1</v>
      </c>
      <c r="R912">
        <v>94.1</v>
      </c>
      <c r="S912" t="s">
        <v>139</v>
      </c>
    </row>
    <row r="913" spans="1:19" x14ac:dyDescent="0.25">
      <c r="A913" t="s">
        <v>207</v>
      </c>
      <c r="B913">
        <v>177.1</v>
      </c>
      <c r="C913">
        <v>67.3</v>
      </c>
      <c r="D913">
        <v>16.5</v>
      </c>
      <c r="E913">
        <v>45.9</v>
      </c>
      <c r="F913">
        <v>46.5</v>
      </c>
      <c r="G913">
        <v>67.099999999999994</v>
      </c>
      <c r="H913">
        <v>61.9</v>
      </c>
      <c r="I913">
        <v>67.8</v>
      </c>
      <c r="J913">
        <v>71.5</v>
      </c>
      <c r="K913">
        <v>72.099999999999994</v>
      </c>
      <c r="L913">
        <v>67.3</v>
      </c>
      <c r="M913">
        <v>61.2</v>
      </c>
      <c r="N913">
        <v>63.9</v>
      </c>
      <c r="O913">
        <v>69.5</v>
      </c>
      <c r="P913">
        <v>71</v>
      </c>
      <c r="Q913">
        <v>34.5</v>
      </c>
      <c r="R913">
        <v>22.5</v>
      </c>
      <c r="S913" t="s">
        <v>139</v>
      </c>
    </row>
    <row r="914" spans="1:19" x14ac:dyDescent="0.25">
      <c r="A914" t="s">
        <v>202</v>
      </c>
      <c r="B914">
        <v>43188.3</v>
      </c>
      <c r="C914">
        <v>58.5</v>
      </c>
      <c r="D914">
        <v>54.6</v>
      </c>
      <c r="E914">
        <v>49.7</v>
      </c>
      <c r="F914">
        <v>53.8</v>
      </c>
      <c r="G914">
        <v>56.4</v>
      </c>
      <c r="H914">
        <v>53.2</v>
      </c>
      <c r="I914">
        <v>47.1</v>
      </c>
      <c r="J914">
        <v>52.2</v>
      </c>
      <c r="K914">
        <v>55.9</v>
      </c>
      <c r="L914">
        <v>49.9</v>
      </c>
      <c r="M914">
        <v>50.6</v>
      </c>
      <c r="N914">
        <v>51.1</v>
      </c>
      <c r="O914">
        <v>46.8</v>
      </c>
      <c r="P914">
        <v>45</v>
      </c>
      <c r="Q914">
        <v>46.4</v>
      </c>
      <c r="R914">
        <v>47.6</v>
      </c>
      <c r="S914" t="s">
        <v>139</v>
      </c>
    </row>
    <row r="915" spans="1:19" x14ac:dyDescent="0.25">
      <c r="A915" t="s">
        <v>201</v>
      </c>
      <c r="B915">
        <v>16727.7</v>
      </c>
      <c r="C915">
        <v>49.3</v>
      </c>
      <c r="D915">
        <v>54</v>
      </c>
      <c r="E915">
        <v>56.3</v>
      </c>
      <c r="F915">
        <v>48.5</v>
      </c>
      <c r="G915">
        <v>54.9</v>
      </c>
      <c r="H915">
        <v>65.7</v>
      </c>
      <c r="I915">
        <v>65.5</v>
      </c>
      <c r="J915">
        <v>58.4</v>
      </c>
      <c r="K915">
        <v>57.8</v>
      </c>
      <c r="L915">
        <v>70.3</v>
      </c>
      <c r="M915">
        <v>72.099999999999994</v>
      </c>
      <c r="N915">
        <v>68.2</v>
      </c>
      <c r="O915">
        <v>78.900000000000006</v>
      </c>
      <c r="P915">
        <v>79</v>
      </c>
      <c r="Q915">
        <v>78.8</v>
      </c>
      <c r="R915">
        <v>83.2</v>
      </c>
      <c r="S915" t="s">
        <v>139</v>
      </c>
    </row>
    <row r="916" spans="1:19" x14ac:dyDescent="0.25">
      <c r="A916" t="s">
        <v>165</v>
      </c>
      <c r="B916">
        <v>309.2</v>
      </c>
      <c r="C916">
        <v>47.4</v>
      </c>
      <c r="D916">
        <v>53.3</v>
      </c>
      <c r="E916">
        <v>46.6</v>
      </c>
      <c r="F916">
        <v>43.4</v>
      </c>
      <c r="G916">
        <v>42.9</v>
      </c>
      <c r="H916">
        <v>47.9</v>
      </c>
      <c r="I916">
        <v>43.4</v>
      </c>
      <c r="J916">
        <v>44.5</v>
      </c>
      <c r="K916">
        <v>34.1</v>
      </c>
      <c r="L916">
        <v>45.6</v>
      </c>
      <c r="M916">
        <v>42.4</v>
      </c>
      <c r="N916">
        <v>50.8</v>
      </c>
      <c r="O916">
        <v>72.2</v>
      </c>
      <c r="P916">
        <v>58.8</v>
      </c>
      <c r="Q916">
        <v>55.1</v>
      </c>
      <c r="R916">
        <v>68.400000000000006</v>
      </c>
      <c r="S916" t="s">
        <v>139</v>
      </c>
    </row>
    <row r="917" spans="1:19" x14ac:dyDescent="0.25">
      <c r="A917" t="s">
        <v>200</v>
      </c>
      <c r="B917">
        <v>52.7</v>
      </c>
      <c r="C917">
        <v>38.1</v>
      </c>
      <c r="D917">
        <v>39.4</v>
      </c>
      <c r="E917">
        <v>41.8</v>
      </c>
      <c r="F917">
        <v>51.2</v>
      </c>
      <c r="G917">
        <v>52.2</v>
      </c>
      <c r="H917">
        <v>51.8</v>
      </c>
      <c r="I917">
        <v>56.8</v>
      </c>
      <c r="J917">
        <v>59.8</v>
      </c>
      <c r="K917">
        <v>60.9</v>
      </c>
      <c r="L917">
        <v>57.8</v>
      </c>
      <c r="M917">
        <v>57.6</v>
      </c>
      <c r="N917">
        <v>56.1</v>
      </c>
      <c r="O917">
        <v>52</v>
      </c>
      <c r="P917">
        <v>46.9</v>
      </c>
      <c r="Q917">
        <v>50.2</v>
      </c>
      <c r="R917">
        <v>49.7</v>
      </c>
      <c r="S917" t="s">
        <v>139</v>
      </c>
    </row>
    <row r="918" spans="1:19" x14ac:dyDescent="0.25">
      <c r="A918" t="s">
        <v>216</v>
      </c>
      <c r="B918">
        <v>39527.199999999997</v>
      </c>
      <c r="C918">
        <v>33.799999999999997</v>
      </c>
      <c r="D918">
        <v>35.200000000000003</v>
      </c>
      <c r="E918">
        <v>34.6</v>
      </c>
      <c r="F918">
        <v>36</v>
      </c>
      <c r="G918">
        <v>36.799999999999997</v>
      </c>
      <c r="H918">
        <v>37.299999999999997</v>
      </c>
      <c r="I918">
        <v>36.200000000000003</v>
      </c>
      <c r="J918" t="s">
        <v>162</v>
      </c>
      <c r="K918" t="s">
        <v>162</v>
      </c>
      <c r="L918" t="s">
        <v>162</v>
      </c>
      <c r="M918" t="s">
        <v>162</v>
      </c>
      <c r="N918" t="s">
        <v>162</v>
      </c>
      <c r="O918" t="s">
        <v>162</v>
      </c>
      <c r="P918" t="s">
        <v>162</v>
      </c>
      <c r="Q918" t="s">
        <v>162</v>
      </c>
      <c r="R918" t="s">
        <v>162</v>
      </c>
      <c r="S918" t="s">
        <v>139</v>
      </c>
    </row>
    <row r="919" spans="1:19" x14ac:dyDescent="0.25">
      <c r="A919" t="s">
        <v>206</v>
      </c>
      <c r="B919">
        <v>11403.2</v>
      </c>
      <c r="C919">
        <v>31.1</v>
      </c>
      <c r="D919">
        <v>31.7</v>
      </c>
      <c r="E919">
        <v>30.3</v>
      </c>
      <c r="F919">
        <v>32.700000000000003</v>
      </c>
      <c r="G919">
        <v>33.799999999999997</v>
      </c>
      <c r="H919">
        <v>32.9</v>
      </c>
      <c r="I919">
        <v>30</v>
      </c>
      <c r="J919">
        <v>31</v>
      </c>
      <c r="K919">
        <v>30.9</v>
      </c>
      <c r="L919">
        <v>30.5</v>
      </c>
      <c r="M919">
        <v>31.5</v>
      </c>
      <c r="N919">
        <v>31.6</v>
      </c>
      <c r="O919">
        <v>31.7</v>
      </c>
      <c r="P919">
        <v>28.5</v>
      </c>
      <c r="Q919">
        <v>25</v>
      </c>
      <c r="R919">
        <v>25.7</v>
      </c>
      <c r="S919" t="s">
        <v>139</v>
      </c>
    </row>
    <row r="920" spans="1:19" x14ac:dyDescent="0.25">
      <c r="A920" t="s">
        <v>217</v>
      </c>
      <c r="B920">
        <v>224</v>
      </c>
      <c r="C920">
        <v>25</v>
      </c>
      <c r="D920">
        <v>26.6</v>
      </c>
      <c r="E920">
        <v>26.7</v>
      </c>
      <c r="F920">
        <v>26.5</v>
      </c>
      <c r="G920">
        <v>29</v>
      </c>
      <c r="H920">
        <v>25</v>
      </c>
      <c r="I920">
        <v>27.7</v>
      </c>
      <c r="J920">
        <v>37.4</v>
      </c>
      <c r="K920">
        <v>35.799999999999997</v>
      </c>
      <c r="L920">
        <v>18.399999999999999</v>
      </c>
      <c r="M920">
        <v>14</v>
      </c>
      <c r="N920">
        <v>22.3</v>
      </c>
      <c r="O920">
        <v>26.6</v>
      </c>
      <c r="P920">
        <v>27.9</v>
      </c>
      <c r="Q920">
        <v>27.7</v>
      </c>
      <c r="R920">
        <v>27</v>
      </c>
      <c r="S920" t="s">
        <v>139</v>
      </c>
    </row>
    <row r="921" spans="1:19" x14ac:dyDescent="0.25">
      <c r="A921" t="s">
        <v>204</v>
      </c>
      <c r="B921">
        <v>12030.9</v>
      </c>
      <c r="C921">
        <v>24.4</v>
      </c>
      <c r="D921">
        <v>25.3</v>
      </c>
      <c r="E921">
        <v>24.9</v>
      </c>
      <c r="F921">
        <v>26</v>
      </c>
      <c r="G921">
        <v>24</v>
      </c>
      <c r="H921">
        <v>24.3</v>
      </c>
      <c r="I921">
        <v>26.5</v>
      </c>
      <c r="J921">
        <v>22.6</v>
      </c>
      <c r="K921">
        <v>21.8</v>
      </c>
      <c r="L921">
        <v>22.5</v>
      </c>
      <c r="M921">
        <v>22.1</v>
      </c>
      <c r="N921">
        <v>20.6</v>
      </c>
      <c r="O921">
        <v>24.2</v>
      </c>
      <c r="P921">
        <v>28.4</v>
      </c>
      <c r="Q921" t="s">
        <v>162</v>
      </c>
      <c r="R921" t="s">
        <v>162</v>
      </c>
      <c r="S921" t="s">
        <v>139</v>
      </c>
    </row>
    <row r="922" spans="1:19" x14ac:dyDescent="0.25">
      <c r="A922" t="s">
        <v>205</v>
      </c>
      <c r="B922">
        <v>16040.5</v>
      </c>
      <c r="C922">
        <v>20.2</v>
      </c>
      <c r="D922">
        <v>16</v>
      </c>
      <c r="E922">
        <v>14.6</v>
      </c>
      <c r="F922">
        <v>15.4</v>
      </c>
      <c r="G922">
        <v>14.8</v>
      </c>
      <c r="H922">
        <v>12.7</v>
      </c>
      <c r="I922">
        <v>8.9</v>
      </c>
      <c r="J922">
        <v>11.7</v>
      </c>
      <c r="K922">
        <v>11.7</v>
      </c>
      <c r="L922">
        <v>9.6999999999999993</v>
      </c>
      <c r="M922">
        <v>10.5</v>
      </c>
      <c r="N922">
        <v>12.5</v>
      </c>
      <c r="O922">
        <v>11.9</v>
      </c>
      <c r="P922">
        <v>11.1</v>
      </c>
      <c r="Q922">
        <v>12.2</v>
      </c>
      <c r="R922">
        <v>10.8</v>
      </c>
      <c r="S922" t="s">
        <v>139</v>
      </c>
    </row>
    <row r="923" spans="1:19" x14ac:dyDescent="0.25">
      <c r="A923" t="s">
        <v>215</v>
      </c>
      <c r="B923">
        <v>1104.2</v>
      </c>
      <c r="C923">
        <v>15.5</v>
      </c>
      <c r="D923">
        <v>19.3</v>
      </c>
      <c r="E923">
        <v>16.5</v>
      </c>
      <c r="F923">
        <v>11.8</v>
      </c>
      <c r="G923">
        <v>19.7</v>
      </c>
      <c r="H923">
        <v>17.399999999999999</v>
      </c>
      <c r="I923">
        <v>10.8</v>
      </c>
      <c r="J923">
        <v>11.5</v>
      </c>
      <c r="K923">
        <v>16.5</v>
      </c>
      <c r="L923">
        <v>19.600000000000001</v>
      </c>
      <c r="M923">
        <v>15.3</v>
      </c>
      <c r="N923">
        <v>8.6999999999999993</v>
      </c>
      <c r="O923">
        <v>19.399999999999999</v>
      </c>
      <c r="P923">
        <v>14.3</v>
      </c>
      <c r="Q923">
        <v>19.600000000000001</v>
      </c>
      <c r="R923">
        <v>17.399999999999999</v>
      </c>
      <c r="S923" t="s">
        <v>139</v>
      </c>
    </row>
    <row r="924" spans="1:19" x14ac:dyDescent="0.25">
      <c r="A924" t="s">
        <v>219</v>
      </c>
      <c r="B924">
        <v>127.8</v>
      </c>
      <c r="C924">
        <v>13.9</v>
      </c>
      <c r="D924">
        <v>35.200000000000003</v>
      </c>
      <c r="E924">
        <v>33.6</v>
      </c>
      <c r="F924">
        <v>33.299999999999997</v>
      </c>
      <c r="G924">
        <v>38.9</v>
      </c>
      <c r="H924">
        <v>29.7</v>
      </c>
      <c r="I924">
        <v>35.799999999999997</v>
      </c>
      <c r="J924">
        <v>43.5</v>
      </c>
      <c r="K924">
        <v>44.7</v>
      </c>
      <c r="L924">
        <v>42.5</v>
      </c>
      <c r="M924">
        <v>49.8</v>
      </c>
      <c r="N924">
        <v>34.700000000000003</v>
      </c>
      <c r="O924">
        <v>47.7</v>
      </c>
      <c r="P924">
        <v>38.200000000000003</v>
      </c>
      <c r="Q924">
        <v>80.900000000000006</v>
      </c>
      <c r="R924">
        <v>67</v>
      </c>
      <c r="S924" t="s">
        <v>139</v>
      </c>
    </row>
    <row r="925" spans="1:19" x14ac:dyDescent="0.25">
      <c r="A925" t="s">
        <v>203</v>
      </c>
      <c r="B925">
        <v>715.2</v>
      </c>
      <c r="C925">
        <v>12.1</v>
      </c>
      <c r="D925">
        <v>9.9</v>
      </c>
      <c r="E925">
        <v>17.5</v>
      </c>
      <c r="F925">
        <v>17.8</v>
      </c>
      <c r="G925">
        <v>25.1</v>
      </c>
      <c r="H925">
        <v>19.2</v>
      </c>
      <c r="I925">
        <v>18.100000000000001</v>
      </c>
      <c r="J925">
        <v>22.8</v>
      </c>
      <c r="K925">
        <v>16.5</v>
      </c>
      <c r="L925">
        <v>6.5</v>
      </c>
      <c r="M925">
        <v>8</v>
      </c>
      <c r="N925">
        <v>10</v>
      </c>
      <c r="O925">
        <v>9.3000000000000007</v>
      </c>
      <c r="P925">
        <v>20.9</v>
      </c>
      <c r="Q925">
        <v>17</v>
      </c>
      <c r="R925">
        <v>17.600000000000001</v>
      </c>
      <c r="S925" t="s">
        <v>139</v>
      </c>
    </row>
    <row r="926" spans="1:19" x14ac:dyDescent="0.25">
      <c r="A926" t="s">
        <v>208</v>
      </c>
      <c r="B926">
        <v>397</v>
      </c>
      <c r="C926">
        <v>2.1</v>
      </c>
      <c r="D926">
        <v>0.6</v>
      </c>
      <c r="E926" t="s">
        <v>162</v>
      </c>
      <c r="F926" t="s">
        <v>162</v>
      </c>
      <c r="G926" t="s">
        <v>162</v>
      </c>
      <c r="H926" t="s">
        <v>162</v>
      </c>
      <c r="I926" t="s">
        <v>162</v>
      </c>
      <c r="J926" t="s">
        <v>162</v>
      </c>
      <c r="K926" t="s">
        <v>162</v>
      </c>
      <c r="L926" t="s">
        <v>162</v>
      </c>
      <c r="M926" t="s">
        <v>162</v>
      </c>
      <c r="N926" t="s">
        <v>162</v>
      </c>
      <c r="O926" t="s">
        <v>162</v>
      </c>
      <c r="P926" t="s">
        <v>162</v>
      </c>
      <c r="Q926" t="s">
        <v>162</v>
      </c>
      <c r="R926" t="s">
        <v>162</v>
      </c>
      <c r="S926" t="s">
        <v>139</v>
      </c>
    </row>
    <row r="927" spans="1:19" x14ac:dyDescent="0.25">
      <c r="A927" t="s">
        <v>209</v>
      </c>
      <c r="B927">
        <v>180.6</v>
      </c>
      <c r="C927">
        <v>0.8</v>
      </c>
      <c r="D927">
        <v>0.6</v>
      </c>
      <c r="E927">
        <v>0.1</v>
      </c>
      <c r="F927">
        <v>0.1</v>
      </c>
      <c r="G927">
        <v>0.1</v>
      </c>
      <c r="H927">
        <v>0.2</v>
      </c>
      <c r="I927">
        <v>0.1</v>
      </c>
      <c r="J927">
        <v>0.2</v>
      </c>
      <c r="K927">
        <v>0.1</v>
      </c>
      <c r="L927">
        <v>0.2</v>
      </c>
      <c r="M927">
        <v>0.1</v>
      </c>
      <c r="N927">
        <v>0.1</v>
      </c>
      <c r="O927">
        <v>0.4</v>
      </c>
      <c r="P927">
        <v>0.2</v>
      </c>
      <c r="Q927">
        <v>0.2</v>
      </c>
      <c r="R927">
        <v>0.1</v>
      </c>
      <c r="S927" t="s">
        <v>139</v>
      </c>
    </row>
    <row r="928" spans="1:19" x14ac:dyDescent="0.25">
      <c r="A928" t="s">
        <v>210</v>
      </c>
      <c r="B928" t="s">
        <v>162</v>
      </c>
      <c r="C928" t="s">
        <v>162</v>
      </c>
      <c r="D928" t="s">
        <v>162</v>
      </c>
      <c r="E928" t="s">
        <v>162</v>
      </c>
      <c r="F928" t="s">
        <v>162</v>
      </c>
      <c r="G928" t="s">
        <v>162</v>
      </c>
      <c r="H928" t="s">
        <v>162</v>
      </c>
      <c r="I928" t="s">
        <v>162</v>
      </c>
      <c r="J928" t="s">
        <v>162</v>
      </c>
      <c r="K928" t="s">
        <v>162</v>
      </c>
      <c r="L928" t="s">
        <v>162</v>
      </c>
      <c r="M928" t="s">
        <v>162</v>
      </c>
      <c r="N928" t="s">
        <v>162</v>
      </c>
      <c r="O928" t="s">
        <v>162</v>
      </c>
      <c r="P928" t="s">
        <v>162</v>
      </c>
      <c r="Q928">
        <v>0</v>
      </c>
      <c r="R928">
        <v>0</v>
      </c>
      <c r="S928" t="s">
        <v>139</v>
      </c>
    </row>
    <row r="929" spans="1:19" x14ac:dyDescent="0.25">
      <c r="A929" t="s">
        <v>166</v>
      </c>
      <c r="B929" t="s">
        <v>162</v>
      </c>
      <c r="C929" t="s">
        <v>162</v>
      </c>
      <c r="D929" t="s">
        <v>162</v>
      </c>
      <c r="E929" t="s">
        <v>162</v>
      </c>
      <c r="F929" t="s">
        <v>162</v>
      </c>
      <c r="G929" t="s">
        <v>162</v>
      </c>
      <c r="H929" t="s">
        <v>162</v>
      </c>
      <c r="I929" t="s">
        <v>162</v>
      </c>
      <c r="J929">
        <v>35.6</v>
      </c>
      <c r="K929">
        <v>32.6</v>
      </c>
      <c r="L929">
        <v>35.9</v>
      </c>
      <c r="M929">
        <v>33.6</v>
      </c>
      <c r="N929">
        <v>34</v>
      </c>
      <c r="O929">
        <v>34.299999999999997</v>
      </c>
      <c r="P929">
        <v>31.1</v>
      </c>
      <c r="Q929">
        <v>26.4</v>
      </c>
      <c r="R929">
        <v>32.200000000000003</v>
      </c>
      <c r="S929" t="s">
        <v>139</v>
      </c>
    </row>
    <row r="930" spans="1:19" x14ac:dyDescent="0.25">
      <c r="A930" t="s">
        <v>211</v>
      </c>
      <c r="S930" t="s">
        <v>139</v>
      </c>
    </row>
    <row r="931" spans="1:19" x14ac:dyDescent="0.25">
      <c r="A931" t="s">
        <v>212</v>
      </c>
      <c r="B931">
        <v>2574.3000000000002</v>
      </c>
      <c r="C931">
        <v>2.7</v>
      </c>
      <c r="D931">
        <v>2.8</v>
      </c>
      <c r="E931">
        <v>2.6</v>
      </c>
      <c r="F931">
        <v>3.5</v>
      </c>
      <c r="G931">
        <v>3.7</v>
      </c>
      <c r="H931">
        <v>3</v>
      </c>
      <c r="I931">
        <v>4</v>
      </c>
      <c r="J931">
        <v>0.4</v>
      </c>
      <c r="K931">
        <v>0</v>
      </c>
      <c r="L931">
        <v>0</v>
      </c>
      <c r="M931">
        <v>0</v>
      </c>
      <c r="N931" t="s">
        <v>162</v>
      </c>
      <c r="O931" t="s">
        <v>162</v>
      </c>
      <c r="P931" t="s">
        <v>162</v>
      </c>
      <c r="Q931" t="s">
        <v>162</v>
      </c>
      <c r="R931" t="s">
        <v>162</v>
      </c>
      <c r="S931" t="s">
        <v>139</v>
      </c>
    </row>
    <row r="932" spans="1:19" x14ac:dyDescent="0.25">
      <c r="A932" t="s">
        <v>213</v>
      </c>
      <c r="B932">
        <v>149760</v>
      </c>
      <c r="C932" t="s">
        <v>162</v>
      </c>
      <c r="D932" t="s">
        <v>162</v>
      </c>
      <c r="E932" t="s">
        <v>162</v>
      </c>
      <c r="F932" t="s">
        <v>162</v>
      </c>
      <c r="G932" t="s">
        <v>162</v>
      </c>
      <c r="H932" t="s">
        <v>162</v>
      </c>
      <c r="I932" t="s">
        <v>162</v>
      </c>
      <c r="J932" t="s">
        <v>162</v>
      </c>
      <c r="K932" t="s">
        <v>162</v>
      </c>
      <c r="L932" t="s">
        <v>162</v>
      </c>
      <c r="M932" t="s">
        <v>162</v>
      </c>
      <c r="N932" t="s">
        <v>162</v>
      </c>
      <c r="O932" t="s">
        <v>162</v>
      </c>
      <c r="P932" t="s">
        <v>162</v>
      </c>
      <c r="Q932" t="s">
        <v>162</v>
      </c>
      <c r="R932" t="s">
        <v>162</v>
      </c>
      <c r="S932" t="s">
        <v>139</v>
      </c>
    </row>
    <row r="933" spans="1:19" x14ac:dyDescent="0.25">
      <c r="A933" t="s">
        <v>214</v>
      </c>
      <c r="S933" t="s">
        <v>139</v>
      </c>
    </row>
    <row r="934" spans="1:19" x14ac:dyDescent="0.25">
      <c r="A934" t="s">
        <v>140</v>
      </c>
      <c r="S934" t="s">
        <v>140</v>
      </c>
    </row>
    <row r="935" spans="1:19" x14ac:dyDescent="0.25">
      <c r="A935" t="s">
        <v>198</v>
      </c>
      <c r="B935" t="s">
        <v>257</v>
      </c>
      <c r="C935" t="s">
        <v>256</v>
      </c>
      <c r="D935" t="s">
        <v>181</v>
      </c>
      <c r="E935" t="s">
        <v>180</v>
      </c>
      <c r="F935" t="s">
        <v>179</v>
      </c>
      <c r="G935" t="s">
        <v>178</v>
      </c>
      <c r="H935" t="s">
        <v>177</v>
      </c>
      <c r="I935" t="s">
        <v>176</v>
      </c>
      <c r="J935" t="s">
        <v>175</v>
      </c>
      <c r="K935" t="s">
        <v>174</v>
      </c>
      <c r="L935" t="s">
        <v>173</v>
      </c>
      <c r="M935" t="s">
        <v>172</v>
      </c>
      <c r="N935" t="s">
        <v>171</v>
      </c>
      <c r="O935" t="s">
        <v>170</v>
      </c>
      <c r="P935" t="s">
        <v>169</v>
      </c>
      <c r="Q935" t="s">
        <v>168</v>
      </c>
      <c r="R935" t="s">
        <v>167</v>
      </c>
      <c r="S935" t="s">
        <v>140</v>
      </c>
    </row>
    <row r="936" spans="1:19" x14ac:dyDescent="0.25">
      <c r="A936" t="s">
        <v>199</v>
      </c>
      <c r="S936" t="s">
        <v>140</v>
      </c>
    </row>
    <row r="937" spans="1:19" x14ac:dyDescent="0.25">
      <c r="A937" t="s">
        <v>164</v>
      </c>
      <c r="B937">
        <v>70.7</v>
      </c>
      <c r="C937">
        <v>74</v>
      </c>
      <c r="D937">
        <v>74.8</v>
      </c>
      <c r="E937">
        <v>67.8</v>
      </c>
      <c r="F937">
        <v>60.7</v>
      </c>
      <c r="G937">
        <v>50.1</v>
      </c>
      <c r="H937">
        <v>69.7</v>
      </c>
      <c r="I937">
        <v>75.2</v>
      </c>
      <c r="J937">
        <v>75.7</v>
      </c>
      <c r="K937">
        <v>67.2</v>
      </c>
      <c r="L937">
        <v>81.599999999999994</v>
      </c>
      <c r="M937">
        <v>75.400000000000006</v>
      </c>
      <c r="N937">
        <v>41.8</v>
      </c>
      <c r="O937">
        <v>46.4</v>
      </c>
      <c r="P937">
        <v>37.799999999999997</v>
      </c>
      <c r="Q937">
        <v>46.2</v>
      </c>
      <c r="R937">
        <v>42</v>
      </c>
      <c r="S937" t="s">
        <v>140</v>
      </c>
    </row>
    <row r="938" spans="1:19" x14ac:dyDescent="0.25">
      <c r="A938" t="s">
        <v>200</v>
      </c>
      <c r="B938">
        <v>16</v>
      </c>
      <c r="C938">
        <v>65.8</v>
      </c>
      <c r="D938">
        <v>65.8</v>
      </c>
      <c r="E938">
        <v>72</v>
      </c>
      <c r="F938">
        <v>69</v>
      </c>
      <c r="G938">
        <v>63.1</v>
      </c>
      <c r="H938">
        <v>70.900000000000006</v>
      </c>
      <c r="I938">
        <v>66.8</v>
      </c>
      <c r="J938">
        <v>70.3</v>
      </c>
      <c r="K938">
        <v>71.400000000000006</v>
      </c>
      <c r="L938">
        <v>71.7</v>
      </c>
      <c r="M938">
        <v>71.3</v>
      </c>
      <c r="N938">
        <v>76.7</v>
      </c>
      <c r="O938">
        <v>79.400000000000006</v>
      </c>
      <c r="P938">
        <v>76.7</v>
      </c>
      <c r="Q938">
        <v>73.2</v>
      </c>
      <c r="R938">
        <v>62.9</v>
      </c>
      <c r="S938" t="s">
        <v>140</v>
      </c>
    </row>
    <row r="939" spans="1:19" x14ac:dyDescent="0.25">
      <c r="A939" t="s">
        <v>202</v>
      </c>
      <c r="B939">
        <v>1830</v>
      </c>
      <c r="C939">
        <v>63.4</v>
      </c>
      <c r="D939">
        <v>61</v>
      </c>
      <c r="E939">
        <v>60.4</v>
      </c>
      <c r="F939">
        <v>52</v>
      </c>
      <c r="G939">
        <v>52.4</v>
      </c>
      <c r="H939">
        <v>48.1</v>
      </c>
      <c r="I939">
        <v>30.4</v>
      </c>
      <c r="J939">
        <v>48.1</v>
      </c>
      <c r="K939">
        <v>45.5</v>
      </c>
      <c r="L939">
        <v>52.3</v>
      </c>
      <c r="M939">
        <v>50</v>
      </c>
      <c r="N939">
        <v>42.9</v>
      </c>
      <c r="O939">
        <v>42.6</v>
      </c>
      <c r="P939">
        <v>51.7</v>
      </c>
      <c r="Q939">
        <v>48.8</v>
      </c>
      <c r="R939">
        <v>61.3</v>
      </c>
      <c r="S939" t="s">
        <v>140</v>
      </c>
    </row>
    <row r="940" spans="1:19" x14ac:dyDescent="0.25">
      <c r="A940" t="s">
        <v>201</v>
      </c>
      <c r="B940">
        <v>4581</v>
      </c>
      <c r="C940">
        <v>39.1</v>
      </c>
      <c r="D940">
        <v>56</v>
      </c>
      <c r="E940">
        <v>65.8</v>
      </c>
      <c r="F940">
        <v>56.8</v>
      </c>
      <c r="G940">
        <v>62.1</v>
      </c>
      <c r="H940">
        <v>63.6</v>
      </c>
      <c r="I940">
        <v>65</v>
      </c>
      <c r="J940">
        <v>62.6</v>
      </c>
      <c r="K940">
        <v>75.3</v>
      </c>
      <c r="L940">
        <v>77.400000000000006</v>
      </c>
      <c r="M940">
        <v>79.5</v>
      </c>
      <c r="N940">
        <v>71.5</v>
      </c>
      <c r="O940">
        <v>77.099999999999994</v>
      </c>
      <c r="P940">
        <v>79.3</v>
      </c>
      <c r="Q940">
        <v>83.3</v>
      </c>
      <c r="R940">
        <v>88.9</v>
      </c>
      <c r="S940" t="s">
        <v>140</v>
      </c>
    </row>
    <row r="941" spans="1:19" x14ac:dyDescent="0.25">
      <c r="A941" t="s">
        <v>203</v>
      </c>
      <c r="B941">
        <v>259.7</v>
      </c>
      <c r="C941">
        <v>33.799999999999997</v>
      </c>
      <c r="D941">
        <v>26.2</v>
      </c>
      <c r="E941">
        <v>21.7</v>
      </c>
      <c r="F941">
        <v>35.799999999999997</v>
      </c>
      <c r="G941">
        <v>38.5</v>
      </c>
      <c r="H941">
        <v>39.299999999999997</v>
      </c>
      <c r="I941">
        <v>54.8</v>
      </c>
      <c r="J941">
        <v>33.700000000000003</v>
      </c>
      <c r="K941">
        <v>34.200000000000003</v>
      </c>
      <c r="L941">
        <v>28.3</v>
      </c>
      <c r="M941">
        <v>22.6</v>
      </c>
      <c r="N941">
        <v>33.200000000000003</v>
      </c>
      <c r="O941">
        <v>54.8</v>
      </c>
      <c r="P941">
        <v>31</v>
      </c>
      <c r="Q941">
        <v>37.200000000000003</v>
      </c>
      <c r="R941">
        <v>29.7</v>
      </c>
      <c r="S941" t="s">
        <v>140</v>
      </c>
    </row>
    <row r="942" spans="1:19" x14ac:dyDescent="0.25">
      <c r="A942" t="s">
        <v>206</v>
      </c>
      <c r="B942">
        <v>534.6</v>
      </c>
      <c r="C942">
        <v>28.7</v>
      </c>
      <c r="D942">
        <v>24.3</v>
      </c>
      <c r="E942">
        <v>18.899999999999999</v>
      </c>
      <c r="F942">
        <v>19.7</v>
      </c>
      <c r="G942">
        <v>16.3</v>
      </c>
      <c r="H942">
        <v>18.7</v>
      </c>
      <c r="I942">
        <v>18.100000000000001</v>
      </c>
      <c r="J942">
        <v>17.899999999999999</v>
      </c>
      <c r="K942">
        <v>16.600000000000001</v>
      </c>
      <c r="L942">
        <v>19.600000000000001</v>
      </c>
      <c r="M942">
        <v>23.7</v>
      </c>
      <c r="N942">
        <v>20.399999999999999</v>
      </c>
      <c r="O942">
        <v>14.5</v>
      </c>
      <c r="P942">
        <v>19.8</v>
      </c>
      <c r="Q942">
        <v>24.5</v>
      </c>
      <c r="R942">
        <v>25.8</v>
      </c>
      <c r="S942" t="s">
        <v>140</v>
      </c>
    </row>
    <row r="943" spans="1:19" x14ac:dyDescent="0.25">
      <c r="A943" t="s">
        <v>217</v>
      </c>
      <c r="B943">
        <v>40.200000000000003</v>
      </c>
      <c r="C943">
        <v>28</v>
      </c>
      <c r="D943">
        <v>41.4</v>
      </c>
      <c r="E943">
        <v>46</v>
      </c>
      <c r="F943">
        <v>36.700000000000003</v>
      </c>
      <c r="G943">
        <v>53.6</v>
      </c>
      <c r="H943">
        <v>63.9</v>
      </c>
      <c r="I943">
        <v>49.6</v>
      </c>
      <c r="J943">
        <v>63</v>
      </c>
      <c r="K943">
        <v>36.700000000000003</v>
      </c>
      <c r="L943">
        <v>41.1</v>
      </c>
      <c r="M943">
        <v>56</v>
      </c>
      <c r="N943">
        <v>46</v>
      </c>
      <c r="O943">
        <v>57.5</v>
      </c>
      <c r="P943">
        <v>60.8</v>
      </c>
      <c r="Q943">
        <v>65.5</v>
      </c>
      <c r="R943">
        <v>51.4</v>
      </c>
      <c r="S943" t="s">
        <v>140</v>
      </c>
    </row>
    <row r="944" spans="1:19" x14ac:dyDescent="0.25">
      <c r="A944" t="s">
        <v>204</v>
      </c>
      <c r="B944">
        <v>1597.7</v>
      </c>
      <c r="C944">
        <v>28</v>
      </c>
      <c r="D944">
        <v>29.2</v>
      </c>
      <c r="E944">
        <v>29.5</v>
      </c>
      <c r="F944">
        <v>29.5</v>
      </c>
      <c r="G944">
        <v>28.4</v>
      </c>
      <c r="H944">
        <v>29.6</v>
      </c>
      <c r="I944">
        <v>29.5</v>
      </c>
      <c r="J944">
        <v>24.8</v>
      </c>
      <c r="K944">
        <v>17</v>
      </c>
      <c r="L944">
        <v>19.600000000000001</v>
      </c>
      <c r="M944">
        <v>18.399999999999999</v>
      </c>
      <c r="N944">
        <v>21.3</v>
      </c>
      <c r="O944" t="s">
        <v>162</v>
      </c>
      <c r="P944" t="s">
        <v>162</v>
      </c>
      <c r="Q944" t="s">
        <v>162</v>
      </c>
      <c r="R944" t="s">
        <v>162</v>
      </c>
      <c r="S944" t="s">
        <v>140</v>
      </c>
    </row>
    <row r="945" spans="1:19" x14ac:dyDescent="0.25">
      <c r="A945" t="s">
        <v>216</v>
      </c>
      <c r="B945">
        <v>389.7</v>
      </c>
      <c r="C945">
        <v>20</v>
      </c>
      <c r="D945">
        <v>21.2</v>
      </c>
      <c r="E945">
        <v>24.2</v>
      </c>
      <c r="F945">
        <v>23.4</v>
      </c>
      <c r="G945">
        <v>24.1</v>
      </c>
      <c r="H945">
        <v>23.4</v>
      </c>
      <c r="I945">
        <v>25.2</v>
      </c>
      <c r="J945" t="s">
        <v>162</v>
      </c>
      <c r="K945" t="s">
        <v>162</v>
      </c>
      <c r="L945" t="s">
        <v>162</v>
      </c>
      <c r="M945" t="s">
        <v>162</v>
      </c>
      <c r="N945" t="s">
        <v>162</v>
      </c>
      <c r="O945" t="s">
        <v>162</v>
      </c>
      <c r="P945" t="s">
        <v>162</v>
      </c>
      <c r="Q945" t="s">
        <v>162</v>
      </c>
      <c r="R945" t="s">
        <v>162</v>
      </c>
      <c r="S945" t="s">
        <v>140</v>
      </c>
    </row>
    <row r="946" spans="1:19" x14ac:dyDescent="0.25">
      <c r="A946" t="s">
        <v>205</v>
      </c>
      <c r="B946">
        <v>237.5</v>
      </c>
      <c r="C946">
        <v>11.4</v>
      </c>
      <c r="D946">
        <v>5.6</v>
      </c>
      <c r="E946">
        <v>3.7</v>
      </c>
      <c r="F946">
        <v>4.5</v>
      </c>
      <c r="G946">
        <v>5.6</v>
      </c>
      <c r="H946">
        <v>2.6</v>
      </c>
      <c r="I946">
        <v>1.5</v>
      </c>
      <c r="J946">
        <v>3.1</v>
      </c>
      <c r="K946">
        <v>4.2</v>
      </c>
      <c r="L946">
        <v>8.9</v>
      </c>
      <c r="M946">
        <v>10.4</v>
      </c>
      <c r="N946">
        <v>5.8</v>
      </c>
      <c r="O946">
        <v>3.4</v>
      </c>
      <c r="P946">
        <v>5.0999999999999996</v>
      </c>
      <c r="Q946">
        <v>12.2</v>
      </c>
      <c r="R946">
        <v>11.2</v>
      </c>
      <c r="S946" t="s">
        <v>140</v>
      </c>
    </row>
    <row r="947" spans="1:19" x14ac:dyDescent="0.25">
      <c r="A947" t="s">
        <v>215</v>
      </c>
      <c r="B947">
        <v>97.2</v>
      </c>
      <c r="C947">
        <v>11.2</v>
      </c>
      <c r="D947">
        <v>9.6999999999999993</v>
      </c>
      <c r="E947">
        <v>7.5</v>
      </c>
      <c r="F947">
        <v>6.9</v>
      </c>
      <c r="G947">
        <v>5.2</v>
      </c>
      <c r="H947">
        <v>5.6</v>
      </c>
      <c r="I947">
        <v>3.5</v>
      </c>
      <c r="J947">
        <v>4.0999999999999996</v>
      </c>
      <c r="K947">
        <v>2.4</v>
      </c>
      <c r="L947">
        <v>3.5</v>
      </c>
      <c r="M947">
        <v>4.2</v>
      </c>
      <c r="N947">
        <v>3.2</v>
      </c>
      <c r="O947">
        <v>2.6</v>
      </c>
      <c r="P947">
        <v>5</v>
      </c>
      <c r="Q947">
        <v>3.9</v>
      </c>
      <c r="R947">
        <v>4.9000000000000004</v>
      </c>
      <c r="S947" t="s">
        <v>140</v>
      </c>
    </row>
    <row r="948" spans="1:19" x14ac:dyDescent="0.25">
      <c r="A948" t="s">
        <v>209</v>
      </c>
      <c r="B948">
        <v>27.8</v>
      </c>
      <c r="C948">
        <v>0.3</v>
      </c>
      <c r="D948">
        <v>0.4</v>
      </c>
      <c r="E948">
        <v>0.7</v>
      </c>
      <c r="F948">
        <v>0.2</v>
      </c>
      <c r="G948">
        <v>0.1</v>
      </c>
      <c r="H948">
        <v>0.4</v>
      </c>
      <c r="I948">
        <v>0</v>
      </c>
      <c r="J948">
        <v>0.1</v>
      </c>
      <c r="K948">
        <v>0.2</v>
      </c>
      <c r="L948">
        <v>0.1</v>
      </c>
      <c r="M948">
        <v>0.2</v>
      </c>
      <c r="N948">
        <v>0.1</v>
      </c>
      <c r="O948">
        <v>0.1</v>
      </c>
      <c r="P948">
        <v>0.2</v>
      </c>
      <c r="Q948">
        <v>0.3</v>
      </c>
      <c r="R948">
        <v>0.1</v>
      </c>
      <c r="S948" t="s">
        <v>140</v>
      </c>
    </row>
    <row r="949" spans="1:19" x14ac:dyDescent="0.25">
      <c r="A949" t="s">
        <v>218</v>
      </c>
      <c r="B949">
        <v>0.1</v>
      </c>
      <c r="C949">
        <v>0</v>
      </c>
      <c r="D949">
        <v>0</v>
      </c>
      <c r="E949" t="s">
        <v>162</v>
      </c>
      <c r="F949" t="s">
        <v>162</v>
      </c>
      <c r="G949" t="s">
        <v>162</v>
      </c>
      <c r="H949" t="s">
        <v>162</v>
      </c>
      <c r="I949" t="s">
        <v>162</v>
      </c>
      <c r="J949" t="s">
        <v>162</v>
      </c>
      <c r="K949" t="s">
        <v>162</v>
      </c>
      <c r="L949" t="s">
        <v>162</v>
      </c>
      <c r="M949" t="s">
        <v>162</v>
      </c>
      <c r="N949" t="s">
        <v>162</v>
      </c>
      <c r="O949" t="s">
        <v>162</v>
      </c>
      <c r="P949" t="s">
        <v>162</v>
      </c>
      <c r="Q949" t="s">
        <v>162</v>
      </c>
      <c r="R949" t="s">
        <v>162</v>
      </c>
      <c r="S949" t="s">
        <v>140</v>
      </c>
    </row>
    <row r="950" spans="1:19" x14ac:dyDescent="0.25">
      <c r="A950" t="s">
        <v>210</v>
      </c>
      <c r="B950" t="s">
        <v>162</v>
      </c>
      <c r="C950" t="s">
        <v>162</v>
      </c>
      <c r="D950" t="s">
        <v>162</v>
      </c>
      <c r="E950" t="s">
        <v>162</v>
      </c>
      <c r="F950">
        <v>81.3</v>
      </c>
      <c r="G950">
        <v>83.9</v>
      </c>
      <c r="H950">
        <v>87.6</v>
      </c>
      <c r="I950">
        <v>89.3</v>
      </c>
      <c r="J950">
        <v>88.7</v>
      </c>
      <c r="K950">
        <v>83.3</v>
      </c>
      <c r="L950">
        <v>97.6</v>
      </c>
      <c r="M950">
        <v>73.400000000000006</v>
      </c>
      <c r="N950" t="s">
        <v>162</v>
      </c>
      <c r="O950" t="s">
        <v>162</v>
      </c>
      <c r="P950" t="s">
        <v>162</v>
      </c>
      <c r="Q950" t="s">
        <v>162</v>
      </c>
      <c r="R950" t="s">
        <v>162</v>
      </c>
      <c r="S950" t="s">
        <v>140</v>
      </c>
    </row>
    <row r="951" spans="1:19" x14ac:dyDescent="0.25">
      <c r="A951" t="s">
        <v>166</v>
      </c>
      <c r="B951" t="s">
        <v>162</v>
      </c>
      <c r="C951" t="s">
        <v>162</v>
      </c>
      <c r="D951" t="s">
        <v>162</v>
      </c>
      <c r="E951" t="s">
        <v>162</v>
      </c>
      <c r="F951" t="s">
        <v>162</v>
      </c>
      <c r="G951" t="s">
        <v>162</v>
      </c>
      <c r="H951" t="s">
        <v>162</v>
      </c>
      <c r="I951" t="s">
        <v>162</v>
      </c>
      <c r="J951">
        <v>24.9</v>
      </c>
      <c r="K951">
        <v>22</v>
      </c>
      <c r="L951">
        <v>23.2</v>
      </c>
      <c r="M951">
        <v>19</v>
      </c>
      <c r="N951">
        <v>24.7</v>
      </c>
      <c r="O951">
        <v>22.6</v>
      </c>
      <c r="P951">
        <v>23</v>
      </c>
      <c r="Q951">
        <v>21</v>
      </c>
      <c r="R951">
        <v>30.5</v>
      </c>
      <c r="S951" t="s">
        <v>140</v>
      </c>
    </row>
    <row r="952" spans="1:19" x14ac:dyDescent="0.25">
      <c r="A952" t="s">
        <v>211</v>
      </c>
      <c r="S952" t="s">
        <v>140</v>
      </c>
    </row>
    <row r="953" spans="1:19" x14ac:dyDescent="0.25">
      <c r="A953" t="s">
        <v>212</v>
      </c>
      <c r="B953">
        <v>1</v>
      </c>
      <c r="C953">
        <v>0</v>
      </c>
      <c r="D953">
        <v>0</v>
      </c>
      <c r="E953" t="s">
        <v>162</v>
      </c>
      <c r="F953" t="s">
        <v>162</v>
      </c>
      <c r="G953" t="s">
        <v>162</v>
      </c>
      <c r="H953" t="s">
        <v>162</v>
      </c>
      <c r="I953" t="s">
        <v>162</v>
      </c>
      <c r="J953" t="s">
        <v>162</v>
      </c>
      <c r="K953" t="s">
        <v>162</v>
      </c>
      <c r="L953" t="s">
        <v>162</v>
      </c>
      <c r="M953" t="s">
        <v>162</v>
      </c>
      <c r="N953" t="s">
        <v>162</v>
      </c>
      <c r="O953" t="s">
        <v>162</v>
      </c>
      <c r="P953" t="s">
        <v>162</v>
      </c>
      <c r="Q953" t="s">
        <v>162</v>
      </c>
      <c r="R953" t="s">
        <v>162</v>
      </c>
      <c r="S953" t="s">
        <v>140</v>
      </c>
    </row>
    <row r="954" spans="1:19" x14ac:dyDescent="0.25">
      <c r="A954" t="s">
        <v>213</v>
      </c>
      <c r="B954">
        <v>9683.2000000000007</v>
      </c>
      <c r="C954" t="s">
        <v>162</v>
      </c>
      <c r="D954" t="s">
        <v>162</v>
      </c>
      <c r="E954" t="s">
        <v>162</v>
      </c>
      <c r="F954" t="s">
        <v>162</v>
      </c>
      <c r="G954" t="s">
        <v>162</v>
      </c>
      <c r="H954" t="s">
        <v>162</v>
      </c>
      <c r="I954" t="s">
        <v>162</v>
      </c>
      <c r="J954" t="s">
        <v>162</v>
      </c>
      <c r="K954" t="s">
        <v>162</v>
      </c>
      <c r="L954" t="s">
        <v>162</v>
      </c>
      <c r="M954" t="s">
        <v>162</v>
      </c>
      <c r="N954" t="s">
        <v>162</v>
      </c>
      <c r="O954" t="s">
        <v>162</v>
      </c>
      <c r="P954" t="s">
        <v>162</v>
      </c>
      <c r="Q954" t="s">
        <v>162</v>
      </c>
      <c r="R954" t="s">
        <v>162</v>
      </c>
      <c r="S954" t="s">
        <v>140</v>
      </c>
    </row>
    <row r="955" spans="1:19" x14ac:dyDescent="0.25">
      <c r="A955" t="s">
        <v>214</v>
      </c>
      <c r="S955" t="s">
        <v>140</v>
      </c>
    </row>
    <row r="956" spans="1:19" x14ac:dyDescent="0.25">
      <c r="A956" t="s">
        <v>141</v>
      </c>
      <c r="S956" t="s">
        <v>141</v>
      </c>
    </row>
    <row r="957" spans="1:19" x14ac:dyDescent="0.25">
      <c r="A957" t="s">
        <v>198</v>
      </c>
      <c r="B957" t="s">
        <v>257</v>
      </c>
      <c r="C957" t="s">
        <v>256</v>
      </c>
      <c r="D957" t="s">
        <v>181</v>
      </c>
      <c r="E957" t="s">
        <v>180</v>
      </c>
      <c r="F957" t="s">
        <v>179</v>
      </c>
      <c r="G957" t="s">
        <v>178</v>
      </c>
      <c r="H957" t="s">
        <v>177</v>
      </c>
      <c r="I957" t="s">
        <v>176</v>
      </c>
      <c r="J957" t="s">
        <v>175</v>
      </c>
      <c r="K957" t="s">
        <v>174</v>
      </c>
      <c r="L957" t="s">
        <v>173</v>
      </c>
      <c r="M957" t="s">
        <v>172</v>
      </c>
      <c r="N957" t="s">
        <v>171</v>
      </c>
      <c r="O957" t="s">
        <v>170</v>
      </c>
      <c r="P957" t="s">
        <v>169</v>
      </c>
      <c r="Q957" t="s">
        <v>168</v>
      </c>
      <c r="R957" t="s">
        <v>167</v>
      </c>
      <c r="S957" t="s">
        <v>141</v>
      </c>
    </row>
    <row r="958" spans="1:19" x14ac:dyDescent="0.25">
      <c r="A958" t="s">
        <v>199</v>
      </c>
      <c r="S958" t="s">
        <v>141</v>
      </c>
    </row>
    <row r="959" spans="1:19" x14ac:dyDescent="0.25">
      <c r="A959" t="s">
        <v>200</v>
      </c>
      <c r="B959">
        <v>9</v>
      </c>
      <c r="C959">
        <v>71.5</v>
      </c>
      <c r="D959">
        <v>69</v>
      </c>
      <c r="E959">
        <v>75.7</v>
      </c>
      <c r="F959">
        <v>84</v>
      </c>
      <c r="G959">
        <v>83.4</v>
      </c>
      <c r="H959">
        <v>15.1</v>
      </c>
      <c r="I959">
        <v>81.2</v>
      </c>
      <c r="J959">
        <v>55.6</v>
      </c>
      <c r="K959">
        <v>67.8</v>
      </c>
      <c r="L959">
        <v>83.8</v>
      </c>
      <c r="M959">
        <v>91.7</v>
      </c>
      <c r="N959">
        <v>91.2</v>
      </c>
      <c r="O959">
        <v>90.8</v>
      </c>
      <c r="P959">
        <v>89.5</v>
      </c>
      <c r="Q959">
        <v>86.3</v>
      </c>
      <c r="R959" t="s">
        <v>162</v>
      </c>
      <c r="S959" t="s">
        <v>141</v>
      </c>
    </row>
    <row r="960" spans="1:19" x14ac:dyDescent="0.25">
      <c r="A960" t="s">
        <v>165</v>
      </c>
      <c r="B960">
        <v>72.7</v>
      </c>
      <c r="C960">
        <v>54.6</v>
      </c>
      <c r="D960">
        <v>57.9</v>
      </c>
      <c r="E960">
        <v>68.8</v>
      </c>
      <c r="F960">
        <v>61.7</v>
      </c>
      <c r="G960">
        <v>56.8</v>
      </c>
      <c r="H960">
        <v>65.3</v>
      </c>
      <c r="I960">
        <v>68.8</v>
      </c>
      <c r="J960">
        <v>72.7</v>
      </c>
      <c r="K960">
        <v>70.3</v>
      </c>
      <c r="L960">
        <v>67.900000000000006</v>
      </c>
      <c r="M960">
        <v>70.2</v>
      </c>
      <c r="N960">
        <v>51.8</v>
      </c>
      <c r="O960">
        <v>56.4</v>
      </c>
      <c r="P960">
        <v>67.5</v>
      </c>
      <c r="Q960">
        <v>60</v>
      </c>
      <c r="R960">
        <v>62.8</v>
      </c>
      <c r="S960" t="s">
        <v>141</v>
      </c>
    </row>
    <row r="961" spans="1:19" x14ac:dyDescent="0.25">
      <c r="A961" t="s">
        <v>203</v>
      </c>
      <c r="B961">
        <v>332.2</v>
      </c>
      <c r="C961">
        <v>52.9</v>
      </c>
      <c r="D961">
        <v>39.299999999999997</v>
      </c>
      <c r="E961">
        <v>37.700000000000003</v>
      </c>
      <c r="F961">
        <v>38.799999999999997</v>
      </c>
      <c r="G961">
        <v>46.1</v>
      </c>
      <c r="H961">
        <v>43.7</v>
      </c>
      <c r="I961">
        <v>44.1</v>
      </c>
      <c r="J961">
        <v>37.299999999999997</v>
      </c>
      <c r="K961">
        <v>39.799999999999997</v>
      </c>
      <c r="L961">
        <v>41.5</v>
      </c>
      <c r="M961">
        <v>45.4</v>
      </c>
      <c r="N961">
        <v>39</v>
      </c>
      <c r="O961">
        <v>50.2</v>
      </c>
      <c r="P961">
        <v>47.5</v>
      </c>
      <c r="Q961">
        <v>52.7</v>
      </c>
      <c r="R961">
        <v>52.7</v>
      </c>
      <c r="S961" t="s">
        <v>141</v>
      </c>
    </row>
    <row r="962" spans="1:19" x14ac:dyDescent="0.25">
      <c r="A962" t="s">
        <v>216</v>
      </c>
      <c r="B962">
        <v>150.19999999999999</v>
      </c>
      <c r="C962">
        <v>25.8</v>
      </c>
      <c r="D962">
        <v>31.1</v>
      </c>
      <c r="E962">
        <v>25.7</v>
      </c>
      <c r="F962">
        <v>29.1</v>
      </c>
      <c r="G962">
        <v>28.7</v>
      </c>
      <c r="H962">
        <v>28.4</v>
      </c>
      <c r="I962">
        <v>28.5</v>
      </c>
      <c r="J962" t="s">
        <v>162</v>
      </c>
      <c r="K962" t="s">
        <v>162</v>
      </c>
      <c r="L962" t="s">
        <v>162</v>
      </c>
      <c r="M962" t="s">
        <v>162</v>
      </c>
      <c r="N962" t="s">
        <v>162</v>
      </c>
      <c r="O962" t="s">
        <v>162</v>
      </c>
      <c r="P962" t="s">
        <v>162</v>
      </c>
      <c r="Q962" t="s">
        <v>162</v>
      </c>
      <c r="R962" t="s">
        <v>162</v>
      </c>
      <c r="S962" t="s">
        <v>141</v>
      </c>
    </row>
    <row r="963" spans="1:19" x14ac:dyDescent="0.25">
      <c r="A963" t="s">
        <v>204</v>
      </c>
      <c r="B963">
        <v>139.69999999999999</v>
      </c>
      <c r="C963">
        <v>15.6</v>
      </c>
      <c r="D963">
        <v>17</v>
      </c>
      <c r="E963">
        <v>15.6</v>
      </c>
      <c r="F963">
        <v>17.100000000000001</v>
      </c>
      <c r="G963">
        <v>15.3</v>
      </c>
      <c r="H963">
        <v>15.8</v>
      </c>
      <c r="I963">
        <v>17</v>
      </c>
      <c r="J963">
        <v>16.5</v>
      </c>
      <c r="K963">
        <v>16.899999999999999</v>
      </c>
      <c r="L963">
        <v>14</v>
      </c>
      <c r="M963">
        <v>20.6</v>
      </c>
      <c r="N963">
        <v>18.5</v>
      </c>
      <c r="O963">
        <v>13.5</v>
      </c>
      <c r="P963" t="s">
        <v>162</v>
      </c>
      <c r="Q963" t="s">
        <v>162</v>
      </c>
      <c r="R963" t="s">
        <v>162</v>
      </c>
      <c r="S963" t="s">
        <v>141</v>
      </c>
    </row>
    <row r="964" spans="1:19" x14ac:dyDescent="0.25">
      <c r="A964" t="s">
        <v>209</v>
      </c>
      <c r="B964">
        <v>7.2</v>
      </c>
      <c r="C964">
        <v>0.3</v>
      </c>
      <c r="D964">
        <v>0.5</v>
      </c>
      <c r="E964">
        <v>0.2</v>
      </c>
      <c r="F964">
        <v>0.2</v>
      </c>
      <c r="G964">
        <v>0.1</v>
      </c>
      <c r="H964">
        <v>0.9</v>
      </c>
      <c r="I964">
        <v>1.3</v>
      </c>
      <c r="J964">
        <v>0.5</v>
      </c>
      <c r="K964">
        <v>0.7</v>
      </c>
      <c r="L964">
        <v>1.2</v>
      </c>
      <c r="M964">
        <v>0.9</v>
      </c>
      <c r="N964">
        <v>0.1</v>
      </c>
      <c r="O964">
        <v>0.5</v>
      </c>
      <c r="P964">
        <v>0.5</v>
      </c>
      <c r="Q964">
        <v>0.4</v>
      </c>
      <c r="R964">
        <v>0.5</v>
      </c>
      <c r="S964" t="s">
        <v>141</v>
      </c>
    </row>
    <row r="965" spans="1:19" x14ac:dyDescent="0.25">
      <c r="A965" t="s">
        <v>208</v>
      </c>
      <c r="B965">
        <v>118.8</v>
      </c>
      <c r="C965">
        <v>0.2</v>
      </c>
      <c r="D965">
        <v>0.5</v>
      </c>
      <c r="E965">
        <v>0.3</v>
      </c>
      <c r="F965">
        <v>0.1</v>
      </c>
      <c r="G965">
        <v>0.1</v>
      </c>
      <c r="H965">
        <v>0.3</v>
      </c>
      <c r="I965">
        <v>0.7</v>
      </c>
      <c r="J965">
        <v>0.4</v>
      </c>
      <c r="K965">
        <v>0.2</v>
      </c>
      <c r="L965">
        <v>0.4</v>
      </c>
      <c r="M965">
        <v>0.4</v>
      </c>
      <c r="N965">
        <v>0.3</v>
      </c>
      <c r="O965">
        <v>0.7</v>
      </c>
      <c r="P965">
        <v>0.5</v>
      </c>
      <c r="Q965">
        <v>0.2</v>
      </c>
      <c r="R965">
        <v>0.4</v>
      </c>
      <c r="S965" t="s">
        <v>141</v>
      </c>
    </row>
    <row r="966" spans="1:19" x14ac:dyDescent="0.25">
      <c r="A966" t="s">
        <v>163</v>
      </c>
      <c r="B966" t="s">
        <v>162</v>
      </c>
      <c r="C966" t="s">
        <v>162</v>
      </c>
      <c r="D966" t="s">
        <v>162</v>
      </c>
      <c r="E966" t="s">
        <v>162</v>
      </c>
      <c r="F966" t="s">
        <v>162</v>
      </c>
      <c r="G966" t="s">
        <v>162</v>
      </c>
      <c r="H966" t="s">
        <v>162</v>
      </c>
      <c r="I966" t="s">
        <v>162</v>
      </c>
      <c r="J966" t="s">
        <v>162</v>
      </c>
      <c r="K966" t="s">
        <v>162</v>
      </c>
      <c r="L966" t="s">
        <v>162</v>
      </c>
      <c r="M966">
        <v>89.3</v>
      </c>
      <c r="N966">
        <v>94</v>
      </c>
      <c r="O966">
        <v>90.3</v>
      </c>
      <c r="P966">
        <v>88</v>
      </c>
      <c r="Q966">
        <v>98.7</v>
      </c>
      <c r="R966">
        <v>89.8</v>
      </c>
      <c r="S966" t="s">
        <v>141</v>
      </c>
    </row>
    <row r="967" spans="1:19" x14ac:dyDescent="0.25">
      <c r="A967" t="s">
        <v>219</v>
      </c>
      <c r="B967" t="s">
        <v>162</v>
      </c>
      <c r="C967" t="s">
        <v>162</v>
      </c>
      <c r="D967" t="s">
        <v>162</v>
      </c>
      <c r="E967" t="s">
        <v>162</v>
      </c>
      <c r="F967" t="s">
        <v>162</v>
      </c>
      <c r="G967" t="s">
        <v>162</v>
      </c>
      <c r="H967" t="s">
        <v>162</v>
      </c>
      <c r="I967" t="s">
        <v>162</v>
      </c>
      <c r="J967" t="s">
        <v>162</v>
      </c>
      <c r="K967" t="s">
        <v>162</v>
      </c>
      <c r="L967" t="s">
        <v>162</v>
      </c>
      <c r="M967" t="s">
        <v>162</v>
      </c>
      <c r="N967">
        <v>55.5</v>
      </c>
      <c r="O967">
        <v>62.8</v>
      </c>
      <c r="P967" t="s">
        <v>162</v>
      </c>
      <c r="Q967" t="s">
        <v>162</v>
      </c>
      <c r="R967" t="s">
        <v>162</v>
      </c>
      <c r="S967" t="s">
        <v>141</v>
      </c>
    </row>
    <row r="968" spans="1:19" x14ac:dyDescent="0.25">
      <c r="A968" t="s">
        <v>166</v>
      </c>
      <c r="B968" t="s">
        <v>162</v>
      </c>
      <c r="C968" t="s">
        <v>162</v>
      </c>
      <c r="D968" t="s">
        <v>162</v>
      </c>
      <c r="E968" t="s">
        <v>162</v>
      </c>
      <c r="F968" t="s">
        <v>162</v>
      </c>
      <c r="G968" t="s">
        <v>162</v>
      </c>
      <c r="H968" t="s">
        <v>162</v>
      </c>
      <c r="I968" t="s">
        <v>162</v>
      </c>
      <c r="J968">
        <v>27.6</v>
      </c>
      <c r="K968">
        <v>30.9</v>
      </c>
      <c r="L968">
        <v>29.6</v>
      </c>
      <c r="M968">
        <v>22.4</v>
      </c>
      <c r="N968">
        <v>21.8</v>
      </c>
      <c r="O968">
        <v>28.6</v>
      </c>
      <c r="P968">
        <v>30.5</v>
      </c>
      <c r="Q968">
        <v>25.4</v>
      </c>
      <c r="R968">
        <v>22.4</v>
      </c>
      <c r="S968" t="s">
        <v>141</v>
      </c>
    </row>
    <row r="969" spans="1:19" x14ac:dyDescent="0.25">
      <c r="A969" t="s">
        <v>211</v>
      </c>
      <c r="S969" t="s">
        <v>141</v>
      </c>
    </row>
    <row r="970" spans="1:19" x14ac:dyDescent="0.25">
      <c r="A970" t="s">
        <v>212</v>
      </c>
      <c r="B970">
        <v>16.8</v>
      </c>
      <c r="C970">
        <v>3.7</v>
      </c>
      <c r="D970">
        <v>7.1</v>
      </c>
      <c r="E970">
        <v>9.6999999999999993</v>
      </c>
      <c r="F970">
        <v>10.1</v>
      </c>
      <c r="G970">
        <v>6</v>
      </c>
      <c r="H970">
        <v>32.9</v>
      </c>
      <c r="I970">
        <v>0</v>
      </c>
      <c r="J970">
        <v>0</v>
      </c>
      <c r="K970" t="s">
        <v>162</v>
      </c>
      <c r="L970" t="s">
        <v>162</v>
      </c>
      <c r="M970" t="s">
        <v>162</v>
      </c>
      <c r="N970" t="s">
        <v>162</v>
      </c>
      <c r="O970" t="s">
        <v>162</v>
      </c>
      <c r="P970" t="s">
        <v>162</v>
      </c>
      <c r="Q970" t="s">
        <v>162</v>
      </c>
      <c r="R970" t="s">
        <v>162</v>
      </c>
      <c r="S970" t="s">
        <v>141</v>
      </c>
    </row>
    <row r="971" spans="1:19" x14ac:dyDescent="0.25">
      <c r="A971" t="s">
        <v>213</v>
      </c>
      <c r="B971">
        <v>846.6</v>
      </c>
      <c r="C971" t="s">
        <v>162</v>
      </c>
      <c r="D971" t="s">
        <v>162</v>
      </c>
      <c r="E971" t="s">
        <v>162</v>
      </c>
      <c r="F971" t="s">
        <v>162</v>
      </c>
      <c r="G971" t="s">
        <v>162</v>
      </c>
      <c r="H971" t="s">
        <v>162</v>
      </c>
      <c r="I971" t="s">
        <v>162</v>
      </c>
      <c r="J971" t="s">
        <v>162</v>
      </c>
      <c r="K971" t="s">
        <v>162</v>
      </c>
      <c r="L971" t="s">
        <v>162</v>
      </c>
      <c r="M971" t="s">
        <v>162</v>
      </c>
      <c r="N971" t="s">
        <v>162</v>
      </c>
      <c r="O971" t="s">
        <v>162</v>
      </c>
      <c r="P971" t="s">
        <v>162</v>
      </c>
      <c r="Q971" t="s">
        <v>162</v>
      </c>
      <c r="R971" t="s">
        <v>162</v>
      </c>
      <c r="S971" t="s">
        <v>141</v>
      </c>
    </row>
    <row r="972" spans="1:19" x14ac:dyDescent="0.25">
      <c r="A972" t="s">
        <v>258</v>
      </c>
      <c r="S972" t="s">
        <v>141</v>
      </c>
    </row>
    <row r="973" spans="1:19" x14ac:dyDescent="0.25">
      <c r="A973" t="s">
        <v>142</v>
      </c>
      <c r="S973" t="s">
        <v>142</v>
      </c>
    </row>
    <row r="974" spans="1:19" x14ac:dyDescent="0.25">
      <c r="A974" t="s">
        <v>198</v>
      </c>
      <c r="B974" t="s">
        <v>257</v>
      </c>
      <c r="C974" t="s">
        <v>256</v>
      </c>
      <c r="D974" t="s">
        <v>181</v>
      </c>
      <c r="E974" t="s">
        <v>180</v>
      </c>
      <c r="F974" t="s">
        <v>179</v>
      </c>
      <c r="G974" t="s">
        <v>178</v>
      </c>
      <c r="H974" t="s">
        <v>177</v>
      </c>
      <c r="I974" t="s">
        <v>176</v>
      </c>
      <c r="J974" t="s">
        <v>175</v>
      </c>
      <c r="K974" t="s">
        <v>174</v>
      </c>
      <c r="L974" t="s">
        <v>173</v>
      </c>
      <c r="M974" t="s">
        <v>172</v>
      </c>
      <c r="N974" t="s">
        <v>171</v>
      </c>
      <c r="O974" t="s">
        <v>170</v>
      </c>
      <c r="P974" t="s">
        <v>169</v>
      </c>
      <c r="Q974" t="s">
        <v>168</v>
      </c>
      <c r="R974" t="s">
        <v>167</v>
      </c>
      <c r="S974" t="s">
        <v>142</v>
      </c>
    </row>
    <row r="975" spans="1:19" x14ac:dyDescent="0.25">
      <c r="A975" t="s">
        <v>199</v>
      </c>
      <c r="S975" t="s">
        <v>142</v>
      </c>
    </row>
    <row r="976" spans="1:19" x14ac:dyDescent="0.25">
      <c r="A976" t="s">
        <v>163</v>
      </c>
      <c r="B976">
        <v>3568</v>
      </c>
      <c r="C976">
        <v>94.9</v>
      </c>
      <c r="D976">
        <v>90.2</v>
      </c>
      <c r="E976">
        <v>91.4</v>
      </c>
      <c r="F976">
        <v>96.2</v>
      </c>
      <c r="G976">
        <v>94.4</v>
      </c>
      <c r="H976">
        <v>93.6</v>
      </c>
      <c r="I976">
        <v>97.8</v>
      </c>
      <c r="J976">
        <v>94.9</v>
      </c>
      <c r="K976">
        <v>89.8</v>
      </c>
      <c r="L976">
        <v>96.7</v>
      </c>
      <c r="M976">
        <v>93.5</v>
      </c>
      <c r="N976">
        <v>91.8</v>
      </c>
      <c r="O976">
        <v>82.8</v>
      </c>
      <c r="P976">
        <v>86.6</v>
      </c>
      <c r="Q976">
        <v>94.6</v>
      </c>
      <c r="R976">
        <v>93.4</v>
      </c>
      <c r="S976" t="s">
        <v>142</v>
      </c>
    </row>
    <row r="977" spans="1:19" x14ac:dyDescent="0.25">
      <c r="A977" t="s">
        <v>165</v>
      </c>
      <c r="B977">
        <v>496.7</v>
      </c>
      <c r="C977">
        <v>64.8</v>
      </c>
      <c r="D977">
        <v>67.8</v>
      </c>
      <c r="E977">
        <v>66.599999999999994</v>
      </c>
      <c r="F977">
        <v>59.9</v>
      </c>
      <c r="G977">
        <v>63</v>
      </c>
      <c r="H977">
        <v>61.7</v>
      </c>
      <c r="I977">
        <v>59.9</v>
      </c>
      <c r="J977">
        <v>61.3</v>
      </c>
      <c r="K977">
        <v>63.4</v>
      </c>
      <c r="L977">
        <v>60.7</v>
      </c>
      <c r="M977">
        <v>51.6</v>
      </c>
      <c r="N977">
        <v>59.4</v>
      </c>
      <c r="O977">
        <v>42.2</v>
      </c>
      <c r="P977">
        <v>48.4</v>
      </c>
      <c r="Q977">
        <v>66.2</v>
      </c>
      <c r="R977">
        <v>71.099999999999994</v>
      </c>
      <c r="S977" t="s">
        <v>142</v>
      </c>
    </row>
    <row r="978" spans="1:19" x14ac:dyDescent="0.25">
      <c r="A978" t="s">
        <v>202</v>
      </c>
      <c r="B978">
        <v>8898.7999999999993</v>
      </c>
      <c r="C978">
        <v>59.7</v>
      </c>
      <c r="D978">
        <v>56.8</v>
      </c>
      <c r="E978">
        <v>62.9</v>
      </c>
      <c r="F978">
        <v>72.2</v>
      </c>
      <c r="G978">
        <v>67.5</v>
      </c>
      <c r="H978">
        <v>65.599999999999994</v>
      </c>
      <c r="I978">
        <v>63.1</v>
      </c>
      <c r="J978">
        <v>64.599999999999994</v>
      </c>
      <c r="K978">
        <v>62.5</v>
      </c>
      <c r="L978">
        <v>54.2</v>
      </c>
      <c r="M978">
        <v>59.1</v>
      </c>
      <c r="N978">
        <v>66.2</v>
      </c>
      <c r="O978">
        <v>51.2</v>
      </c>
      <c r="P978">
        <v>46.3</v>
      </c>
      <c r="Q978">
        <v>37.799999999999997</v>
      </c>
      <c r="R978">
        <v>26.8</v>
      </c>
      <c r="S978" t="s">
        <v>142</v>
      </c>
    </row>
    <row r="979" spans="1:19" x14ac:dyDescent="0.25">
      <c r="A979" t="s">
        <v>200</v>
      </c>
      <c r="B979">
        <v>304.89999999999998</v>
      </c>
      <c r="C979">
        <v>52.3</v>
      </c>
      <c r="D979">
        <v>56.4</v>
      </c>
      <c r="E979">
        <v>58.1</v>
      </c>
      <c r="F979">
        <v>61.7</v>
      </c>
      <c r="G979">
        <v>61.9</v>
      </c>
      <c r="H979">
        <v>61.9</v>
      </c>
      <c r="I979">
        <v>42.1</v>
      </c>
      <c r="J979">
        <v>58.2</v>
      </c>
      <c r="K979">
        <v>58.1</v>
      </c>
      <c r="L979">
        <v>60.1</v>
      </c>
      <c r="M979">
        <v>54.6</v>
      </c>
      <c r="N979">
        <v>49.8</v>
      </c>
      <c r="O979">
        <v>48.6</v>
      </c>
      <c r="P979">
        <v>48.1</v>
      </c>
      <c r="Q979">
        <v>46</v>
      </c>
      <c r="R979">
        <v>51</v>
      </c>
      <c r="S979" t="s">
        <v>142</v>
      </c>
    </row>
    <row r="980" spans="1:19" x14ac:dyDescent="0.25">
      <c r="A980" t="s">
        <v>221</v>
      </c>
      <c r="B980">
        <v>12</v>
      </c>
      <c r="C980">
        <v>44.7</v>
      </c>
      <c r="D980">
        <v>48.4</v>
      </c>
      <c r="E980">
        <v>47.1</v>
      </c>
      <c r="F980" t="s">
        <v>162</v>
      </c>
      <c r="G980" t="s">
        <v>162</v>
      </c>
      <c r="H980" t="s">
        <v>162</v>
      </c>
      <c r="I980" t="s">
        <v>162</v>
      </c>
      <c r="J980" t="s">
        <v>162</v>
      </c>
      <c r="K980" t="s">
        <v>162</v>
      </c>
      <c r="L980" t="s">
        <v>162</v>
      </c>
      <c r="M980" t="s">
        <v>162</v>
      </c>
      <c r="N980" t="s">
        <v>162</v>
      </c>
      <c r="O980" t="s">
        <v>162</v>
      </c>
      <c r="P980" t="s">
        <v>162</v>
      </c>
      <c r="Q980" t="s">
        <v>162</v>
      </c>
      <c r="R980" t="s">
        <v>162</v>
      </c>
      <c r="S980" t="s">
        <v>142</v>
      </c>
    </row>
    <row r="981" spans="1:19" x14ac:dyDescent="0.25">
      <c r="A981" t="s">
        <v>204</v>
      </c>
      <c r="B981">
        <v>3002</v>
      </c>
      <c r="C981">
        <v>20.3</v>
      </c>
      <c r="D981">
        <v>21.5</v>
      </c>
      <c r="E981">
        <v>22.5</v>
      </c>
      <c r="F981">
        <v>22.6</v>
      </c>
      <c r="G981">
        <v>26.3</v>
      </c>
      <c r="H981">
        <v>23.2</v>
      </c>
      <c r="I981">
        <v>26.3</v>
      </c>
      <c r="J981">
        <v>14.5</v>
      </c>
      <c r="K981" t="s">
        <v>162</v>
      </c>
      <c r="L981" t="s">
        <v>162</v>
      </c>
      <c r="M981" t="s">
        <v>162</v>
      </c>
      <c r="N981" t="s">
        <v>162</v>
      </c>
      <c r="O981" t="s">
        <v>162</v>
      </c>
      <c r="P981" t="s">
        <v>162</v>
      </c>
      <c r="Q981" t="s">
        <v>162</v>
      </c>
      <c r="R981" t="s">
        <v>162</v>
      </c>
      <c r="S981" t="s">
        <v>142</v>
      </c>
    </row>
    <row r="982" spans="1:19" x14ac:dyDescent="0.25">
      <c r="A982" t="s">
        <v>203</v>
      </c>
      <c r="B982">
        <v>866.6</v>
      </c>
      <c r="C982">
        <v>18.3</v>
      </c>
      <c r="D982">
        <v>15</v>
      </c>
      <c r="E982">
        <v>17.2</v>
      </c>
      <c r="F982">
        <v>26.7</v>
      </c>
      <c r="G982">
        <v>20</v>
      </c>
      <c r="H982">
        <v>23.3</v>
      </c>
      <c r="I982">
        <v>14.7</v>
      </c>
      <c r="J982">
        <v>19.3</v>
      </c>
      <c r="K982">
        <v>15.3</v>
      </c>
      <c r="L982">
        <v>12.6</v>
      </c>
      <c r="M982">
        <v>16.5</v>
      </c>
      <c r="N982">
        <v>13.7</v>
      </c>
      <c r="O982">
        <v>16</v>
      </c>
      <c r="P982">
        <v>19.8</v>
      </c>
      <c r="Q982">
        <v>23.6</v>
      </c>
      <c r="R982">
        <v>17.8</v>
      </c>
      <c r="S982" t="s">
        <v>142</v>
      </c>
    </row>
    <row r="983" spans="1:19" x14ac:dyDescent="0.25">
      <c r="A983" t="s">
        <v>201</v>
      </c>
      <c r="B983">
        <v>1860.8</v>
      </c>
      <c r="C983">
        <v>9.9</v>
      </c>
      <c r="D983">
        <v>16.3</v>
      </c>
      <c r="E983">
        <v>15.6</v>
      </c>
      <c r="F983">
        <v>16.100000000000001</v>
      </c>
      <c r="G983">
        <v>14.2</v>
      </c>
      <c r="H983">
        <v>29.1</v>
      </c>
      <c r="I983">
        <v>33.1</v>
      </c>
      <c r="J983">
        <v>49.8</v>
      </c>
      <c r="K983">
        <v>40.9</v>
      </c>
      <c r="L983">
        <v>43</v>
      </c>
      <c r="M983">
        <v>42.6</v>
      </c>
      <c r="N983">
        <v>27.9</v>
      </c>
      <c r="O983">
        <v>39.4</v>
      </c>
      <c r="P983">
        <v>50.1</v>
      </c>
      <c r="Q983">
        <v>49.8</v>
      </c>
      <c r="R983">
        <v>61.7</v>
      </c>
      <c r="S983" t="s">
        <v>142</v>
      </c>
    </row>
    <row r="984" spans="1:19" x14ac:dyDescent="0.25">
      <c r="A984" t="s">
        <v>206</v>
      </c>
      <c r="B984">
        <v>4245.8999999999996</v>
      </c>
      <c r="C984">
        <v>8.6</v>
      </c>
      <c r="D984">
        <v>9.9</v>
      </c>
      <c r="E984">
        <v>9.9</v>
      </c>
      <c r="F984">
        <v>12.8</v>
      </c>
      <c r="G984">
        <v>10.5</v>
      </c>
      <c r="H984">
        <v>11.8</v>
      </c>
      <c r="I984">
        <v>7.8</v>
      </c>
      <c r="J984">
        <v>9.6999999999999993</v>
      </c>
      <c r="K984">
        <v>9.5</v>
      </c>
      <c r="L984">
        <v>6.4</v>
      </c>
      <c r="M984">
        <v>6.3</v>
      </c>
      <c r="N984">
        <v>4.5999999999999996</v>
      </c>
      <c r="O984">
        <v>4</v>
      </c>
      <c r="P984">
        <v>8.9</v>
      </c>
      <c r="Q984">
        <v>3.6</v>
      </c>
      <c r="R984">
        <v>4</v>
      </c>
      <c r="S984" t="s">
        <v>142</v>
      </c>
    </row>
    <row r="985" spans="1:19" x14ac:dyDescent="0.25">
      <c r="A985" t="s">
        <v>205</v>
      </c>
      <c r="B985">
        <v>840.5</v>
      </c>
      <c r="C985">
        <v>5.0999999999999996</v>
      </c>
      <c r="D985">
        <v>7.8</v>
      </c>
      <c r="E985">
        <v>8.1999999999999993</v>
      </c>
      <c r="F985">
        <v>5.3</v>
      </c>
      <c r="G985">
        <v>10.3</v>
      </c>
      <c r="H985">
        <v>10</v>
      </c>
      <c r="I985">
        <v>6.7</v>
      </c>
      <c r="J985">
        <v>10.7</v>
      </c>
      <c r="K985">
        <v>8.6999999999999993</v>
      </c>
      <c r="L985">
        <v>9</v>
      </c>
      <c r="M985">
        <v>13.4</v>
      </c>
      <c r="N985">
        <v>6.9</v>
      </c>
      <c r="O985">
        <v>5.3</v>
      </c>
      <c r="P985">
        <v>11.9</v>
      </c>
      <c r="Q985">
        <v>5.7</v>
      </c>
      <c r="R985">
        <v>7.6</v>
      </c>
      <c r="S985" t="s">
        <v>142</v>
      </c>
    </row>
    <row r="986" spans="1:19" x14ac:dyDescent="0.25">
      <c r="A986" t="s">
        <v>215</v>
      </c>
      <c r="B986">
        <v>1.3</v>
      </c>
      <c r="C986">
        <v>0.8</v>
      </c>
      <c r="D986">
        <v>0.8</v>
      </c>
      <c r="E986">
        <v>0.3</v>
      </c>
      <c r="F986">
        <v>1.5</v>
      </c>
      <c r="G986">
        <v>11.9</v>
      </c>
      <c r="H986">
        <v>13.9</v>
      </c>
      <c r="I986">
        <v>11.9</v>
      </c>
      <c r="J986">
        <v>7.1</v>
      </c>
      <c r="K986" t="s">
        <v>162</v>
      </c>
      <c r="L986" t="s">
        <v>162</v>
      </c>
      <c r="M986" t="s">
        <v>162</v>
      </c>
      <c r="N986" t="s">
        <v>162</v>
      </c>
      <c r="O986" t="s">
        <v>162</v>
      </c>
      <c r="P986" t="s">
        <v>162</v>
      </c>
      <c r="Q986" t="s">
        <v>162</v>
      </c>
      <c r="R986" t="s">
        <v>162</v>
      </c>
      <c r="S986" t="s">
        <v>142</v>
      </c>
    </row>
    <row r="987" spans="1:19" x14ac:dyDescent="0.25">
      <c r="A987" t="s">
        <v>208</v>
      </c>
      <c r="B987">
        <v>604.20000000000005</v>
      </c>
      <c r="C987">
        <v>0.7</v>
      </c>
      <c r="D987">
        <v>1.7</v>
      </c>
      <c r="E987">
        <v>0.9</v>
      </c>
      <c r="F987">
        <v>0.8</v>
      </c>
      <c r="G987">
        <v>0.4</v>
      </c>
      <c r="H987">
        <v>2.2000000000000002</v>
      </c>
      <c r="I987">
        <v>1.4</v>
      </c>
      <c r="J987">
        <v>2.1</v>
      </c>
      <c r="K987">
        <v>2.6</v>
      </c>
      <c r="L987">
        <v>3.1</v>
      </c>
      <c r="M987">
        <v>0.9</v>
      </c>
      <c r="N987">
        <v>1.5</v>
      </c>
      <c r="O987">
        <v>0.7</v>
      </c>
      <c r="P987">
        <v>1.2</v>
      </c>
      <c r="Q987">
        <v>0.5</v>
      </c>
      <c r="R987">
        <v>0.8</v>
      </c>
      <c r="S987" t="s">
        <v>142</v>
      </c>
    </row>
    <row r="988" spans="1:19" x14ac:dyDescent="0.25">
      <c r="A988" t="s">
        <v>209</v>
      </c>
      <c r="B988">
        <v>141.19999999999999</v>
      </c>
      <c r="C988">
        <v>0.7</v>
      </c>
      <c r="D988">
        <v>0.8</v>
      </c>
      <c r="E988">
        <v>0.8</v>
      </c>
      <c r="F988">
        <v>0.7</v>
      </c>
      <c r="G988">
        <v>0.6</v>
      </c>
      <c r="H988">
        <v>0.6</v>
      </c>
      <c r="I988">
        <v>0.3</v>
      </c>
      <c r="J988">
        <v>0.5</v>
      </c>
      <c r="K988">
        <v>0.7</v>
      </c>
      <c r="L988">
        <v>0.5</v>
      </c>
      <c r="M988">
        <v>0.2</v>
      </c>
      <c r="N988">
        <v>0.2</v>
      </c>
      <c r="O988">
        <v>0.3</v>
      </c>
      <c r="P988">
        <v>1.8</v>
      </c>
      <c r="Q988">
        <v>1.1000000000000001</v>
      </c>
      <c r="R988">
        <v>1.7</v>
      </c>
      <c r="S988" t="s">
        <v>142</v>
      </c>
    </row>
    <row r="989" spans="1:19" x14ac:dyDescent="0.25">
      <c r="A989" t="s">
        <v>217</v>
      </c>
      <c r="B989" t="s">
        <v>162</v>
      </c>
      <c r="C989" t="s">
        <v>162</v>
      </c>
      <c r="D989" t="s">
        <v>162</v>
      </c>
      <c r="E989">
        <v>28.5</v>
      </c>
      <c r="F989">
        <v>55.5</v>
      </c>
      <c r="G989">
        <v>43.2</v>
      </c>
      <c r="H989" t="s">
        <v>162</v>
      </c>
      <c r="I989" t="s">
        <v>162</v>
      </c>
      <c r="J989" t="s">
        <v>162</v>
      </c>
      <c r="K989" t="s">
        <v>162</v>
      </c>
      <c r="L989">
        <v>29.3</v>
      </c>
      <c r="M989">
        <v>24</v>
      </c>
      <c r="N989" t="s">
        <v>162</v>
      </c>
      <c r="O989" t="s">
        <v>162</v>
      </c>
      <c r="P989" t="s">
        <v>162</v>
      </c>
      <c r="Q989" t="s">
        <v>162</v>
      </c>
      <c r="R989" t="s">
        <v>162</v>
      </c>
      <c r="S989" t="s">
        <v>142</v>
      </c>
    </row>
    <row r="990" spans="1:19" x14ac:dyDescent="0.25">
      <c r="A990" t="s">
        <v>219</v>
      </c>
      <c r="B990" t="s">
        <v>162</v>
      </c>
      <c r="C990" t="s">
        <v>162</v>
      </c>
      <c r="D990">
        <v>0.4</v>
      </c>
      <c r="E990">
        <v>0.7</v>
      </c>
      <c r="F990">
        <v>0.3</v>
      </c>
      <c r="G990">
        <v>0.6</v>
      </c>
      <c r="H990">
        <v>2.2999999999999998</v>
      </c>
      <c r="I990">
        <v>1.4</v>
      </c>
      <c r="J990">
        <v>1.7</v>
      </c>
      <c r="K990">
        <v>3.9</v>
      </c>
      <c r="L990">
        <v>2.6</v>
      </c>
      <c r="M990">
        <v>0.9</v>
      </c>
      <c r="N990">
        <v>1.2</v>
      </c>
      <c r="O990">
        <v>1.8</v>
      </c>
      <c r="P990">
        <v>5</v>
      </c>
      <c r="Q990">
        <v>3.1</v>
      </c>
      <c r="R990">
        <v>4.8</v>
      </c>
      <c r="S990" t="s">
        <v>142</v>
      </c>
    </row>
    <row r="991" spans="1:19" x14ac:dyDescent="0.25">
      <c r="A991" t="s">
        <v>211</v>
      </c>
      <c r="S991" t="s">
        <v>142</v>
      </c>
    </row>
    <row r="992" spans="1:19" x14ac:dyDescent="0.25">
      <c r="A992" t="s">
        <v>220</v>
      </c>
      <c r="B992">
        <v>3253.1</v>
      </c>
      <c r="C992">
        <v>14.6</v>
      </c>
      <c r="D992">
        <v>16.7</v>
      </c>
      <c r="E992">
        <v>11.5</v>
      </c>
      <c r="F992">
        <v>12.4</v>
      </c>
      <c r="G992">
        <v>11.8</v>
      </c>
      <c r="H992">
        <v>14.8</v>
      </c>
      <c r="I992">
        <v>13.6</v>
      </c>
      <c r="J992">
        <v>11.9</v>
      </c>
      <c r="K992">
        <v>13</v>
      </c>
      <c r="L992">
        <v>14.9</v>
      </c>
      <c r="M992">
        <v>14.1</v>
      </c>
      <c r="N992" t="s">
        <v>162</v>
      </c>
      <c r="O992" t="s">
        <v>162</v>
      </c>
      <c r="P992" t="s">
        <v>162</v>
      </c>
      <c r="Q992" t="s">
        <v>162</v>
      </c>
      <c r="R992" t="s">
        <v>162</v>
      </c>
      <c r="S992" t="s">
        <v>142</v>
      </c>
    </row>
    <row r="993" spans="1:19" x14ac:dyDescent="0.25">
      <c r="A993" t="s">
        <v>212</v>
      </c>
      <c r="B993">
        <v>52.2</v>
      </c>
      <c r="C993">
        <v>2</v>
      </c>
      <c r="D993">
        <v>0.7</v>
      </c>
      <c r="E993" t="s">
        <v>162</v>
      </c>
      <c r="F993" t="s">
        <v>162</v>
      </c>
      <c r="G993" t="s">
        <v>162</v>
      </c>
      <c r="H993" t="s">
        <v>162</v>
      </c>
      <c r="I993" t="s">
        <v>162</v>
      </c>
      <c r="J993" t="s">
        <v>162</v>
      </c>
      <c r="K993" t="s">
        <v>162</v>
      </c>
      <c r="L993" t="s">
        <v>162</v>
      </c>
      <c r="M993" t="s">
        <v>162</v>
      </c>
      <c r="N993" t="s">
        <v>162</v>
      </c>
      <c r="O993" t="s">
        <v>162</v>
      </c>
      <c r="P993" t="s">
        <v>162</v>
      </c>
      <c r="Q993" t="s">
        <v>162</v>
      </c>
      <c r="R993" t="s">
        <v>162</v>
      </c>
      <c r="S993" t="s">
        <v>142</v>
      </c>
    </row>
    <row r="994" spans="1:19" x14ac:dyDescent="0.25">
      <c r="A994" t="s">
        <v>213</v>
      </c>
      <c r="B994">
        <v>28148.3</v>
      </c>
      <c r="C994" t="s">
        <v>162</v>
      </c>
      <c r="D994" t="s">
        <v>162</v>
      </c>
      <c r="E994" t="s">
        <v>162</v>
      </c>
      <c r="F994" t="s">
        <v>162</v>
      </c>
      <c r="G994" t="s">
        <v>162</v>
      </c>
      <c r="H994" t="s">
        <v>162</v>
      </c>
      <c r="I994" t="s">
        <v>162</v>
      </c>
      <c r="J994" t="s">
        <v>162</v>
      </c>
      <c r="K994" t="s">
        <v>162</v>
      </c>
      <c r="L994" t="s">
        <v>162</v>
      </c>
      <c r="M994" t="s">
        <v>162</v>
      </c>
      <c r="N994" t="s">
        <v>162</v>
      </c>
      <c r="O994" t="s">
        <v>162</v>
      </c>
      <c r="P994" t="s">
        <v>162</v>
      </c>
      <c r="Q994" t="s">
        <v>162</v>
      </c>
      <c r="R994" t="s">
        <v>162</v>
      </c>
      <c r="S994" t="s">
        <v>142</v>
      </c>
    </row>
    <row r="995" spans="1:19" x14ac:dyDescent="0.25">
      <c r="A995" t="s">
        <v>214</v>
      </c>
      <c r="S995" t="s">
        <v>142</v>
      </c>
    </row>
    <row r="996" spans="1:19" x14ac:dyDescent="0.25">
      <c r="A996" t="s">
        <v>143</v>
      </c>
      <c r="S996" t="s">
        <v>143</v>
      </c>
    </row>
    <row r="997" spans="1:19" x14ac:dyDescent="0.25">
      <c r="A997" t="s">
        <v>198</v>
      </c>
      <c r="B997" t="s">
        <v>257</v>
      </c>
      <c r="C997" t="s">
        <v>256</v>
      </c>
      <c r="D997" t="s">
        <v>181</v>
      </c>
      <c r="E997" t="s">
        <v>180</v>
      </c>
      <c r="F997" t="s">
        <v>179</v>
      </c>
      <c r="G997" t="s">
        <v>178</v>
      </c>
      <c r="H997" t="s">
        <v>177</v>
      </c>
      <c r="I997" t="s">
        <v>176</v>
      </c>
      <c r="J997" t="s">
        <v>175</v>
      </c>
      <c r="K997" t="s">
        <v>174</v>
      </c>
      <c r="L997" t="s">
        <v>173</v>
      </c>
      <c r="M997" t="s">
        <v>172</v>
      </c>
      <c r="N997" t="s">
        <v>171</v>
      </c>
      <c r="O997" t="s">
        <v>170</v>
      </c>
      <c r="P997" t="s">
        <v>169</v>
      </c>
      <c r="Q997" t="s">
        <v>168</v>
      </c>
      <c r="R997" t="s">
        <v>167</v>
      </c>
      <c r="S997" t="s">
        <v>143</v>
      </c>
    </row>
    <row r="998" spans="1:19" x14ac:dyDescent="0.25">
      <c r="A998" t="s">
        <v>199</v>
      </c>
      <c r="S998" t="s">
        <v>143</v>
      </c>
    </row>
    <row r="999" spans="1:19" x14ac:dyDescent="0.25">
      <c r="A999" t="s">
        <v>163</v>
      </c>
      <c r="B999">
        <v>1151</v>
      </c>
      <c r="C999">
        <v>83.7</v>
      </c>
      <c r="D999">
        <v>97.7</v>
      </c>
      <c r="E999">
        <v>84.4</v>
      </c>
      <c r="F999">
        <v>93.2</v>
      </c>
      <c r="G999">
        <v>87</v>
      </c>
      <c r="H999">
        <v>95.3</v>
      </c>
      <c r="I999">
        <v>79.5</v>
      </c>
      <c r="J999">
        <v>94.5</v>
      </c>
      <c r="K999">
        <v>80.400000000000006</v>
      </c>
      <c r="L999">
        <v>95.4</v>
      </c>
      <c r="M999">
        <v>85.2</v>
      </c>
      <c r="N999">
        <v>93.9</v>
      </c>
      <c r="O999">
        <v>50</v>
      </c>
      <c r="P999">
        <v>96.2</v>
      </c>
      <c r="Q999">
        <v>67</v>
      </c>
      <c r="R999">
        <v>93.3</v>
      </c>
      <c r="S999" t="s">
        <v>143</v>
      </c>
    </row>
    <row r="1000" spans="1:19" x14ac:dyDescent="0.25">
      <c r="A1000" t="s">
        <v>202</v>
      </c>
      <c r="B1000">
        <v>2626.6</v>
      </c>
      <c r="C1000">
        <v>73.599999999999994</v>
      </c>
      <c r="D1000">
        <v>57.9</v>
      </c>
      <c r="E1000">
        <v>66.2</v>
      </c>
      <c r="F1000">
        <v>56.2</v>
      </c>
      <c r="G1000">
        <v>63.4</v>
      </c>
      <c r="H1000">
        <v>42.1</v>
      </c>
      <c r="I1000">
        <v>42.8</v>
      </c>
      <c r="J1000">
        <v>42.9</v>
      </c>
      <c r="K1000">
        <v>50.7</v>
      </c>
      <c r="L1000">
        <v>46.3</v>
      </c>
      <c r="M1000">
        <v>47</v>
      </c>
      <c r="N1000">
        <v>23</v>
      </c>
      <c r="O1000">
        <v>18.3</v>
      </c>
      <c r="P1000">
        <v>37.5</v>
      </c>
      <c r="Q1000">
        <v>43.3</v>
      </c>
      <c r="R1000">
        <v>38.5</v>
      </c>
      <c r="S1000" t="s">
        <v>143</v>
      </c>
    </row>
    <row r="1001" spans="1:19" x14ac:dyDescent="0.25">
      <c r="A1001" t="s">
        <v>201</v>
      </c>
      <c r="B1001">
        <v>670</v>
      </c>
      <c r="C1001">
        <v>70.599999999999994</v>
      </c>
      <c r="D1001">
        <v>60.6</v>
      </c>
      <c r="E1001">
        <v>53.1</v>
      </c>
      <c r="F1001">
        <v>41.9</v>
      </c>
      <c r="G1001">
        <v>61</v>
      </c>
      <c r="H1001">
        <v>45.7</v>
      </c>
      <c r="I1001">
        <v>46.6</v>
      </c>
      <c r="J1001">
        <v>38.9</v>
      </c>
      <c r="K1001">
        <v>42.8</v>
      </c>
      <c r="L1001">
        <v>56.9</v>
      </c>
      <c r="M1001">
        <v>57.2</v>
      </c>
      <c r="N1001">
        <v>31.7</v>
      </c>
      <c r="O1001">
        <v>44.4</v>
      </c>
      <c r="P1001">
        <v>72.400000000000006</v>
      </c>
      <c r="Q1001">
        <v>61.8</v>
      </c>
      <c r="R1001">
        <v>72.3</v>
      </c>
      <c r="S1001" t="s">
        <v>143</v>
      </c>
    </row>
    <row r="1002" spans="1:19" x14ac:dyDescent="0.25">
      <c r="A1002" t="s">
        <v>165</v>
      </c>
      <c r="B1002">
        <v>283.8</v>
      </c>
      <c r="C1002">
        <v>52.3</v>
      </c>
      <c r="D1002">
        <v>54.1</v>
      </c>
      <c r="E1002">
        <v>61.5</v>
      </c>
      <c r="F1002">
        <v>52.8</v>
      </c>
      <c r="G1002">
        <v>57.3</v>
      </c>
      <c r="H1002">
        <v>59.8</v>
      </c>
      <c r="I1002">
        <v>58.6</v>
      </c>
      <c r="J1002">
        <v>63.6</v>
      </c>
      <c r="K1002">
        <v>63.8</v>
      </c>
      <c r="L1002">
        <v>58.3</v>
      </c>
      <c r="M1002">
        <v>59.6</v>
      </c>
      <c r="N1002">
        <v>54.4</v>
      </c>
      <c r="O1002">
        <v>55.4</v>
      </c>
      <c r="P1002">
        <v>55.9</v>
      </c>
      <c r="Q1002">
        <v>48.4</v>
      </c>
      <c r="R1002">
        <v>43.8</v>
      </c>
      <c r="S1002" t="s">
        <v>143</v>
      </c>
    </row>
    <row r="1003" spans="1:19" x14ac:dyDescent="0.25">
      <c r="A1003" t="s">
        <v>200</v>
      </c>
      <c r="B1003">
        <v>37.200000000000003</v>
      </c>
      <c r="C1003">
        <v>50.9</v>
      </c>
      <c r="D1003">
        <v>45.5</v>
      </c>
      <c r="E1003">
        <v>52.9</v>
      </c>
      <c r="F1003">
        <v>26.2</v>
      </c>
      <c r="G1003">
        <v>25.9</v>
      </c>
      <c r="H1003">
        <v>43.9</v>
      </c>
      <c r="I1003">
        <v>58.2</v>
      </c>
      <c r="J1003">
        <v>53.8</v>
      </c>
      <c r="K1003">
        <v>52.7</v>
      </c>
      <c r="L1003">
        <v>57.2</v>
      </c>
      <c r="M1003">
        <v>53.7</v>
      </c>
      <c r="N1003">
        <v>50.3</v>
      </c>
      <c r="O1003">
        <v>56.1</v>
      </c>
      <c r="P1003">
        <v>70.400000000000006</v>
      </c>
      <c r="Q1003">
        <v>58.7</v>
      </c>
      <c r="R1003">
        <v>63.5</v>
      </c>
      <c r="S1003" t="s">
        <v>143</v>
      </c>
    </row>
    <row r="1004" spans="1:19" x14ac:dyDescent="0.25">
      <c r="A1004" t="s">
        <v>206</v>
      </c>
      <c r="B1004">
        <v>719.2</v>
      </c>
      <c r="C1004">
        <v>40.5</v>
      </c>
      <c r="D1004">
        <v>20.5</v>
      </c>
      <c r="E1004">
        <v>22.4</v>
      </c>
      <c r="F1004">
        <v>17.899999999999999</v>
      </c>
      <c r="G1004">
        <v>20</v>
      </c>
      <c r="H1004">
        <v>17.600000000000001</v>
      </c>
      <c r="I1004">
        <v>17.8</v>
      </c>
      <c r="J1004">
        <v>20.9</v>
      </c>
      <c r="K1004">
        <v>13.3</v>
      </c>
      <c r="L1004">
        <v>2</v>
      </c>
      <c r="M1004">
        <v>3</v>
      </c>
      <c r="N1004">
        <v>2</v>
      </c>
      <c r="O1004">
        <v>1.9</v>
      </c>
      <c r="P1004">
        <v>1.6</v>
      </c>
      <c r="Q1004">
        <v>3.2</v>
      </c>
      <c r="R1004">
        <v>0.7</v>
      </c>
      <c r="S1004" t="s">
        <v>143</v>
      </c>
    </row>
    <row r="1005" spans="1:19" x14ac:dyDescent="0.25">
      <c r="A1005" t="s">
        <v>203</v>
      </c>
      <c r="B1005">
        <v>21505.599999999999</v>
      </c>
      <c r="C1005">
        <v>32.6</v>
      </c>
      <c r="D1005">
        <v>42</v>
      </c>
      <c r="E1005">
        <v>38.200000000000003</v>
      </c>
      <c r="F1005">
        <v>40.9</v>
      </c>
      <c r="G1005">
        <v>35.4</v>
      </c>
      <c r="H1005">
        <v>43.6</v>
      </c>
      <c r="I1005">
        <v>44.3</v>
      </c>
      <c r="J1005">
        <v>41.9</v>
      </c>
      <c r="K1005">
        <v>39.4</v>
      </c>
      <c r="L1005">
        <v>42.8</v>
      </c>
      <c r="M1005">
        <v>42.2</v>
      </c>
      <c r="N1005">
        <v>47</v>
      </c>
      <c r="O1005">
        <v>48</v>
      </c>
      <c r="P1005">
        <v>36.799999999999997</v>
      </c>
      <c r="Q1005">
        <v>39.5</v>
      </c>
      <c r="R1005">
        <v>41.7</v>
      </c>
      <c r="S1005" t="s">
        <v>143</v>
      </c>
    </row>
    <row r="1006" spans="1:19" x14ac:dyDescent="0.25">
      <c r="A1006" t="s">
        <v>205</v>
      </c>
      <c r="B1006">
        <v>0.3</v>
      </c>
      <c r="C1006">
        <v>31.9</v>
      </c>
      <c r="D1006">
        <v>34</v>
      </c>
      <c r="E1006">
        <v>28.8</v>
      </c>
      <c r="F1006">
        <v>24.1</v>
      </c>
      <c r="G1006">
        <v>15.8</v>
      </c>
      <c r="H1006">
        <v>73</v>
      </c>
      <c r="I1006">
        <v>38.4</v>
      </c>
      <c r="J1006">
        <v>45.1</v>
      </c>
      <c r="K1006">
        <v>206.3</v>
      </c>
      <c r="L1006">
        <v>128.4</v>
      </c>
      <c r="M1006">
        <v>193.4</v>
      </c>
      <c r="N1006">
        <v>71.3</v>
      </c>
      <c r="O1006">
        <v>67.5</v>
      </c>
      <c r="P1006">
        <v>166.5</v>
      </c>
      <c r="Q1006">
        <v>147</v>
      </c>
      <c r="R1006">
        <v>224.7</v>
      </c>
      <c r="S1006" t="s">
        <v>143</v>
      </c>
    </row>
    <row r="1007" spans="1:19" x14ac:dyDescent="0.25">
      <c r="A1007" t="s">
        <v>215</v>
      </c>
      <c r="B1007">
        <v>26.6</v>
      </c>
      <c r="C1007">
        <v>27.5</v>
      </c>
      <c r="D1007">
        <v>34.799999999999997</v>
      </c>
      <c r="E1007">
        <v>30</v>
      </c>
      <c r="F1007">
        <v>20.7</v>
      </c>
      <c r="G1007">
        <v>28.8</v>
      </c>
      <c r="H1007">
        <v>20.6</v>
      </c>
      <c r="I1007">
        <v>11.5</v>
      </c>
      <c r="J1007">
        <v>8</v>
      </c>
      <c r="K1007">
        <v>9.8000000000000007</v>
      </c>
      <c r="L1007">
        <v>6.5</v>
      </c>
      <c r="M1007">
        <v>11.3</v>
      </c>
      <c r="N1007">
        <v>2.5</v>
      </c>
      <c r="O1007">
        <v>4</v>
      </c>
      <c r="P1007">
        <v>4.9000000000000004</v>
      </c>
      <c r="Q1007">
        <v>12.1</v>
      </c>
      <c r="R1007">
        <v>8.8000000000000007</v>
      </c>
      <c r="S1007" t="s">
        <v>143</v>
      </c>
    </row>
    <row r="1008" spans="1:19" x14ac:dyDescent="0.25">
      <c r="A1008" t="s">
        <v>216</v>
      </c>
      <c r="B1008">
        <v>3374.9</v>
      </c>
      <c r="C1008">
        <v>25.5</v>
      </c>
      <c r="D1008">
        <v>27.3</v>
      </c>
      <c r="E1008">
        <v>31.4</v>
      </c>
      <c r="F1008">
        <v>33.9</v>
      </c>
      <c r="G1008">
        <v>24.8</v>
      </c>
      <c r="H1008">
        <v>29.3</v>
      </c>
      <c r="I1008">
        <v>25.7</v>
      </c>
      <c r="J1008" t="s">
        <v>162</v>
      </c>
      <c r="K1008" t="s">
        <v>162</v>
      </c>
      <c r="L1008" t="s">
        <v>162</v>
      </c>
      <c r="M1008" t="s">
        <v>162</v>
      </c>
      <c r="N1008" t="s">
        <v>162</v>
      </c>
      <c r="O1008" t="s">
        <v>162</v>
      </c>
      <c r="P1008" t="s">
        <v>162</v>
      </c>
      <c r="Q1008" t="s">
        <v>162</v>
      </c>
      <c r="R1008" t="s">
        <v>162</v>
      </c>
      <c r="S1008" t="s">
        <v>143</v>
      </c>
    </row>
    <row r="1009" spans="1:19" x14ac:dyDescent="0.25">
      <c r="A1009" t="s">
        <v>204</v>
      </c>
      <c r="B1009">
        <v>188.3</v>
      </c>
      <c r="C1009">
        <v>22.1</v>
      </c>
      <c r="D1009">
        <v>14.8</v>
      </c>
      <c r="E1009">
        <v>24.5</v>
      </c>
      <c r="F1009">
        <v>25.1</v>
      </c>
      <c r="G1009">
        <v>25.3</v>
      </c>
      <c r="H1009">
        <v>5.5</v>
      </c>
      <c r="I1009">
        <v>11</v>
      </c>
      <c r="J1009">
        <v>16.600000000000001</v>
      </c>
      <c r="K1009">
        <v>18</v>
      </c>
      <c r="L1009">
        <v>16.600000000000001</v>
      </c>
      <c r="M1009">
        <v>17.399999999999999</v>
      </c>
      <c r="N1009">
        <v>18.100000000000001</v>
      </c>
      <c r="O1009">
        <v>19.2</v>
      </c>
      <c r="P1009">
        <v>0</v>
      </c>
      <c r="Q1009">
        <v>0</v>
      </c>
      <c r="R1009">
        <v>0</v>
      </c>
      <c r="S1009" t="s">
        <v>143</v>
      </c>
    </row>
    <row r="1010" spans="1:19" x14ac:dyDescent="0.25">
      <c r="A1010" t="s">
        <v>209</v>
      </c>
      <c r="B1010">
        <v>17.2</v>
      </c>
      <c r="C1010">
        <v>0.2</v>
      </c>
      <c r="D1010">
        <v>0.7</v>
      </c>
      <c r="E1010">
        <v>0.6</v>
      </c>
      <c r="F1010">
        <v>0.6</v>
      </c>
      <c r="G1010">
        <v>0.4</v>
      </c>
      <c r="H1010">
        <v>0.3</v>
      </c>
      <c r="I1010">
        <v>0.6</v>
      </c>
      <c r="J1010">
        <v>0.4</v>
      </c>
      <c r="K1010">
        <v>0.6</v>
      </c>
      <c r="L1010">
        <v>0.5</v>
      </c>
      <c r="M1010">
        <v>0.4</v>
      </c>
      <c r="N1010">
        <v>0.5</v>
      </c>
      <c r="O1010">
        <v>0.5</v>
      </c>
      <c r="P1010">
        <v>0.5</v>
      </c>
      <c r="Q1010">
        <v>1.7</v>
      </c>
      <c r="R1010">
        <v>1</v>
      </c>
      <c r="S1010" t="s">
        <v>143</v>
      </c>
    </row>
    <row r="1011" spans="1:19" x14ac:dyDescent="0.25">
      <c r="A1011" t="s">
        <v>217</v>
      </c>
      <c r="B1011" t="s">
        <v>162</v>
      </c>
      <c r="C1011" t="s">
        <v>162</v>
      </c>
      <c r="D1011" t="s">
        <v>162</v>
      </c>
      <c r="E1011" t="s">
        <v>162</v>
      </c>
      <c r="F1011" t="s">
        <v>162</v>
      </c>
      <c r="G1011" t="s">
        <v>162</v>
      </c>
      <c r="H1011" t="s">
        <v>162</v>
      </c>
      <c r="I1011" t="s">
        <v>162</v>
      </c>
      <c r="J1011" t="s">
        <v>162</v>
      </c>
      <c r="K1011" t="s">
        <v>162</v>
      </c>
      <c r="L1011">
        <v>29.6</v>
      </c>
      <c r="M1011">
        <v>52.6</v>
      </c>
      <c r="N1011">
        <v>89</v>
      </c>
      <c r="O1011">
        <v>108.9</v>
      </c>
      <c r="P1011" t="s">
        <v>162</v>
      </c>
      <c r="Q1011" t="s">
        <v>162</v>
      </c>
      <c r="R1011" t="s">
        <v>162</v>
      </c>
      <c r="S1011" t="s">
        <v>143</v>
      </c>
    </row>
    <row r="1012" spans="1:19" x14ac:dyDescent="0.25">
      <c r="A1012" t="s">
        <v>166</v>
      </c>
      <c r="B1012" t="s">
        <v>162</v>
      </c>
      <c r="C1012" t="s">
        <v>162</v>
      </c>
      <c r="D1012" t="s">
        <v>162</v>
      </c>
      <c r="E1012" t="s">
        <v>162</v>
      </c>
      <c r="F1012" t="s">
        <v>162</v>
      </c>
      <c r="G1012" t="s">
        <v>162</v>
      </c>
      <c r="H1012" t="s">
        <v>162</v>
      </c>
      <c r="I1012" t="s">
        <v>162</v>
      </c>
      <c r="J1012">
        <v>29.8</v>
      </c>
      <c r="K1012">
        <v>26.3</v>
      </c>
      <c r="L1012">
        <v>29.3</v>
      </c>
      <c r="M1012">
        <v>28.5</v>
      </c>
      <c r="N1012">
        <v>28.4</v>
      </c>
      <c r="O1012">
        <v>29.5</v>
      </c>
      <c r="P1012">
        <v>26</v>
      </c>
      <c r="Q1012">
        <v>25.5</v>
      </c>
      <c r="R1012">
        <v>30.4</v>
      </c>
      <c r="S1012" t="s">
        <v>143</v>
      </c>
    </row>
    <row r="1013" spans="1:19" x14ac:dyDescent="0.25">
      <c r="A1013" t="s">
        <v>211</v>
      </c>
      <c r="S1013" t="s">
        <v>143</v>
      </c>
    </row>
    <row r="1014" spans="1:19" x14ac:dyDescent="0.25">
      <c r="A1014" t="s">
        <v>212</v>
      </c>
      <c r="B1014">
        <v>6</v>
      </c>
      <c r="C1014">
        <v>2.2000000000000002</v>
      </c>
      <c r="D1014">
        <v>1.8</v>
      </c>
      <c r="E1014">
        <v>1.2</v>
      </c>
      <c r="F1014">
        <v>0.1</v>
      </c>
      <c r="G1014">
        <v>3.2</v>
      </c>
      <c r="H1014">
        <v>3.2</v>
      </c>
      <c r="I1014">
        <v>3.5</v>
      </c>
      <c r="J1014">
        <v>2.6</v>
      </c>
      <c r="K1014">
        <v>1.1000000000000001</v>
      </c>
      <c r="L1014" t="s">
        <v>162</v>
      </c>
      <c r="M1014" t="s">
        <v>162</v>
      </c>
      <c r="N1014" t="s">
        <v>162</v>
      </c>
      <c r="O1014" t="s">
        <v>162</v>
      </c>
      <c r="P1014" t="s">
        <v>162</v>
      </c>
      <c r="Q1014" t="s">
        <v>162</v>
      </c>
      <c r="R1014" t="s">
        <v>162</v>
      </c>
      <c r="S1014" t="s">
        <v>143</v>
      </c>
    </row>
    <row r="1015" spans="1:19" x14ac:dyDescent="0.25">
      <c r="A1015" t="s">
        <v>220</v>
      </c>
      <c r="B1015">
        <v>314</v>
      </c>
      <c r="C1015">
        <v>0.1</v>
      </c>
      <c r="D1015">
        <v>0.6</v>
      </c>
      <c r="E1015">
        <v>0.3</v>
      </c>
      <c r="F1015">
        <v>0.7</v>
      </c>
      <c r="G1015">
        <v>0.5</v>
      </c>
      <c r="H1015">
        <v>1.3</v>
      </c>
      <c r="I1015">
        <v>0.3</v>
      </c>
      <c r="J1015">
        <v>0.1</v>
      </c>
      <c r="K1015">
        <v>1.7</v>
      </c>
      <c r="L1015">
        <v>0</v>
      </c>
      <c r="M1015">
        <v>0.4</v>
      </c>
      <c r="N1015" t="s">
        <v>162</v>
      </c>
      <c r="O1015" t="s">
        <v>162</v>
      </c>
      <c r="P1015" t="s">
        <v>162</v>
      </c>
      <c r="Q1015" t="s">
        <v>162</v>
      </c>
      <c r="R1015" t="s">
        <v>162</v>
      </c>
      <c r="S1015" t="s">
        <v>143</v>
      </c>
    </row>
    <row r="1016" spans="1:19" x14ac:dyDescent="0.25">
      <c r="A1016" t="s">
        <v>213</v>
      </c>
      <c r="B1016">
        <v>30920.6</v>
      </c>
      <c r="C1016" t="s">
        <v>162</v>
      </c>
      <c r="D1016" t="s">
        <v>162</v>
      </c>
      <c r="E1016" t="s">
        <v>162</v>
      </c>
      <c r="F1016" t="s">
        <v>162</v>
      </c>
      <c r="G1016" t="s">
        <v>162</v>
      </c>
      <c r="H1016" t="s">
        <v>162</v>
      </c>
      <c r="I1016" t="s">
        <v>162</v>
      </c>
      <c r="J1016" t="s">
        <v>162</v>
      </c>
      <c r="K1016" t="s">
        <v>162</v>
      </c>
      <c r="L1016" t="s">
        <v>162</v>
      </c>
      <c r="M1016" t="s">
        <v>162</v>
      </c>
      <c r="N1016" t="s">
        <v>162</v>
      </c>
      <c r="O1016" t="s">
        <v>162</v>
      </c>
      <c r="P1016" t="s">
        <v>162</v>
      </c>
      <c r="Q1016" t="s">
        <v>162</v>
      </c>
      <c r="R1016" t="s">
        <v>162</v>
      </c>
      <c r="S1016" t="s">
        <v>143</v>
      </c>
    </row>
    <row r="1017" spans="1:19" x14ac:dyDescent="0.25">
      <c r="A1017" t="s">
        <v>214</v>
      </c>
      <c r="S1017" t="s">
        <v>143</v>
      </c>
    </row>
    <row r="1018" spans="1:19" x14ac:dyDescent="0.25">
      <c r="A1018" t="s">
        <v>144</v>
      </c>
      <c r="S1018" t="s">
        <v>144</v>
      </c>
    </row>
    <row r="1019" spans="1:19" x14ac:dyDescent="0.25">
      <c r="A1019" t="s">
        <v>198</v>
      </c>
      <c r="B1019" t="s">
        <v>257</v>
      </c>
      <c r="C1019" t="s">
        <v>256</v>
      </c>
      <c r="D1019" t="s">
        <v>181</v>
      </c>
      <c r="E1019" t="s">
        <v>180</v>
      </c>
      <c r="F1019" t="s">
        <v>179</v>
      </c>
      <c r="G1019" t="s">
        <v>178</v>
      </c>
      <c r="H1019" t="s">
        <v>177</v>
      </c>
      <c r="I1019" t="s">
        <v>176</v>
      </c>
      <c r="J1019" t="s">
        <v>175</v>
      </c>
      <c r="K1019" t="s">
        <v>174</v>
      </c>
      <c r="L1019" t="s">
        <v>173</v>
      </c>
      <c r="M1019" t="s">
        <v>172</v>
      </c>
      <c r="N1019" t="s">
        <v>171</v>
      </c>
      <c r="O1019" t="s">
        <v>170</v>
      </c>
      <c r="P1019" t="s">
        <v>169</v>
      </c>
      <c r="Q1019" t="s">
        <v>168</v>
      </c>
      <c r="R1019" t="s">
        <v>167</v>
      </c>
      <c r="S1019" t="s">
        <v>144</v>
      </c>
    </row>
    <row r="1020" spans="1:19" x14ac:dyDescent="0.25">
      <c r="A1020" t="s">
        <v>199</v>
      </c>
      <c r="S1020" t="s">
        <v>144</v>
      </c>
    </row>
    <row r="1021" spans="1:19" x14ac:dyDescent="0.25">
      <c r="A1021" t="s">
        <v>205</v>
      </c>
      <c r="B1021">
        <v>115.5</v>
      </c>
      <c r="C1021">
        <v>66</v>
      </c>
      <c r="D1021">
        <v>50.8</v>
      </c>
      <c r="E1021">
        <v>74.400000000000006</v>
      </c>
      <c r="F1021">
        <v>70.900000000000006</v>
      </c>
      <c r="G1021">
        <v>67.5</v>
      </c>
      <c r="H1021">
        <v>35.700000000000003</v>
      </c>
      <c r="I1021">
        <v>50.4</v>
      </c>
      <c r="J1021">
        <v>35.299999999999997</v>
      </c>
      <c r="K1021" t="s">
        <v>162</v>
      </c>
      <c r="L1021" t="s">
        <v>162</v>
      </c>
      <c r="M1021">
        <v>0</v>
      </c>
      <c r="N1021">
        <v>31.1</v>
      </c>
      <c r="O1021">
        <v>17.7</v>
      </c>
      <c r="P1021" t="s">
        <v>162</v>
      </c>
      <c r="Q1021" t="s">
        <v>162</v>
      </c>
      <c r="R1021" t="s">
        <v>162</v>
      </c>
      <c r="S1021" t="s">
        <v>144</v>
      </c>
    </row>
    <row r="1022" spans="1:19" x14ac:dyDescent="0.25">
      <c r="A1022" t="s">
        <v>203</v>
      </c>
      <c r="B1022">
        <v>340.8</v>
      </c>
      <c r="C1022">
        <v>51.3</v>
      </c>
      <c r="D1022">
        <v>55.2</v>
      </c>
      <c r="E1022">
        <v>57.1</v>
      </c>
      <c r="F1022">
        <v>53.2</v>
      </c>
      <c r="G1022">
        <v>57.1</v>
      </c>
      <c r="H1022">
        <v>61.9</v>
      </c>
      <c r="I1022">
        <v>55.6</v>
      </c>
      <c r="J1022">
        <v>53.1</v>
      </c>
      <c r="K1022">
        <v>52.6</v>
      </c>
      <c r="L1022">
        <v>47.2</v>
      </c>
      <c r="M1022">
        <v>66.099999999999994</v>
      </c>
      <c r="N1022">
        <v>56.8</v>
      </c>
      <c r="O1022">
        <v>58.2</v>
      </c>
      <c r="P1022">
        <v>54.8</v>
      </c>
      <c r="Q1022">
        <v>71.099999999999994</v>
      </c>
      <c r="R1022">
        <v>53.8</v>
      </c>
      <c r="S1022" t="s">
        <v>144</v>
      </c>
    </row>
    <row r="1023" spans="1:19" x14ac:dyDescent="0.25">
      <c r="A1023" t="s">
        <v>201</v>
      </c>
      <c r="B1023">
        <v>12542.4</v>
      </c>
      <c r="C1023">
        <v>41</v>
      </c>
      <c r="D1023">
        <v>46.3</v>
      </c>
      <c r="E1023">
        <v>54.4</v>
      </c>
      <c r="F1023">
        <v>45.7</v>
      </c>
      <c r="G1023">
        <v>53</v>
      </c>
      <c r="H1023">
        <v>56.6</v>
      </c>
      <c r="I1023">
        <v>60.6</v>
      </c>
      <c r="J1023">
        <v>63.1</v>
      </c>
      <c r="K1023">
        <v>56.6</v>
      </c>
      <c r="L1023">
        <v>62.2</v>
      </c>
      <c r="M1023">
        <v>58.1</v>
      </c>
      <c r="N1023">
        <v>55.9</v>
      </c>
      <c r="O1023">
        <v>58.6</v>
      </c>
      <c r="P1023">
        <v>60.7</v>
      </c>
      <c r="Q1023">
        <v>52.9</v>
      </c>
      <c r="R1023">
        <v>68.900000000000006</v>
      </c>
      <c r="S1023" t="s">
        <v>144</v>
      </c>
    </row>
    <row r="1024" spans="1:19" x14ac:dyDescent="0.25">
      <c r="A1024" t="s">
        <v>200</v>
      </c>
      <c r="B1024">
        <v>3.2</v>
      </c>
      <c r="C1024">
        <v>32.4</v>
      </c>
      <c r="D1024">
        <v>36.4</v>
      </c>
      <c r="E1024">
        <v>36.299999999999997</v>
      </c>
      <c r="F1024">
        <v>23</v>
      </c>
      <c r="G1024">
        <v>0</v>
      </c>
      <c r="H1024" t="s">
        <v>162</v>
      </c>
      <c r="I1024" t="s">
        <v>162</v>
      </c>
      <c r="J1024" t="s">
        <v>162</v>
      </c>
      <c r="K1024">
        <v>25.9</v>
      </c>
      <c r="L1024">
        <v>24</v>
      </c>
      <c r="M1024">
        <v>20.8</v>
      </c>
      <c r="N1024">
        <v>54.6</v>
      </c>
      <c r="O1024">
        <v>52</v>
      </c>
      <c r="P1024" t="s">
        <v>162</v>
      </c>
      <c r="Q1024" t="s">
        <v>162</v>
      </c>
      <c r="R1024" t="s">
        <v>162</v>
      </c>
      <c r="S1024" t="s">
        <v>144</v>
      </c>
    </row>
    <row r="1025" spans="1:19" x14ac:dyDescent="0.25">
      <c r="A1025" t="s">
        <v>206</v>
      </c>
      <c r="B1025">
        <v>1089.5</v>
      </c>
      <c r="C1025">
        <v>31.4</v>
      </c>
      <c r="D1025">
        <v>16.399999999999999</v>
      </c>
      <c r="E1025">
        <v>19.600000000000001</v>
      </c>
      <c r="F1025">
        <v>21</v>
      </c>
      <c r="G1025">
        <v>15.9</v>
      </c>
      <c r="H1025">
        <v>10.6</v>
      </c>
      <c r="I1025">
        <v>9.1999999999999993</v>
      </c>
      <c r="J1025">
        <v>7.6</v>
      </c>
      <c r="K1025">
        <v>13</v>
      </c>
      <c r="L1025">
        <v>6.6</v>
      </c>
      <c r="M1025">
        <v>2.2000000000000002</v>
      </c>
      <c r="N1025">
        <v>1.6</v>
      </c>
      <c r="O1025">
        <v>2.4</v>
      </c>
      <c r="P1025">
        <v>1.1000000000000001</v>
      </c>
      <c r="Q1025">
        <v>0.8</v>
      </c>
      <c r="R1025">
        <v>1.5</v>
      </c>
      <c r="S1025" t="s">
        <v>144</v>
      </c>
    </row>
    <row r="1026" spans="1:19" x14ac:dyDescent="0.25">
      <c r="A1026" t="s">
        <v>216</v>
      </c>
      <c r="B1026">
        <v>855.2</v>
      </c>
      <c r="C1026">
        <v>27.9</v>
      </c>
      <c r="D1026">
        <v>27</v>
      </c>
      <c r="E1026">
        <v>25</v>
      </c>
      <c r="F1026">
        <v>29.6</v>
      </c>
      <c r="G1026">
        <v>27.1</v>
      </c>
      <c r="H1026">
        <v>29.4</v>
      </c>
      <c r="I1026">
        <v>28</v>
      </c>
      <c r="J1026" t="s">
        <v>162</v>
      </c>
      <c r="K1026" t="s">
        <v>162</v>
      </c>
      <c r="L1026" t="s">
        <v>162</v>
      </c>
      <c r="M1026" t="s">
        <v>162</v>
      </c>
      <c r="N1026" t="s">
        <v>162</v>
      </c>
      <c r="O1026" t="s">
        <v>162</v>
      </c>
      <c r="P1026" t="s">
        <v>162</v>
      </c>
      <c r="Q1026" t="s">
        <v>162</v>
      </c>
      <c r="R1026" t="s">
        <v>162</v>
      </c>
      <c r="S1026" t="s">
        <v>144</v>
      </c>
    </row>
    <row r="1027" spans="1:19" x14ac:dyDescent="0.25">
      <c r="A1027" t="s">
        <v>208</v>
      </c>
      <c r="B1027">
        <v>11</v>
      </c>
      <c r="C1027">
        <v>0</v>
      </c>
      <c r="D1027">
        <v>0.1</v>
      </c>
      <c r="E1027">
        <v>0</v>
      </c>
      <c r="F1027">
        <v>0.1</v>
      </c>
      <c r="G1027">
        <v>0.2</v>
      </c>
      <c r="H1027">
        <v>0.2</v>
      </c>
      <c r="I1027">
        <v>0</v>
      </c>
      <c r="J1027">
        <v>0.2</v>
      </c>
      <c r="K1027">
        <v>0.1</v>
      </c>
      <c r="L1027">
        <v>0.1</v>
      </c>
      <c r="M1027">
        <v>0.2</v>
      </c>
      <c r="N1027">
        <v>0.1</v>
      </c>
      <c r="O1027">
        <v>0.1</v>
      </c>
      <c r="P1027">
        <v>0.1</v>
      </c>
      <c r="Q1027">
        <v>0.1</v>
      </c>
      <c r="R1027">
        <v>0.1</v>
      </c>
      <c r="S1027" t="s">
        <v>144</v>
      </c>
    </row>
    <row r="1028" spans="1:19" x14ac:dyDescent="0.25">
      <c r="A1028" t="s">
        <v>166</v>
      </c>
      <c r="B1028" t="s">
        <v>162</v>
      </c>
      <c r="C1028" t="s">
        <v>162</v>
      </c>
      <c r="D1028" t="s">
        <v>162</v>
      </c>
      <c r="E1028" t="s">
        <v>162</v>
      </c>
      <c r="F1028" t="s">
        <v>162</v>
      </c>
      <c r="G1028" t="s">
        <v>162</v>
      </c>
      <c r="H1028" t="s">
        <v>162</v>
      </c>
      <c r="I1028" t="s">
        <v>162</v>
      </c>
      <c r="J1028">
        <v>27.6</v>
      </c>
      <c r="K1028">
        <v>26.9</v>
      </c>
      <c r="L1028">
        <v>28.4</v>
      </c>
      <c r="M1028">
        <v>27.1</v>
      </c>
      <c r="N1028">
        <v>25.1</v>
      </c>
      <c r="O1028">
        <v>26.6</v>
      </c>
      <c r="P1028">
        <v>25.4</v>
      </c>
      <c r="Q1028">
        <v>25.7</v>
      </c>
      <c r="R1028">
        <v>18.3</v>
      </c>
      <c r="S1028" t="s">
        <v>144</v>
      </c>
    </row>
    <row r="1029" spans="1:19" x14ac:dyDescent="0.25">
      <c r="A1029" t="s">
        <v>211</v>
      </c>
      <c r="S1029" t="s">
        <v>144</v>
      </c>
    </row>
    <row r="1030" spans="1:19" x14ac:dyDescent="0.25">
      <c r="A1030" t="s">
        <v>212</v>
      </c>
      <c r="B1030">
        <v>47.5</v>
      </c>
      <c r="C1030">
        <v>3.2</v>
      </c>
      <c r="D1030">
        <v>3</v>
      </c>
      <c r="E1030">
        <v>3.5</v>
      </c>
      <c r="F1030">
        <v>3.9</v>
      </c>
      <c r="G1030">
        <v>3.1</v>
      </c>
      <c r="H1030">
        <v>5</v>
      </c>
      <c r="I1030">
        <v>4.2</v>
      </c>
      <c r="J1030">
        <v>2.4</v>
      </c>
      <c r="K1030">
        <v>0</v>
      </c>
      <c r="L1030">
        <v>0</v>
      </c>
      <c r="M1030">
        <v>0</v>
      </c>
      <c r="N1030" t="s">
        <v>162</v>
      </c>
      <c r="O1030" t="s">
        <v>162</v>
      </c>
      <c r="P1030" t="s">
        <v>162</v>
      </c>
      <c r="Q1030" t="s">
        <v>162</v>
      </c>
      <c r="R1030" t="s">
        <v>162</v>
      </c>
      <c r="S1030" t="s">
        <v>144</v>
      </c>
    </row>
    <row r="1031" spans="1:19" x14ac:dyDescent="0.25">
      <c r="A1031" t="s">
        <v>213</v>
      </c>
      <c r="B1031">
        <v>15005.1</v>
      </c>
      <c r="C1031" t="s">
        <v>162</v>
      </c>
      <c r="D1031" t="s">
        <v>162</v>
      </c>
      <c r="E1031" t="s">
        <v>162</v>
      </c>
      <c r="F1031" t="s">
        <v>162</v>
      </c>
      <c r="G1031" t="s">
        <v>162</v>
      </c>
      <c r="H1031" t="s">
        <v>162</v>
      </c>
      <c r="I1031" t="s">
        <v>162</v>
      </c>
      <c r="J1031" t="s">
        <v>162</v>
      </c>
      <c r="K1031" t="s">
        <v>162</v>
      </c>
      <c r="L1031" t="s">
        <v>162</v>
      </c>
      <c r="M1031" t="s">
        <v>162</v>
      </c>
      <c r="N1031" t="s">
        <v>162</v>
      </c>
      <c r="O1031" t="s">
        <v>162</v>
      </c>
      <c r="P1031" t="s">
        <v>162</v>
      </c>
      <c r="Q1031" t="s">
        <v>162</v>
      </c>
      <c r="R1031" t="s">
        <v>162</v>
      </c>
      <c r="S1031" t="s">
        <v>144</v>
      </c>
    </row>
    <row r="1032" spans="1:19" x14ac:dyDescent="0.25">
      <c r="A1032" t="s">
        <v>214</v>
      </c>
      <c r="S1032" t="s">
        <v>144</v>
      </c>
    </row>
    <row r="1033" spans="1:19" x14ac:dyDescent="0.25">
      <c r="A1033" t="s">
        <v>145</v>
      </c>
      <c r="S1033" t="s">
        <v>145</v>
      </c>
    </row>
    <row r="1034" spans="1:19" x14ac:dyDescent="0.25">
      <c r="A1034" t="s">
        <v>198</v>
      </c>
      <c r="B1034" t="s">
        <v>257</v>
      </c>
      <c r="C1034" t="s">
        <v>256</v>
      </c>
      <c r="D1034" t="s">
        <v>181</v>
      </c>
      <c r="E1034" t="s">
        <v>180</v>
      </c>
      <c r="F1034" t="s">
        <v>179</v>
      </c>
      <c r="G1034" t="s">
        <v>178</v>
      </c>
      <c r="H1034" t="s">
        <v>177</v>
      </c>
      <c r="I1034" t="s">
        <v>176</v>
      </c>
      <c r="J1034" t="s">
        <v>175</v>
      </c>
      <c r="K1034" t="s">
        <v>174</v>
      </c>
      <c r="L1034" t="s">
        <v>173</v>
      </c>
      <c r="M1034" t="s">
        <v>172</v>
      </c>
      <c r="N1034" t="s">
        <v>171</v>
      </c>
      <c r="O1034" t="s">
        <v>170</v>
      </c>
      <c r="P1034" t="s">
        <v>169</v>
      </c>
      <c r="Q1034" t="s">
        <v>168</v>
      </c>
      <c r="R1034" t="s">
        <v>167</v>
      </c>
      <c r="S1034" t="s">
        <v>145</v>
      </c>
    </row>
    <row r="1035" spans="1:19" x14ac:dyDescent="0.25">
      <c r="A1035" t="s">
        <v>199</v>
      </c>
      <c r="S1035" t="s">
        <v>145</v>
      </c>
    </row>
    <row r="1036" spans="1:19" x14ac:dyDescent="0.25">
      <c r="A1036" t="s">
        <v>163</v>
      </c>
      <c r="B1036">
        <v>1186.5999999999999</v>
      </c>
      <c r="C1036">
        <v>93.2</v>
      </c>
      <c r="D1036">
        <v>96.2</v>
      </c>
      <c r="E1036">
        <v>95.4</v>
      </c>
      <c r="F1036">
        <v>92.9</v>
      </c>
      <c r="G1036">
        <v>95.3</v>
      </c>
      <c r="H1036">
        <v>96.7</v>
      </c>
      <c r="I1036">
        <v>92.3</v>
      </c>
      <c r="J1036">
        <v>96.9</v>
      </c>
      <c r="K1036">
        <v>95.5</v>
      </c>
      <c r="L1036">
        <v>90.4</v>
      </c>
      <c r="M1036">
        <v>94.8</v>
      </c>
      <c r="N1036">
        <v>93.1</v>
      </c>
      <c r="O1036">
        <v>79.8</v>
      </c>
      <c r="P1036">
        <v>95.7</v>
      </c>
      <c r="Q1036">
        <v>91.5</v>
      </c>
      <c r="R1036">
        <v>87.5</v>
      </c>
      <c r="S1036" t="s">
        <v>145</v>
      </c>
    </row>
    <row r="1037" spans="1:19" x14ac:dyDescent="0.25">
      <c r="A1037" t="s">
        <v>202</v>
      </c>
      <c r="B1037">
        <v>3474</v>
      </c>
      <c r="C1037">
        <v>72.3</v>
      </c>
      <c r="D1037">
        <v>63.2</v>
      </c>
      <c r="E1037">
        <v>58.5</v>
      </c>
      <c r="F1037">
        <v>64.900000000000006</v>
      </c>
      <c r="G1037">
        <v>73</v>
      </c>
      <c r="H1037">
        <v>56</v>
      </c>
      <c r="I1037">
        <v>45.5</v>
      </c>
      <c r="J1037">
        <v>54.2</v>
      </c>
      <c r="K1037">
        <v>51.1</v>
      </c>
      <c r="L1037">
        <v>30.6</v>
      </c>
      <c r="M1037">
        <v>30.7</v>
      </c>
      <c r="N1037">
        <v>43.7</v>
      </c>
      <c r="O1037">
        <v>23.5</v>
      </c>
      <c r="P1037">
        <v>20.3</v>
      </c>
      <c r="Q1037">
        <v>20.399999999999999</v>
      </c>
      <c r="R1037">
        <v>18.7</v>
      </c>
      <c r="S1037" t="s">
        <v>145</v>
      </c>
    </row>
    <row r="1038" spans="1:19" x14ac:dyDescent="0.25">
      <c r="A1038" t="s">
        <v>200</v>
      </c>
      <c r="B1038">
        <v>79.2</v>
      </c>
      <c r="C1038">
        <v>54.9</v>
      </c>
      <c r="D1038">
        <v>53.1</v>
      </c>
      <c r="E1038">
        <v>55.6</v>
      </c>
      <c r="F1038">
        <v>54.9</v>
      </c>
      <c r="G1038">
        <v>56.5</v>
      </c>
      <c r="H1038">
        <v>58.9</v>
      </c>
      <c r="I1038">
        <v>60.1</v>
      </c>
      <c r="J1038">
        <v>63.6</v>
      </c>
      <c r="K1038">
        <v>60.3</v>
      </c>
      <c r="L1038">
        <v>56.4</v>
      </c>
      <c r="M1038">
        <v>59.1</v>
      </c>
      <c r="N1038">
        <v>65.400000000000006</v>
      </c>
      <c r="O1038">
        <v>65.400000000000006</v>
      </c>
      <c r="P1038">
        <v>62.1</v>
      </c>
      <c r="Q1038">
        <v>64</v>
      </c>
      <c r="R1038">
        <v>62.5</v>
      </c>
      <c r="S1038" t="s">
        <v>145</v>
      </c>
    </row>
    <row r="1039" spans="1:19" x14ac:dyDescent="0.25">
      <c r="A1039" t="s">
        <v>203</v>
      </c>
      <c r="B1039">
        <v>410</v>
      </c>
      <c r="C1039">
        <v>53.6</v>
      </c>
      <c r="D1039">
        <v>55.9</v>
      </c>
      <c r="E1039">
        <v>59.8</v>
      </c>
      <c r="F1039">
        <v>77.5</v>
      </c>
      <c r="G1039">
        <v>73.7</v>
      </c>
      <c r="H1039">
        <v>69.400000000000006</v>
      </c>
      <c r="I1039">
        <v>77</v>
      </c>
      <c r="J1039">
        <v>81.900000000000006</v>
      </c>
      <c r="K1039">
        <v>69.8</v>
      </c>
      <c r="L1039">
        <v>72.7</v>
      </c>
      <c r="M1039">
        <v>59.1</v>
      </c>
      <c r="N1039">
        <v>46</v>
      </c>
      <c r="O1039">
        <v>62.7</v>
      </c>
      <c r="P1039">
        <v>48.7</v>
      </c>
      <c r="Q1039">
        <v>32</v>
      </c>
      <c r="R1039">
        <v>37.799999999999997</v>
      </c>
      <c r="S1039" t="s">
        <v>145</v>
      </c>
    </row>
    <row r="1040" spans="1:19" x14ac:dyDescent="0.25">
      <c r="A1040" t="s">
        <v>201</v>
      </c>
      <c r="B1040">
        <v>5226.2</v>
      </c>
      <c r="C1040">
        <v>46.2</v>
      </c>
      <c r="D1040">
        <v>47.6</v>
      </c>
      <c r="E1040">
        <v>58.1</v>
      </c>
      <c r="F1040">
        <v>48.3</v>
      </c>
      <c r="G1040">
        <v>54</v>
      </c>
      <c r="H1040">
        <v>60.9</v>
      </c>
      <c r="I1040">
        <v>57.2</v>
      </c>
      <c r="J1040">
        <v>53.2</v>
      </c>
      <c r="K1040">
        <v>55.5</v>
      </c>
      <c r="L1040">
        <v>54.3</v>
      </c>
      <c r="M1040">
        <v>57.5</v>
      </c>
      <c r="N1040">
        <v>45.9</v>
      </c>
      <c r="O1040">
        <v>55.2</v>
      </c>
      <c r="P1040">
        <v>58.3</v>
      </c>
      <c r="Q1040">
        <v>57.3</v>
      </c>
      <c r="R1040">
        <v>65.3</v>
      </c>
      <c r="S1040" t="s">
        <v>145</v>
      </c>
    </row>
    <row r="1041" spans="1:19" x14ac:dyDescent="0.25">
      <c r="A1041" t="s">
        <v>165</v>
      </c>
      <c r="B1041">
        <v>252.4</v>
      </c>
      <c r="C1041">
        <v>32.4</v>
      </c>
      <c r="D1041">
        <v>33.299999999999997</v>
      </c>
      <c r="E1041">
        <v>34.299999999999997</v>
      </c>
      <c r="F1041">
        <v>34.200000000000003</v>
      </c>
      <c r="G1041">
        <v>36.299999999999997</v>
      </c>
      <c r="H1041">
        <v>42.4</v>
      </c>
      <c r="I1041">
        <v>42.8</v>
      </c>
      <c r="J1041">
        <v>41.3</v>
      </c>
      <c r="K1041">
        <v>40.9</v>
      </c>
      <c r="L1041">
        <v>45.1</v>
      </c>
      <c r="M1041">
        <v>60.4</v>
      </c>
      <c r="N1041">
        <v>58.6</v>
      </c>
      <c r="O1041">
        <v>56.5</v>
      </c>
      <c r="P1041">
        <v>49.3</v>
      </c>
      <c r="Q1041">
        <v>54.6</v>
      </c>
      <c r="R1041">
        <v>56.7</v>
      </c>
      <c r="S1041" t="s">
        <v>145</v>
      </c>
    </row>
    <row r="1042" spans="1:19" x14ac:dyDescent="0.25">
      <c r="A1042" t="s">
        <v>216</v>
      </c>
      <c r="B1042">
        <v>796.1</v>
      </c>
      <c r="C1042">
        <v>24.6</v>
      </c>
      <c r="D1042">
        <v>28.2</v>
      </c>
      <c r="E1042">
        <v>25.1</v>
      </c>
      <c r="F1042">
        <v>27.7</v>
      </c>
      <c r="G1042">
        <v>67</v>
      </c>
      <c r="H1042">
        <v>42.6</v>
      </c>
      <c r="I1042">
        <v>52.5</v>
      </c>
      <c r="J1042" t="s">
        <v>162</v>
      </c>
      <c r="K1042" t="s">
        <v>162</v>
      </c>
      <c r="L1042" t="s">
        <v>162</v>
      </c>
      <c r="M1042" t="s">
        <v>162</v>
      </c>
      <c r="N1042" t="s">
        <v>162</v>
      </c>
      <c r="O1042" t="s">
        <v>162</v>
      </c>
      <c r="P1042" t="s">
        <v>162</v>
      </c>
      <c r="Q1042" t="s">
        <v>162</v>
      </c>
      <c r="R1042" t="s">
        <v>162</v>
      </c>
      <c r="S1042" t="s">
        <v>145</v>
      </c>
    </row>
    <row r="1043" spans="1:19" x14ac:dyDescent="0.25">
      <c r="A1043" t="s">
        <v>205</v>
      </c>
      <c r="B1043">
        <v>509.4</v>
      </c>
      <c r="C1043">
        <v>20.6</v>
      </c>
      <c r="D1043">
        <v>19.2</v>
      </c>
      <c r="E1043">
        <v>14.9</v>
      </c>
      <c r="F1043">
        <v>17.5</v>
      </c>
      <c r="G1043">
        <v>15.9</v>
      </c>
      <c r="H1043">
        <v>13.5</v>
      </c>
      <c r="I1043">
        <v>16.2</v>
      </c>
      <c r="J1043">
        <v>19.899999999999999</v>
      </c>
      <c r="K1043">
        <v>20.9</v>
      </c>
      <c r="L1043">
        <v>7.7</v>
      </c>
      <c r="M1043">
        <v>6.2</v>
      </c>
      <c r="N1043">
        <v>8</v>
      </c>
      <c r="O1043">
        <v>20.7</v>
      </c>
      <c r="P1043">
        <v>16.7</v>
      </c>
      <c r="Q1043">
        <v>0.9</v>
      </c>
      <c r="R1043">
        <v>5</v>
      </c>
      <c r="S1043" t="s">
        <v>145</v>
      </c>
    </row>
    <row r="1044" spans="1:19" x14ac:dyDescent="0.25">
      <c r="A1044" t="s">
        <v>219</v>
      </c>
      <c r="B1044">
        <v>58.4</v>
      </c>
      <c r="C1044">
        <v>20.3</v>
      </c>
      <c r="D1044">
        <v>45.3</v>
      </c>
      <c r="E1044">
        <v>40.700000000000003</v>
      </c>
      <c r="F1044">
        <v>26.6</v>
      </c>
      <c r="G1044">
        <v>25.2</v>
      </c>
      <c r="H1044">
        <v>26.3</v>
      </c>
      <c r="I1044">
        <v>27.1</v>
      </c>
      <c r="J1044">
        <v>20.5</v>
      </c>
      <c r="K1044">
        <v>15.8</v>
      </c>
      <c r="L1044">
        <v>19.2</v>
      </c>
      <c r="M1044">
        <v>12.3</v>
      </c>
      <c r="N1044">
        <v>8.9</v>
      </c>
      <c r="O1044">
        <v>19.8</v>
      </c>
      <c r="P1044">
        <v>25.9</v>
      </c>
      <c r="Q1044">
        <v>25.1</v>
      </c>
      <c r="R1044">
        <v>47.8</v>
      </c>
      <c r="S1044" t="s">
        <v>145</v>
      </c>
    </row>
    <row r="1045" spans="1:19" x14ac:dyDescent="0.25">
      <c r="A1045" t="s">
        <v>204</v>
      </c>
      <c r="B1045">
        <v>816.9</v>
      </c>
      <c r="C1045">
        <v>17.600000000000001</v>
      </c>
      <c r="D1045">
        <v>16.899999999999999</v>
      </c>
      <c r="E1045">
        <v>14.7</v>
      </c>
      <c r="F1045">
        <v>16</v>
      </c>
      <c r="G1045">
        <v>14.9</v>
      </c>
      <c r="H1045">
        <v>19.399999999999999</v>
      </c>
      <c r="I1045">
        <v>17.5</v>
      </c>
      <c r="J1045">
        <v>14.5</v>
      </c>
      <c r="K1045">
        <v>16.2</v>
      </c>
      <c r="L1045">
        <v>13.6</v>
      </c>
      <c r="M1045" t="s">
        <v>162</v>
      </c>
      <c r="N1045" t="s">
        <v>162</v>
      </c>
      <c r="O1045" t="s">
        <v>162</v>
      </c>
      <c r="P1045" t="s">
        <v>162</v>
      </c>
      <c r="Q1045" t="s">
        <v>162</v>
      </c>
      <c r="R1045" t="s">
        <v>162</v>
      </c>
      <c r="S1045" t="s">
        <v>145</v>
      </c>
    </row>
    <row r="1046" spans="1:19" x14ac:dyDescent="0.25">
      <c r="A1046" t="s">
        <v>206</v>
      </c>
      <c r="B1046">
        <v>3198.1</v>
      </c>
      <c r="C1046">
        <v>9.1999999999999993</v>
      </c>
      <c r="D1046">
        <v>9.6</v>
      </c>
      <c r="E1046">
        <v>8.8000000000000007</v>
      </c>
      <c r="F1046">
        <v>6.9</v>
      </c>
      <c r="G1046">
        <v>5.7</v>
      </c>
      <c r="H1046">
        <v>7.4</v>
      </c>
      <c r="I1046">
        <v>6.2</v>
      </c>
      <c r="J1046">
        <v>4.5999999999999996</v>
      </c>
      <c r="K1046">
        <v>2.8</v>
      </c>
      <c r="L1046">
        <v>1.4</v>
      </c>
      <c r="M1046">
        <v>1.9</v>
      </c>
      <c r="N1046">
        <v>3</v>
      </c>
      <c r="O1046">
        <v>1.5</v>
      </c>
      <c r="P1046">
        <v>1.6</v>
      </c>
      <c r="Q1046">
        <v>1.1000000000000001</v>
      </c>
      <c r="R1046">
        <v>1.6</v>
      </c>
      <c r="S1046" t="s">
        <v>145</v>
      </c>
    </row>
    <row r="1047" spans="1:19" x14ac:dyDescent="0.25">
      <c r="A1047" t="s">
        <v>215</v>
      </c>
      <c r="B1047">
        <v>77.099999999999994</v>
      </c>
      <c r="C1047">
        <v>5.9</v>
      </c>
      <c r="D1047">
        <v>0.1</v>
      </c>
      <c r="E1047">
        <v>0.2</v>
      </c>
      <c r="F1047">
        <v>0.1</v>
      </c>
      <c r="G1047">
        <v>0.1</v>
      </c>
      <c r="H1047">
        <v>0.1</v>
      </c>
      <c r="I1047">
        <v>0</v>
      </c>
      <c r="J1047">
        <v>0.1</v>
      </c>
      <c r="K1047">
        <v>0</v>
      </c>
      <c r="L1047">
        <v>0.1</v>
      </c>
      <c r="M1047">
        <v>0</v>
      </c>
      <c r="N1047">
        <v>0.1</v>
      </c>
      <c r="O1047">
        <v>0</v>
      </c>
      <c r="P1047">
        <v>0.1</v>
      </c>
      <c r="Q1047">
        <v>0.1</v>
      </c>
      <c r="R1047">
        <v>0.1</v>
      </c>
      <c r="S1047" t="s">
        <v>145</v>
      </c>
    </row>
    <row r="1048" spans="1:19" x14ac:dyDescent="0.25">
      <c r="A1048" t="s">
        <v>208</v>
      </c>
      <c r="B1048">
        <v>374.5</v>
      </c>
      <c r="C1048">
        <v>0.5</v>
      </c>
      <c r="D1048">
        <v>1</v>
      </c>
      <c r="E1048">
        <v>1.6</v>
      </c>
      <c r="F1048">
        <v>0.4</v>
      </c>
      <c r="G1048">
        <v>0.4</v>
      </c>
      <c r="H1048">
        <v>0.9</v>
      </c>
      <c r="I1048">
        <v>0.6</v>
      </c>
      <c r="J1048">
        <v>0.4</v>
      </c>
      <c r="K1048">
        <v>0.4</v>
      </c>
      <c r="L1048">
        <v>0.3</v>
      </c>
      <c r="M1048">
        <v>0.4</v>
      </c>
      <c r="N1048">
        <v>1.2</v>
      </c>
      <c r="O1048">
        <v>0.5</v>
      </c>
      <c r="P1048">
        <v>0.6</v>
      </c>
      <c r="Q1048">
        <v>0.2</v>
      </c>
      <c r="R1048">
        <v>0.5</v>
      </c>
      <c r="S1048" t="s">
        <v>145</v>
      </c>
    </row>
    <row r="1049" spans="1:19" x14ac:dyDescent="0.25">
      <c r="A1049" t="s">
        <v>209</v>
      </c>
      <c r="B1049">
        <v>203.4</v>
      </c>
      <c r="C1049">
        <v>0.1</v>
      </c>
      <c r="D1049">
        <v>0.1</v>
      </c>
      <c r="E1049">
        <v>0.1</v>
      </c>
      <c r="F1049">
        <v>0.1</v>
      </c>
      <c r="G1049">
        <v>0.1</v>
      </c>
      <c r="H1049">
        <v>0.1</v>
      </c>
      <c r="I1049">
        <v>0</v>
      </c>
      <c r="J1049">
        <v>0.1</v>
      </c>
      <c r="K1049">
        <v>0.1</v>
      </c>
      <c r="L1049">
        <v>0.1</v>
      </c>
      <c r="M1049">
        <v>0</v>
      </c>
      <c r="N1049">
        <v>0.1</v>
      </c>
      <c r="O1049">
        <v>0.1</v>
      </c>
      <c r="P1049">
        <v>0.1</v>
      </c>
      <c r="Q1049">
        <v>0.1</v>
      </c>
      <c r="R1049">
        <v>0.2</v>
      </c>
      <c r="S1049" t="s">
        <v>145</v>
      </c>
    </row>
    <row r="1050" spans="1:19" x14ac:dyDescent="0.25">
      <c r="A1050" t="s">
        <v>217</v>
      </c>
      <c r="B1050" t="s">
        <v>162</v>
      </c>
      <c r="C1050" t="s">
        <v>162</v>
      </c>
      <c r="D1050" t="s">
        <v>162</v>
      </c>
      <c r="E1050" t="s">
        <v>162</v>
      </c>
      <c r="F1050">
        <v>3.4</v>
      </c>
      <c r="G1050">
        <v>10.199999999999999</v>
      </c>
      <c r="H1050">
        <v>12.6</v>
      </c>
      <c r="I1050">
        <v>3.6</v>
      </c>
      <c r="J1050">
        <v>16</v>
      </c>
      <c r="K1050">
        <v>17.399999999999999</v>
      </c>
      <c r="L1050">
        <v>17.399999999999999</v>
      </c>
      <c r="M1050">
        <v>18.100000000000001</v>
      </c>
      <c r="N1050">
        <v>17.399999999999999</v>
      </c>
      <c r="O1050">
        <v>10.4</v>
      </c>
      <c r="P1050">
        <v>17.7</v>
      </c>
      <c r="Q1050">
        <v>16.5</v>
      </c>
      <c r="R1050">
        <v>16.3</v>
      </c>
      <c r="S1050" t="s">
        <v>145</v>
      </c>
    </row>
    <row r="1051" spans="1:19" x14ac:dyDescent="0.25">
      <c r="A1051" t="s">
        <v>166</v>
      </c>
      <c r="B1051" t="s">
        <v>162</v>
      </c>
      <c r="C1051" t="s">
        <v>162</v>
      </c>
      <c r="D1051" t="s">
        <v>162</v>
      </c>
      <c r="E1051" t="s">
        <v>162</v>
      </c>
      <c r="F1051" t="s">
        <v>162</v>
      </c>
      <c r="G1051" t="s">
        <v>162</v>
      </c>
      <c r="H1051" t="s">
        <v>162</v>
      </c>
      <c r="I1051" t="s">
        <v>162</v>
      </c>
      <c r="J1051">
        <v>52</v>
      </c>
      <c r="K1051">
        <v>54.7</v>
      </c>
      <c r="L1051">
        <v>55.7</v>
      </c>
      <c r="M1051">
        <v>54.1</v>
      </c>
      <c r="N1051">
        <v>48.2</v>
      </c>
      <c r="O1051">
        <v>29.8</v>
      </c>
      <c r="P1051">
        <v>28.8</v>
      </c>
      <c r="Q1051">
        <v>27.9</v>
      </c>
      <c r="R1051">
        <v>49.5</v>
      </c>
      <c r="S1051" t="s">
        <v>145</v>
      </c>
    </row>
    <row r="1052" spans="1:19" x14ac:dyDescent="0.25">
      <c r="A1052" t="s">
        <v>211</v>
      </c>
      <c r="S1052" t="s">
        <v>145</v>
      </c>
    </row>
    <row r="1053" spans="1:19" x14ac:dyDescent="0.25">
      <c r="A1053" t="s">
        <v>212</v>
      </c>
      <c r="B1053">
        <v>5.4</v>
      </c>
      <c r="C1053">
        <v>0</v>
      </c>
      <c r="D1053">
        <v>0</v>
      </c>
      <c r="E1053" t="s">
        <v>162</v>
      </c>
      <c r="F1053" t="s">
        <v>162</v>
      </c>
      <c r="G1053" t="s">
        <v>162</v>
      </c>
      <c r="H1053" t="s">
        <v>162</v>
      </c>
      <c r="I1053" t="s">
        <v>162</v>
      </c>
      <c r="J1053" t="s">
        <v>162</v>
      </c>
      <c r="K1053" t="s">
        <v>162</v>
      </c>
      <c r="L1053" t="s">
        <v>162</v>
      </c>
      <c r="M1053" t="s">
        <v>162</v>
      </c>
      <c r="N1053" t="s">
        <v>162</v>
      </c>
      <c r="O1053" t="s">
        <v>162</v>
      </c>
      <c r="P1053" t="s">
        <v>162</v>
      </c>
      <c r="Q1053" t="s">
        <v>162</v>
      </c>
      <c r="R1053" t="s">
        <v>162</v>
      </c>
      <c r="S1053" t="s">
        <v>145</v>
      </c>
    </row>
    <row r="1054" spans="1:19" x14ac:dyDescent="0.25">
      <c r="A1054" t="s">
        <v>213</v>
      </c>
      <c r="B1054">
        <v>16667.599999999999</v>
      </c>
      <c r="C1054" t="s">
        <v>162</v>
      </c>
      <c r="D1054" t="s">
        <v>162</v>
      </c>
      <c r="E1054" t="s">
        <v>162</v>
      </c>
      <c r="F1054" t="s">
        <v>162</v>
      </c>
      <c r="G1054" t="s">
        <v>162</v>
      </c>
      <c r="H1054" t="s">
        <v>162</v>
      </c>
      <c r="I1054" t="s">
        <v>162</v>
      </c>
      <c r="J1054" t="s">
        <v>162</v>
      </c>
      <c r="K1054" t="s">
        <v>162</v>
      </c>
      <c r="L1054" t="s">
        <v>162</v>
      </c>
      <c r="M1054" t="s">
        <v>162</v>
      </c>
      <c r="N1054" t="s">
        <v>162</v>
      </c>
      <c r="O1054" t="s">
        <v>162</v>
      </c>
      <c r="P1054" t="s">
        <v>162</v>
      </c>
      <c r="Q1054" t="s">
        <v>162</v>
      </c>
      <c r="R1054" t="s">
        <v>162</v>
      </c>
      <c r="S1054" t="s">
        <v>145</v>
      </c>
    </row>
    <row r="1055" spans="1:19" x14ac:dyDescent="0.25">
      <c r="A1055" t="s">
        <v>214</v>
      </c>
      <c r="S1055" t="s">
        <v>145</v>
      </c>
    </row>
    <row r="1056" spans="1:19" x14ac:dyDescent="0.25">
      <c r="A1056" t="s">
        <v>146</v>
      </c>
      <c r="S1056" t="s">
        <v>146</v>
      </c>
    </row>
    <row r="1057" spans="1:19" x14ac:dyDescent="0.25">
      <c r="A1057" t="s">
        <v>198</v>
      </c>
      <c r="B1057" t="s">
        <v>257</v>
      </c>
      <c r="C1057" t="s">
        <v>256</v>
      </c>
      <c r="D1057" t="s">
        <v>181</v>
      </c>
      <c r="E1057" t="s">
        <v>180</v>
      </c>
      <c r="F1057" t="s">
        <v>179</v>
      </c>
      <c r="G1057" t="s">
        <v>178</v>
      </c>
      <c r="H1057" t="s">
        <v>177</v>
      </c>
      <c r="I1057" t="s">
        <v>176</v>
      </c>
      <c r="J1057" t="s">
        <v>175</v>
      </c>
      <c r="K1057" t="s">
        <v>174</v>
      </c>
      <c r="L1057" t="s">
        <v>173</v>
      </c>
      <c r="M1057" t="s">
        <v>172</v>
      </c>
      <c r="N1057" t="s">
        <v>171</v>
      </c>
      <c r="O1057" t="s">
        <v>170</v>
      </c>
      <c r="P1057" t="s">
        <v>169</v>
      </c>
      <c r="Q1057" t="s">
        <v>168</v>
      </c>
      <c r="R1057" t="s">
        <v>167</v>
      </c>
      <c r="S1057" t="s">
        <v>146</v>
      </c>
    </row>
    <row r="1058" spans="1:19" x14ac:dyDescent="0.25">
      <c r="A1058" t="s">
        <v>199</v>
      </c>
      <c r="S1058" t="s">
        <v>146</v>
      </c>
    </row>
    <row r="1059" spans="1:19" x14ac:dyDescent="0.25">
      <c r="A1059" t="s">
        <v>217</v>
      </c>
      <c r="B1059">
        <v>13.3</v>
      </c>
      <c r="C1059">
        <v>78.3</v>
      </c>
      <c r="D1059">
        <v>81.3</v>
      </c>
      <c r="E1059">
        <v>80.8</v>
      </c>
      <c r="F1059">
        <v>76.599999999999994</v>
      </c>
      <c r="G1059">
        <v>74.3</v>
      </c>
      <c r="H1059">
        <v>87.2</v>
      </c>
      <c r="I1059">
        <v>53.3</v>
      </c>
      <c r="J1059">
        <v>70.400000000000006</v>
      </c>
      <c r="K1059">
        <v>82.4</v>
      </c>
      <c r="L1059">
        <v>77.900000000000006</v>
      </c>
      <c r="M1059">
        <v>75.599999999999994</v>
      </c>
      <c r="N1059">
        <v>76.2</v>
      </c>
      <c r="O1059">
        <v>65.8</v>
      </c>
      <c r="P1059">
        <v>71.5</v>
      </c>
      <c r="Q1059">
        <v>65.7</v>
      </c>
      <c r="R1059">
        <v>72.7</v>
      </c>
      <c r="S1059" t="s">
        <v>146</v>
      </c>
    </row>
    <row r="1060" spans="1:19" x14ac:dyDescent="0.25">
      <c r="A1060" t="s">
        <v>215</v>
      </c>
      <c r="B1060">
        <v>7</v>
      </c>
      <c r="C1060">
        <v>64.2</v>
      </c>
      <c r="D1060">
        <v>38</v>
      </c>
      <c r="E1060">
        <v>32</v>
      </c>
      <c r="F1060">
        <v>37</v>
      </c>
      <c r="G1060">
        <v>36.799999999999997</v>
      </c>
      <c r="H1060">
        <v>36.700000000000003</v>
      </c>
      <c r="I1060">
        <v>35.1</v>
      </c>
      <c r="J1060">
        <v>34.799999999999997</v>
      </c>
      <c r="K1060">
        <v>23.2</v>
      </c>
      <c r="L1060">
        <v>43.8</v>
      </c>
      <c r="M1060">
        <v>3.5</v>
      </c>
      <c r="N1060">
        <v>1.7</v>
      </c>
      <c r="O1060" t="s">
        <v>162</v>
      </c>
      <c r="P1060" t="s">
        <v>162</v>
      </c>
      <c r="Q1060" t="s">
        <v>162</v>
      </c>
      <c r="R1060" t="s">
        <v>162</v>
      </c>
      <c r="S1060" t="s">
        <v>146</v>
      </c>
    </row>
    <row r="1061" spans="1:19" x14ac:dyDescent="0.25">
      <c r="A1061" t="s">
        <v>201</v>
      </c>
      <c r="B1061">
        <v>6069</v>
      </c>
      <c r="C1061">
        <v>58.4</v>
      </c>
      <c r="D1061">
        <v>63.5</v>
      </c>
      <c r="E1061">
        <v>60.7</v>
      </c>
      <c r="F1061">
        <v>63</v>
      </c>
      <c r="G1061">
        <v>63.5</v>
      </c>
      <c r="H1061">
        <v>71</v>
      </c>
      <c r="I1061">
        <v>71.7</v>
      </c>
      <c r="J1061">
        <v>71.3</v>
      </c>
      <c r="K1061">
        <v>77</v>
      </c>
      <c r="L1061">
        <v>77.7</v>
      </c>
      <c r="M1061">
        <v>82.6</v>
      </c>
      <c r="N1061">
        <v>77</v>
      </c>
      <c r="O1061">
        <v>76.2</v>
      </c>
      <c r="P1061">
        <v>81.900000000000006</v>
      </c>
      <c r="Q1061">
        <v>81</v>
      </c>
      <c r="R1061">
        <v>84.2</v>
      </c>
      <c r="S1061" t="s">
        <v>146</v>
      </c>
    </row>
    <row r="1062" spans="1:19" x14ac:dyDescent="0.25">
      <c r="A1062" t="s">
        <v>202</v>
      </c>
      <c r="B1062">
        <v>94</v>
      </c>
      <c r="C1062">
        <v>49.2</v>
      </c>
      <c r="D1062">
        <v>32.799999999999997</v>
      </c>
      <c r="E1062">
        <v>42.8</v>
      </c>
      <c r="F1062">
        <v>40.4</v>
      </c>
      <c r="G1062">
        <v>37.6</v>
      </c>
      <c r="H1062">
        <v>22.5</v>
      </c>
      <c r="I1062">
        <v>14.8</v>
      </c>
      <c r="J1062">
        <v>19.3</v>
      </c>
      <c r="K1062">
        <v>12.5</v>
      </c>
      <c r="L1062">
        <v>20.3</v>
      </c>
      <c r="M1062" t="s">
        <v>162</v>
      </c>
      <c r="N1062" t="s">
        <v>162</v>
      </c>
      <c r="O1062" t="s">
        <v>162</v>
      </c>
      <c r="P1062" t="s">
        <v>162</v>
      </c>
      <c r="Q1062" t="s">
        <v>162</v>
      </c>
      <c r="R1062" t="s">
        <v>162</v>
      </c>
      <c r="S1062" t="s">
        <v>146</v>
      </c>
    </row>
    <row r="1063" spans="1:19" x14ac:dyDescent="0.25">
      <c r="A1063" t="s">
        <v>206</v>
      </c>
      <c r="B1063">
        <v>247.3</v>
      </c>
      <c r="C1063">
        <v>45.7</v>
      </c>
      <c r="D1063">
        <v>42.7</v>
      </c>
      <c r="E1063">
        <v>44.4</v>
      </c>
      <c r="F1063">
        <v>47.5</v>
      </c>
      <c r="G1063">
        <v>7.5</v>
      </c>
      <c r="H1063">
        <v>2.6</v>
      </c>
      <c r="I1063">
        <v>1.7</v>
      </c>
      <c r="J1063">
        <v>3.3</v>
      </c>
      <c r="K1063">
        <v>1.6</v>
      </c>
      <c r="L1063">
        <v>3.5</v>
      </c>
      <c r="M1063">
        <v>5.3</v>
      </c>
      <c r="N1063">
        <v>3.2</v>
      </c>
      <c r="O1063">
        <v>2.8</v>
      </c>
      <c r="P1063">
        <v>3.1</v>
      </c>
      <c r="Q1063">
        <v>6</v>
      </c>
      <c r="R1063">
        <v>8.6</v>
      </c>
      <c r="S1063" t="s">
        <v>146</v>
      </c>
    </row>
    <row r="1064" spans="1:19" x14ac:dyDescent="0.25">
      <c r="A1064" t="s">
        <v>205</v>
      </c>
      <c r="B1064">
        <v>247</v>
      </c>
      <c r="C1064">
        <v>40.700000000000003</v>
      </c>
      <c r="D1064">
        <v>26.8</v>
      </c>
      <c r="E1064">
        <v>15.1</v>
      </c>
      <c r="F1064">
        <v>7.3</v>
      </c>
      <c r="G1064">
        <v>0</v>
      </c>
      <c r="H1064">
        <v>35.700000000000003</v>
      </c>
      <c r="I1064">
        <v>48.4</v>
      </c>
      <c r="J1064">
        <v>39.200000000000003</v>
      </c>
      <c r="K1064">
        <v>31.9</v>
      </c>
      <c r="L1064">
        <v>192.4</v>
      </c>
      <c r="M1064">
        <v>0.6</v>
      </c>
      <c r="N1064">
        <v>41.1</v>
      </c>
      <c r="O1064">
        <v>33.5</v>
      </c>
      <c r="P1064">
        <v>34.200000000000003</v>
      </c>
      <c r="Q1064">
        <v>42.2</v>
      </c>
      <c r="R1064">
        <v>45.1</v>
      </c>
      <c r="S1064" t="s">
        <v>146</v>
      </c>
    </row>
    <row r="1065" spans="1:19" x14ac:dyDescent="0.25">
      <c r="A1065" t="s">
        <v>203</v>
      </c>
      <c r="B1065">
        <v>307.10000000000002</v>
      </c>
      <c r="C1065">
        <v>34.1</v>
      </c>
      <c r="D1065">
        <v>27.7</v>
      </c>
      <c r="E1065">
        <v>29.4</v>
      </c>
      <c r="F1065">
        <v>40.299999999999997</v>
      </c>
      <c r="G1065">
        <v>36.9</v>
      </c>
      <c r="H1065">
        <v>36.299999999999997</v>
      </c>
      <c r="I1065">
        <v>41.8</v>
      </c>
      <c r="J1065">
        <v>36.1</v>
      </c>
      <c r="K1065">
        <v>32.299999999999997</v>
      </c>
      <c r="L1065">
        <v>32.4</v>
      </c>
      <c r="M1065">
        <v>26.5</v>
      </c>
      <c r="N1065">
        <v>33.299999999999997</v>
      </c>
      <c r="O1065">
        <v>45.4</v>
      </c>
      <c r="P1065">
        <v>38.1</v>
      </c>
      <c r="Q1065">
        <v>36.4</v>
      </c>
      <c r="R1065">
        <v>31.4</v>
      </c>
      <c r="S1065" t="s">
        <v>146</v>
      </c>
    </row>
    <row r="1066" spans="1:19" x14ac:dyDescent="0.25">
      <c r="A1066" t="s">
        <v>216</v>
      </c>
      <c r="B1066">
        <v>3000.3</v>
      </c>
      <c r="C1066">
        <v>32.9</v>
      </c>
      <c r="D1066">
        <v>37.1</v>
      </c>
      <c r="E1066">
        <v>36.9</v>
      </c>
      <c r="F1066">
        <v>36.799999999999997</v>
      </c>
      <c r="G1066">
        <v>32</v>
      </c>
      <c r="H1066">
        <v>31.1</v>
      </c>
      <c r="I1066">
        <v>33.200000000000003</v>
      </c>
      <c r="J1066" t="s">
        <v>162</v>
      </c>
      <c r="K1066" t="s">
        <v>162</v>
      </c>
      <c r="L1066" t="s">
        <v>162</v>
      </c>
      <c r="M1066" t="s">
        <v>162</v>
      </c>
      <c r="N1066" t="s">
        <v>162</v>
      </c>
      <c r="O1066" t="s">
        <v>162</v>
      </c>
      <c r="P1066" t="s">
        <v>162</v>
      </c>
      <c r="Q1066" t="s">
        <v>162</v>
      </c>
      <c r="R1066" t="s">
        <v>162</v>
      </c>
      <c r="S1066" t="s">
        <v>146</v>
      </c>
    </row>
    <row r="1067" spans="1:19" x14ac:dyDescent="0.25">
      <c r="A1067" t="s">
        <v>207</v>
      </c>
      <c r="B1067">
        <v>3.3</v>
      </c>
      <c r="C1067">
        <v>25.2</v>
      </c>
      <c r="D1067">
        <v>43.9</v>
      </c>
      <c r="E1067">
        <v>45.5</v>
      </c>
      <c r="F1067">
        <v>44.2</v>
      </c>
      <c r="G1067">
        <v>76.8</v>
      </c>
      <c r="H1067">
        <v>96.5</v>
      </c>
      <c r="I1067">
        <v>89.9</v>
      </c>
      <c r="J1067">
        <v>82.7</v>
      </c>
      <c r="K1067">
        <v>92.7</v>
      </c>
      <c r="L1067">
        <v>92.2</v>
      </c>
      <c r="M1067">
        <v>81.8</v>
      </c>
      <c r="N1067">
        <v>82.7</v>
      </c>
      <c r="O1067">
        <v>76.400000000000006</v>
      </c>
      <c r="P1067">
        <v>80.099999999999994</v>
      </c>
      <c r="Q1067">
        <v>79.2</v>
      </c>
      <c r="R1067">
        <v>79</v>
      </c>
      <c r="S1067" t="s">
        <v>146</v>
      </c>
    </row>
    <row r="1068" spans="1:19" x14ac:dyDescent="0.25">
      <c r="A1068" t="s">
        <v>204</v>
      </c>
      <c r="B1068">
        <v>92</v>
      </c>
      <c r="C1068">
        <v>21.6</v>
      </c>
      <c r="D1068">
        <v>23.1</v>
      </c>
      <c r="E1068">
        <v>22.2</v>
      </c>
      <c r="F1068">
        <v>20.5</v>
      </c>
      <c r="G1068">
        <v>22.4</v>
      </c>
      <c r="H1068" t="s">
        <v>162</v>
      </c>
      <c r="I1068" t="s">
        <v>162</v>
      </c>
      <c r="J1068" t="s">
        <v>162</v>
      </c>
      <c r="K1068" t="s">
        <v>162</v>
      </c>
      <c r="L1068" t="s">
        <v>162</v>
      </c>
      <c r="M1068" t="s">
        <v>162</v>
      </c>
      <c r="N1068" t="s">
        <v>162</v>
      </c>
      <c r="O1068" t="s">
        <v>162</v>
      </c>
      <c r="P1068" t="s">
        <v>162</v>
      </c>
      <c r="Q1068" t="s">
        <v>162</v>
      </c>
      <c r="R1068" t="s">
        <v>162</v>
      </c>
      <c r="S1068" t="s">
        <v>146</v>
      </c>
    </row>
    <row r="1069" spans="1:19" x14ac:dyDescent="0.25">
      <c r="A1069" t="s">
        <v>209</v>
      </c>
      <c r="B1069">
        <v>5.8</v>
      </c>
      <c r="C1069">
        <v>1</v>
      </c>
      <c r="D1069">
        <v>1.2</v>
      </c>
      <c r="E1069">
        <v>1.5</v>
      </c>
      <c r="F1069">
        <v>0.5</v>
      </c>
      <c r="G1069">
        <v>0.7</v>
      </c>
      <c r="H1069">
        <v>0.5</v>
      </c>
      <c r="I1069">
        <v>1.1000000000000001</v>
      </c>
      <c r="J1069">
        <v>0.5</v>
      </c>
      <c r="K1069">
        <v>0.9</v>
      </c>
      <c r="L1069">
        <v>0.6</v>
      </c>
      <c r="M1069">
        <v>0.4</v>
      </c>
      <c r="N1069">
        <v>1.1000000000000001</v>
      </c>
      <c r="O1069">
        <v>0.8</v>
      </c>
      <c r="P1069">
        <v>0.7</v>
      </c>
      <c r="Q1069">
        <v>0.7</v>
      </c>
      <c r="R1069">
        <v>1</v>
      </c>
      <c r="S1069" t="s">
        <v>146</v>
      </c>
    </row>
    <row r="1070" spans="1:19" x14ac:dyDescent="0.25">
      <c r="A1070" t="s">
        <v>219</v>
      </c>
      <c r="B1070" t="s">
        <v>162</v>
      </c>
      <c r="C1070" t="s">
        <v>162</v>
      </c>
      <c r="D1070" t="s">
        <v>162</v>
      </c>
      <c r="E1070" t="s">
        <v>162</v>
      </c>
      <c r="F1070" t="s">
        <v>162</v>
      </c>
      <c r="G1070" t="s">
        <v>162</v>
      </c>
      <c r="H1070" t="s">
        <v>162</v>
      </c>
      <c r="I1070" t="s">
        <v>162</v>
      </c>
      <c r="J1070" t="s">
        <v>162</v>
      </c>
      <c r="K1070" t="s">
        <v>162</v>
      </c>
      <c r="L1070" t="s">
        <v>162</v>
      </c>
      <c r="M1070" t="s">
        <v>162</v>
      </c>
      <c r="N1070" t="s">
        <v>162</v>
      </c>
      <c r="O1070" t="s">
        <v>162</v>
      </c>
      <c r="P1070">
        <v>2.6</v>
      </c>
      <c r="Q1070">
        <v>2.5</v>
      </c>
      <c r="R1070">
        <v>9.4</v>
      </c>
      <c r="S1070" t="s">
        <v>146</v>
      </c>
    </row>
    <row r="1071" spans="1:19" x14ac:dyDescent="0.25">
      <c r="A1071" t="s">
        <v>166</v>
      </c>
      <c r="B1071" t="s">
        <v>162</v>
      </c>
      <c r="C1071" t="s">
        <v>162</v>
      </c>
      <c r="D1071" t="s">
        <v>162</v>
      </c>
      <c r="E1071" t="s">
        <v>162</v>
      </c>
      <c r="F1071" t="s">
        <v>162</v>
      </c>
      <c r="G1071" t="s">
        <v>162</v>
      </c>
      <c r="H1071" t="s">
        <v>162</v>
      </c>
      <c r="I1071" t="s">
        <v>162</v>
      </c>
      <c r="J1071">
        <v>35.1</v>
      </c>
      <c r="K1071">
        <v>30.5</v>
      </c>
      <c r="L1071">
        <v>35.700000000000003</v>
      </c>
      <c r="M1071">
        <v>35.9</v>
      </c>
      <c r="N1071">
        <v>35.299999999999997</v>
      </c>
      <c r="O1071">
        <v>37.200000000000003</v>
      </c>
      <c r="P1071">
        <v>31.3</v>
      </c>
      <c r="Q1071">
        <v>29.1</v>
      </c>
      <c r="R1071">
        <v>30.9</v>
      </c>
      <c r="S1071" t="s">
        <v>146</v>
      </c>
    </row>
    <row r="1072" spans="1:19" x14ac:dyDescent="0.25">
      <c r="A1072" t="s">
        <v>211</v>
      </c>
      <c r="S1072" t="s">
        <v>146</v>
      </c>
    </row>
    <row r="1073" spans="1:19" x14ac:dyDescent="0.25">
      <c r="A1073" t="s">
        <v>213</v>
      </c>
      <c r="B1073">
        <v>10086.1</v>
      </c>
      <c r="C1073" t="s">
        <v>162</v>
      </c>
      <c r="D1073" t="s">
        <v>162</v>
      </c>
      <c r="E1073" t="s">
        <v>162</v>
      </c>
      <c r="F1073" t="s">
        <v>162</v>
      </c>
      <c r="G1073" t="s">
        <v>162</v>
      </c>
      <c r="H1073" t="s">
        <v>162</v>
      </c>
      <c r="I1073" t="s">
        <v>162</v>
      </c>
      <c r="J1073" t="s">
        <v>162</v>
      </c>
      <c r="K1073" t="s">
        <v>162</v>
      </c>
      <c r="L1073" t="s">
        <v>162</v>
      </c>
      <c r="M1073" t="s">
        <v>162</v>
      </c>
      <c r="N1073" t="s">
        <v>162</v>
      </c>
      <c r="O1073" t="s">
        <v>162</v>
      </c>
      <c r="P1073" t="s">
        <v>162</v>
      </c>
      <c r="Q1073" t="s">
        <v>162</v>
      </c>
      <c r="R1073" t="s">
        <v>162</v>
      </c>
      <c r="S1073" t="s">
        <v>146</v>
      </c>
    </row>
    <row r="1074" spans="1:19" x14ac:dyDescent="0.25">
      <c r="A1074" t="s">
        <v>214</v>
      </c>
      <c r="S1074" t="s">
        <v>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33F7-3DE0-4A9D-A49F-E1E4F5781A10}">
  <dimension ref="A1:B6"/>
  <sheetViews>
    <sheetView workbookViewId="0">
      <selection activeCell="C7" sqref="C7"/>
    </sheetView>
  </sheetViews>
  <sheetFormatPr defaultRowHeight="15" x14ac:dyDescent="0.25"/>
  <cols>
    <col min="1" max="1" width="13.28515625" bestFit="1" customWidth="1"/>
  </cols>
  <sheetData>
    <row r="1" spans="1:2" x14ac:dyDescent="0.25">
      <c r="A1" t="s">
        <v>222</v>
      </c>
      <c r="B1">
        <v>120</v>
      </c>
    </row>
    <row r="2" spans="1:2" x14ac:dyDescent="0.25">
      <c r="A2" t="s">
        <v>250</v>
      </c>
      <c r="B2">
        <v>92</v>
      </c>
    </row>
    <row r="3" spans="1:2" x14ac:dyDescent="0.25">
      <c r="A3" t="s">
        <v>251</v>
      </c>
      <c r="B3">
        <v>92</v>
      </c>
    </row>
    <row r="4" spans="1:2" x14ac:dyDescent="0.25">
      <c r="A4" t="s">
        <v>252</v>
      </c>
      <c r="B4">
        <v>61</v>
      </c>
    </row>
    <row r="5" spans="1:2" x14ac:dyDescent="0.25">
      <c r="A5" t="s">
        <v>253</v>
      </c>
      <c r="B5">
        <v>0</v>
      </c>
    </row>
    <row r="6" spans="1:2" x14ac:dyDescent="0.25">
      <c r="A6" t="s">
        <v>254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8CD5-EB3B-42F7-89C5-BEC96AF6402F}">
  <dimension ref="A1:AC289"/>
  <sheetViews>
    <sheetView topLeftCell="E1" workbookViewId="0">
      <selection activeCell="AE1" sqref="AE1"/>
    </sheetView>
  </sheetViews>
  <sheetFormatPr defaultRowHeight="15" x14ac:dyDescent="0.25"/>
  <cols>
    <col min="26" max="26" width="17.7109375" bestFit="1" customWidth="1"/>
    <col min="27" max="27" width="13.28515625" bestFit="1" customWidth="1"/>
    <col min="28" max="29" width="9.140625" style="10"/>
  </cols>
  <sheetData>
    <row r="1" spans="1:29" x14ac:dyDescent="0.25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  <c r="R1" t="s">
        <v>242</v>
      </c>
      <c r="S1" t="s">
        <v>243</v>
      </c>
      <c r="T1" t="s">
        <v>244</v>
      </c>
      <c r="U1" t="s">
        <v>245</v>
      </c>
      <c r="V1" t="s">
        <v>246</v>
      </c>
      <c r="W1" t="s">
        <v>247</v>
      </c>
      <c r="X1" t="s">
        <v>248</v>
      </c>
      <c r="Y1" t="s">
        <v>43</v>
      </c>
      <c r="Z1" t="s">
        <v>249</v>
      </c>
      <c r="AA1" t="s">
        <v>14</v>
      </c>
      <c r="AB1" s="10" t="s">
        <v>263</v>
      </c>
      <c r="AC1" s="10" t="s">
        <v>264</v>
      </c>
    </row>
    <row r="2" spans="1:29" x14ac:dyDescent="0.25">
      <c r="A2">
        <v>0.61413744959865202</v>
      </c>
      <c r="B2">
        <v>0.60809256636070097</v>
      </c>
      <c r="C2">
        <v>0.61473513806430502</v>
      </c>
      <c r="D2">
        <v>0.64102882317252696</v>
      </c>
      <c r="E2">
        <v>0.69871989999998696</v>
      </c>
      <c r="F2">
        <v>0.74802808629004103</v>
      </c>
      <c r="G2">
        <v>0.74479974242452396</v>
      </c>
      <c r="H2">
        <v>0.70597652431383795</v>
      </c>
      <c r="I2">
        <v>0.677401073723503</v>
      </c>
      <c r="J2">
        <v>0.67274126439399495</v>
      </c>
      <c r="K2">
        <v>0.67117840914768201</v>
      </c>
      <c r="L2">
        <v>0.65798493672523795</v>
      </c>
      <c r="M2">
        <v>0.63342092581307297</v>
      </c>
      <c r="N2">
        <v>0.61974717369055699</v>
      </c>
      <c r="O2">
        <v>0.65035845096852596</v>
      </c>
      <c r="P2">
        <v>0.74554963332241897</v>
      </c>
      <c r="Q2">
        <v>0.79462077782864704</v>
      </c>
      <c r="R2">
        <v>0.79598773996540395</v>
      </c>
      <c r="S2">
        <v>0.79598773996540395</v>
      </c>
      <c r="T2">
        <v>0.79516746735823596</v>
      </c>
      <c r="U2">
        <v>0.78409450209982001</v>
      </c>
      <c r="V2">
        <v>0.73201950437187402</v>
      </c>
      <c r="W2">
        <v>0.67114186785392904</v>
      </c>
      <c r="X2">
        <v>0.63433207502905398</v>
      </c>
      <c r="Y2" t="s">
        <v>49</v>
      </c>
      <c r="Z2" t="s">
        <v>262</v>
      </c>
      <c r="AA2" t="s">
        <v>222</v>
      </c>
      <c r="AB2" s="10">
        <f>INDEX(shelf!$B$1:$B$6,MATCH(AA2,shelf!$A$1:$A$6,0))</f>
        <v>120</v>
      </c>
      <c r="AC2" s="10" cm="1">
        <f t="array" ref="AC2">SUMPRODUCT(A2:X2*AB2)</f>
        <v>2004.8702126978319</v>
      </c>
    </row>
    <row r="3" spans="1:29" x14ac:dyDescent="0.25">
      <c r="A3">
        <v>0.34608894814589902</v>
      </c>
      <c r="B3">
        <v>0.34107008088646701</v>
      </c>
      <c r="C3">
        <v>0.344278565353205</v>
      </c>
      <c r="D3">
        <v>0.372580988929127</v>
      </c>
      <c r="E3">
        <v>0.44597596477868701</v>
      </c>
      <c r="F3">
        <v>0.45682853042945398</v>
      </c>
      <c r="G3">
        <v>0.41825204548919698</v>
      </c>
      <c r="H3">
        <v>0.41149508364862603</v>
      </c>
      <c r="I3">
        <v>0.432420932142072</v>
      </c>
      <c r="J3">
        <v>0.48071561387483802</v>
      </c>
      <c r="K3">
        <v>0.53211034775700805</v>
      </c>
      <c r="L3">
        <v>0.568337664415694</v>
      </c>
      <c r="M3">
        <v>0.59002849695010695</v>
      </c>
      <c r="N3">
        <v>0.61291327653911398</v>
      </c>
      <c r="O3">
        <v>0.64002929963197797</v>
      </c>
      <c r="P3">
        <v>0.69081971200930303</v>
      </c>
      <c r="Q3">
        <v>0.74583302694299702</v>
      </c>
      <c r="R3">
        <v>0.75071546013281698</v>
      </c>
      <c r="S3">
        <v>0.75607432029934596</v>
      </c>
      <c r="T3">
        <v>0.75545867893719598</v>
      </c>
      <c r="U3">
        <v>0.74497907279549902</v>
      </c>
      <c r="V3">
        <v>0.65557424402625097</v>
      </c>
      <c r="W3">
        <v>0.50396501202542798</v>
      </c>
      <c r="X3">
        <v>0.37364882880147399</v>
      </c>
      <c r="Y3" t="s">
        <v>49</v>
      </c>
      <c r="Z3" t="s">
        <v>262</v>
      </c>
      <c r="AA3" t="s">
        <v>250</v>
      </c>
      <c r="AB3" s="10">
        <f>INDEX(shelf!$B$1:$B$6,MATCH(AA3,shelf!$A$1:$A$6,0))</f>
        <v>92</v>
      </c>
      <c r="AC3" s="10" cm="1">
        <f t="array" ref="AC3">SUMPRODUCT(A3:X3*AB3)</f>
        <v>1193.2578659346441</v>
      </c>
    </row>
    <row r="4" spans="1:29" x14ac:dyDescent="0.25">
      <c r="A4">
        <v>0.57797553336417795</v>
      </c>
      <c r="B4">
        <v>0.55803952752504804</v>
      </c>
      <c r="C4">
        <v>0.533800889350174</v>
      </c>
      <c r="D4">
        <v>0.54448627766894397</v>
      </c>
      <c r="E4">
        <v>0.56088029810322004</v>
      </c>
      <c r="F4">
        <v>0.54201365012496505</v>
      </c>
      <c r="G4">
        <v>0.56641777415890504</v>
      </c>
      <c r="H4">
        <v>0.64645013772418103</v>
      </c>
      <c r="I4">
        <v>0.70674117234290901</v>
      </c>
      <c r="J4">
        <v>0.75476000246125496</v>
      </c>
      <c r="K4">
        <v>0.78960926630790795</v>
      </c>
      <c r="L4">
        <v>0.80606376888357001</v>
      </c>
      <c r="M4">
        <v>0.81608112355044504</v>
      </c>
      <c r="N4">
        <v>0.819912289193796</v>
      </c>
      <c r="O4">
        <v>0.82316719443450703</v>
      </c>
      <c r="P4">
        <v>0.82601237516882198</v>
      </c>
      <c r="Q4">
        <v>0.82656175461973502</v>
      </c>
      <c r="R4">
        <v>0.82770293502350401</v>
      </c>
      <c r="S4">
        <v>0.82992544371196497</v>
      </c>
      <c r="T4">
        <v>0.826980299438416</v>
      </c>
      <c r="U4">
        <v>0.82183511727199099</v>
      </c>
      <c r="V4">
        <v>0.79483047116593397</v>
      </c>
      <c r="W4">
        <v>0.73439747152090096</v>
      </c>
      <c r="X4">
        <v>0.63172063622260199</v>
      </c>
      <c r="Y4" t="s">
        <v>49</v>
      </c>
      <c r="Z4" t="s">
        <v>262</v>
      </c>
      <c r="AA4" t="s">
        <v>251</v>
      </c>
      <c r="AB4" s="10">
        <f>INDEX(shelf!$B$1:$B$6,MATCH(AA4,shelf!$A$1:$A$6,0))</f>
        <v>92</v>
      </c>
      <c r="AC4" s="10" cm="1">
        <f t="array" ref="AC4">SUMPRODUCT(A4:X4*AB4)</f>
        <v>1579.3056176590849</v>
      </c>
    </row>
    <row r="5" spans="1:29" x14ac:dyDescent="0.25">
      <c r="A5">
        <v>0.38687286060630899</v>
      </c>
      <c r="B5">
        <v>0.37616116971694602</v>
      </c>
      <c r="C5">
        <v>0.37220961817195902</v>
      </c>
      <c r="D5">
        <v>0.38751592747260799</v>
      </c>
      <c r="E5">
        <v>0.53560970404743502</v>
      </c>
      <c r="F5">
        <v>0.56928250624117804</v>
      </c>
      <c r="G5">
        <v>0.52191780108556296</v>
      </c>
      <c r="H5">
        <v>0.51220171069158005</v>
      </c>
      <c r="I5">
        <v>0.56553402844344403</v>
      </c>
      <c r="J5">
        <v>0.61929945038192502</v>
      </c>
      <c r="K5">
        <v>0.66105806213440899</v>
      </c>
      <c r="L5">
        <v>0.68915622039915103</v>
      </c>
      <c r="M5">
        <v>0.70063408038213004</v>
      </c>
      <c r="N5">
        <v>0.70948066769606399</v>
      </c>
      <c r="O5">
        <v>0.73250288083589998</v>
      </c>
      <c r="P5">
        <v>0.77560753008123295</v>
      </c>
      <c r="Q5">
        <v>0.80005305656464398</v>
      </c>
      <c r="R5">
        <v>0.80206612242789399</v>
      </c>
      <c r="S5">
        <v>0.80025193704867903</v>
      </c>
      <c r="T5">
        <v>0.79883221793071901</v>
      </c>
      <c r="U5">
        <v>0.74123565100535505</v>
      </c>
      <c r="V5">
        <v>0.672565873997513</v>
      </c>
      <c r="W5">
        <v>0.54389229745860201</v>
      </c>
      <c r="X5">
        <v>0.42211544083744001</v>
      </c>
      <c r="Y5" t="s">
        <v>49</v>
      </c>
      <c r="Z5" t="s">
        <v>262</v>
      </c>
      <c r="AA5" t="s">
        <v>252</v>
      </c>
      <c r="AB5" s="10">
        <f>INDEX(shelf!$B$1:$B$6,MATCH(AA5,shelf!$A$1:$A$6,0))</f>
        <v>61</v>
      </c>
      <c r="AC5" s="10" cm="1">
        <f t="array" ref="AC5">SUMPRODUCT(A5:X5*AB5)</f>
        <v>896.45946575517951</v>
      </c>
    </row>
    <row r="6" spans="1:29" x14ac:dyDescent="0.25">
      <c r="A6">
        <v>0.34262944087859598</v>
      </c>
      <c r="B6">
        <v>0.34262944087859598</v>
      </c>
      <c r="C6">
        <v>0.34262944087859598</v>
      </c>
      <c r="D6">
        <v>0.34262944087859598</v>
      </c>
      <c r="E6">
        <v>0.34262944087859598</v>
      </c>
      <c r="F6">
        <v>0.34262944087859598</v>
      </c>
      <c r="G6">
        <v>0.34262944087859598</v>
      </c>
      <c r="H6">
        <v>0.58913700853891804</v>
      </c>
      <c r="I6">
        <v>0.65626336516388195</v>
      </c>
      <c r="J6">
        <v>0.82442639901695103</v>
      </c>
      <c r="K6">
        <v>0.82442639901695103</v>
      </c>
      <c r="L6">
        <v>0.82442639901695103</v>
      </c>
      <c r="M6">
        <v>0.84501741804698205</v>
      </c>
      <c r="N6">
        <v>0.84501741804698205</v>
      </c>
      <c r="O6">
        <v>0.84501741804698205</v>
      </c>
      <c r="P6">
        <v>0.84501741804698205</v>
      </c>
      <c r="Q6">
        <v>0.84501741804698205</v>
      </c>
      <c r="R6">
        <v>0.82442639901695103</v>
      </c>
      <c r="S6">
        <v>0.85656446687305199</v>
      </c>
      <c r="T6">
        <v>0.85079094246001696</v>
      </c>
      <c r="U6">
        <v>0.84501741804698205</v>
      </c>
      <c r="V6">
        <v>0.82442639901695103</v>
      </c>
      <c r="W6">
        <v>0.82442639901695103</v>
      </c>
      <c r="X6">
        <v>0.73946789104033595</v>
      </c>
      <c r="Y6" t="s">
        <v>49</v>
      </c>
      <c r="Z6" t="s">
        <v>262</v>
      </c>
      <c r="AA6" t="s">
        <v>253</v>
      </c>
      <c r="AB6" s="10">
        <f>INDEX(shelf!$B$1:$B$6,MATCH(AA6,shelf!$A$1:$A$6,0))</f>
        <v>0</v>
      </c>
      <c r="AC6" s="10" cm="1">
        <f t="array" ref="AC6">SUMPRODUCT(A6:X6*AB6)</f>
        <v>0</v>
      </c>
    </row>
    <row r="7" spans="1:29" x14ac:dyDescent="0.25">
      <c r="A7">
        <v>0.70870012169998697</v>
      </c>
      <c r="B7">
        <v>0.70870012169998697</v>
      </c>
      <c r="C7">
        <v>0.70870012169998697</v>
      </c>
      <c r="D7">
        <v>0.80301320087746897</v>
      </c>
      <c r="E7">
        <v>0.80301320087746897</v>
      </c>
      <c r="F7">
        <v>0.80301320087746897</v>
      </c>
      <c r="G7">
        <v>0.80301320087746897</v>
      </c>
      <c r="H7">
        <v>0.80301320087746897</v>
      </c>
      <c r="I7">
        <v>0.70870012169998697</v>
      </c>
      <c r="J7">
        <v>0.6348501670244</v>
      </c>
      <c r="K7">
        <v>0.6348501670244</v>
      </c>
      <c r="L7">
        <v>0.6348501670244</v>
      </c>
      <c r="M7">
        <v>0.6348501670244</v>
      </c>
      <c r="N7">
        <v>0.6348501670244</v>
      </c>
      <c r="O7">
        <v>0.6348501670244</v>
      </c>
      <c r="P7">
        <v>0.70870012169998697</v>
      </c>
      <c r="Q7">
        <v>0.80301320087746897</v>
      </c>
      <c r="R7">
        <v>0.80301320087746897</v>
      </c>
      <c r="S7">
        <v>0.80301320087746897</v>
      </c>
      <c r="T7">
        <v>0.80301320087746897</v>
      </c>
      <c r="U7">
        <v>0.80301320087746897</v>
      </c>
      <c r="V7">
        <v>0.80301320087746897</v>
      </c>
      <c r="W7">
        <v>0.70870012169998697</v>
      </c>
      <c r="X7">
        <v>0.70870012169998697</v>
      </c>
      <c r="Y7" t="s">
        <v>49</v>
      </c>
      <c r="Z7" t="s">
        <v>262</v>
      </c>
      <c r="AA7" t="s">
        <v>254</v>
      </c>
      <c r="AB7" s="10">
        <f>INDEX(shelf!$B$1:$B$6,MATCH(AA7,shelf!$A$1:$A$6,0))</f>
        <v>0</v>
      </c>
      <c r="AC7" s="10" cm="1">
        <f t="array" ref="AC7">SUMPRODUCT(A7:X7*AB7)</f>
        <v>0</v>
      </c>
    </row>
    <row r="8" spans="1:29" x14ac:dyDescent="0.25">
      <c r="A8">
        <v>0.269786906569633</v>
      </c>
      <c r="B8">
        <v>0.26368842350620703</v>
      </c>
      <c r="C8">
        <v>0.26533671460245101</v>
      </c>
      <c r="D8">
        <v>0.28444208321134301</v>
      </c>
      <c r="E8">
        <v>0.34911988773758301</v>
      </c>
      <c r="F8">
        <v>0.41250343779966703</v>
      </c>
      <c r="G8">
        <v>0.42393089964855601</v>
      </c>
      <c r="H8">
        <v>0.38696882861627402</v>
      </c>
      <c r="I8">
        <v>0.36144521235113802</v>
      </c>
      <c r="J8">
        <v>0.35889582527897601</v>
      </c>
      <c r="K8">
        <v>0.36300362017457699</v>
      </c>
      <c r="L8">
        <v>0.34472498368280802</v>
      </c>
      <c r="M8">
        <v>0.31699955055509399</v>
      </c>
      <c r="N8">
        <v>0.29689576631159997</v>
      </c>
      <c r="O8">
        <v>0.317818846286338</v>
      </c>
      <c r="P8">
        <v>0.41861517702922602</v>
      </c>
      <c r="Q8">
        <v>0.46292827716394003</v>
      </c>
      <c r="R8">
        <v>0.48052405943929699</v>
      </c>
      <c r="S8">
        <v>0.47136695853152699</v>
      </c>
      <c r="T8">
        <v>0.465091942133744</v>
      </c>
      <c r="U8">
        <v>0.45813310155617398</v>
      </c>
      <c r="V8">
        <v>0.42755241957186402</v>
      </c>
      <c r="W8">
        <v>0.34843994341129803</v>
      </c>
      <c r="X8">
        <v>0.29312778191857902</v>
      </c>
      <c r="Y8" t="s">
        <v>50</v>
      </c>
      <c r="Z8" t="s">
        <v>262</v>
      </c>
      <c r="AA8" t="s">
        <v>222</v>
      </c>
      <c r="AB8" s="10">
        <f>INDEX(shelf!$B$1:$B$6,MATCH(AA8,shelf!$A$1:$A$6,0))</f>
        <v>120</v>
      </c>
      <c r="AC8" s="10" cm="1">
        <f t="array" ref="AC8">SUMPRODUCT(A8:X8*AB8)</f>
        <v>1060.9608776505472</v>
      </c>
    </row>
    <row r="9" spans="1:29" x14ac:dyDescent="0.25">
      <c r="A9">
        <v>0.18893067875061001</v>
      </c>
      <c r="B9">
        <v>0.18860089120291201</v>
      </c>
      <c r="C9">
        <v>0.18897917691939001</v>
      </c>
      <c r="D9">
        <v>0.18910648461243501</v>
      </c>
      <c r="E9">
        <v>0.20186029054715501</v>
      </c>
      <c r="F9">
        <v>0.23024020646254401</v>
      </c>
      <c r="G9">
        <v>0.220550676491859</v>
      </c>
      <c r="H9">
        <v>0.19897909517026199</v>
      </c>
      <c r="I9">
        <v>0.20143916478158799</v>
      </c>
      <c r="J9">
        <v>0.21573117096942299</v>
      </c>
      <c r="K9">
        <v>0.239084655842251</v>
      </c>
      <c r="L9">
        <v>0.26205015536484499</v>
      </c>
      <c r="M9">
        <v>0.28373813229151301</v>
      </c>
      <c r="N9">
        <v>0.29918156583644701</v>
      </c>
      <c r="O9">
        <v>0.31634143040476098</v>
      </c>
      <c r="P9">
        <v>0.37033525000949702</v>
      </c>
      <c r="Q9">
        <v>0.41522677163718402</v>
      </c>
      <c r="R9">
        <v>0.433464103855209</v>
      </c>
      <c r="S9">
        <v>0.42537097194017398</v>
      </c>
      <c r="T9">
        <v>0.41946308668005</v>
      </c>
      <c r="U9">
        <v>0.414199822913284</v>
      </c>
      <c r="V9">
        <v>0.33103556724205602</v>
      </c>
      <c r="W9">
        <v>0.20693521975849499</v>
      </c>
      <c r="X9">
        <v>0.191297389387037</v>
      </c>
      <c r="Y9" t="s">
        <v>50</v>
      </c>
      <c r="Z9" t="s">
        <v>262</v>
      </c>
      <c r="AA9" t="s">
        <v>250</v>
      </c>
      <c r="AB9" s="10">
        <f>INDEX(shelf!$B$1:$B$6,MATCH(AA9,shelf!$A$1:$A$6,0))</f>
        <v>92</v>
      </c>
      <c r="AC9" s="10" cm="1">
        <f t="array" ref="AC9">SUMPRODUCT(A9:X9*AB9)</f>
        <v>610.15706023453004</v>
      </c>
    </row>
    <row r="10" spans="1:29" x14ac:dyDescent="0.25">
      <c r="A10">
        <v>0.57832730246888098</v>
      </c>
      <c r="B10">
        <v>0.54901683026274894</v>
      </c>
      <c r="C10">
        <v>0.53878453424398098</v>
      </c>
      <c r="D10">
        <v>0.54120135965481198</v>
      </c>
      <c r="E10">
        <v>0.56155526066115602</v>
      </c>
      <c r="F10">
        <v>0.57539719548096502</v>
      </c>
      <c r="G10">
        <v>0.58886773838530004</v>
      </c>
      <c r="H10">
        <v>0.64354654352443996</v>
      </c>
      <c r="I10">
        <v>0.71231430825570896</v>
      </c>
      <c r="J10">
        <v>0.82678678440787701</v>
      </c>
      <c r="K10">
        <v>0.93708249049106895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0.88861434969679398</v>
      </c>
      <c r="W10">
        <v>0.72323169200808801</v>
      </c>
      <c r="X10">
        <v>0.64645271731642195</v>
      </c>
      <c r="Y10" t="s">
        <v>50</v>
      </c>
      <c r="Z10" t="s">
        <v>262</v>
      </c>
      <c r="AA10" t="s">
        <v>251</v>
      </c>
      <c r="AB10" s="10">
        <f>INDEX(shelf!$B$1:$B$6,MATCH(AA10,shelf!$A$1:$A$6,0))</f>
        <v>92</v>
      </c>
      <c r="AC10" s="10" cm="1">
        <f t="array" ref="AC10">SUMPRODUCT(A10:X10*AB10)</f>
        <v>1776.6284778309582</v>
      </c>
    </row>
    <row r="11" spans="1:29" x14ac:dyDescent="0.25">
      <c r="A11">
        <v>0.22921257531905601</v>
      </c>
      <c r="B11">
        <v>0.22822816849976399</v>
      </c>
      <c r="C11">
        <v>0.22822816849976399</v>
      </c>
      <c r="D11">
        <v>0.23019698213834799</v>
      </c>
      <c r="E11">
        <v>0.23907980602537299</v>
      </c>
      <c r="F11">
        <v>0.27629526011322703</v>
      </c>
      <c r="G11">
        <v>0.27065092132273499</v>
      </c>
      <c r="H11">
        <v>0.25757873021032601</v>
      </c>
      <c r="I11">
        <v>0.272021166852003</v>
      </c>
      <c r="J11">
        <v>0.31861317208609402</v>
      </c>
      <c r="K11">
        <v>0.347366384766993</v>
      </c>
      <c r="L11">
        <v>0.37818959469762298</v>
      </c>
      <c r="M11">
        <v>0.42195028743907498</v>
      </c>
      <c r="N11">
        <v>0.43885404589889598</v>
      </c>
      <c r="O11">
        <v>0.46061278907429798</v>
      </c>
      <c r="P11">
        <v>0.52533311827902096</v>
      </c>
      <c r="Q11">
        <v>0.53689243154283295</v>
      </c>
      <c r="R11">
        <v>0.54399113235860797</v>
      </c>
      <c r="S11">
        <v>0.54119639225553995</v>
      </c>
      <c r="T11">
        <v>0.52301016200142103</v>
      </c>
      <c r="U11">
        <v>0.477206901302416</v>
      </c>
      <c r="V11">
        <v>0.34660141228512797</v>
      </c>
      <c r="W11">
        <v>0.25912269459005799</v>
      </c>
      <c r="X11">
        <v>0.22716208334376201</v>
      </c>
      <c r="Y11" t="s">
        <v>50</v>
      </c>
      <c r="Z11" t="s">
        <v>262</v>
      </c>
      <c r="AA11" t="s">
        <v>252</v>
      </c>
      <c r="AB11" s="10">
        <f>INDEX(shelf!$B$1:$B$6,MATCH(AA11,shelf!$A$1:$A$6,0))</f>
        <v>61</v>
      </c>
      <c r="AC11" s="10" cm="1">
        <f t="array" ref="AC11">SUMPRODUCT(A11:X11*AB11)</f>
        <v>523.23325723504411</v>
      </c>
    </row>
    <row r="12" spans="1:29" x14ac:dyDescent="0.25">
      <c r="A12">
        <v>0.67752911747968203</v>
      </c>
      <c r="B12">
        <v>0.61748030150285804</v>
      </c>
      <c r="C12">
        <v>0.61748030150285804</v>
      </c>
      <c r="D12">
        <v>0.61748030150285804</v>
      </c>
      <c r="E12">
        <v>0.61748030150285804</v>
      </c>
      <c r="F12">
        <v>0.61748030150285804</v>
      </c>
      <c r="G12">
        <v>0.61748030150285804</v>
      </c>
      <c r="H12">
        <v>0.85767556541015399</v>
      </c>
      <c r="I12">
        <v>0.94691219596394804</v>
      </c>
      <c r="J12">
        <v>0.94691219596394804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0.94691219596394804</v>
      </c>
      <c r="W12">
        <v>0.90749935080268895</v>
      </c>
      <c r="X12">
        <v>0.85767556541015399</v>
      </c>
      <c r="Y12" t="s">
        <v>50</v>
      </c>
      <c r="Z12" t="s">
        <v>262</v>
      </c>
      <c r="AA12" t="s">
        <v>253</v>
      </c>
      <c r="AB12" s="10">
        <f>INDEX(shelf!$B$1:$B$6,MATCH(AA12,shelf!$A$1:$A$6,0))</f>
        <v>0</v>
      </c>
      <c r="AC12" s="10" cm="1">
        <f t="array" ref="AC12">SUMPRODUCT(A12:X12*AB12)</f>
        <v>0</v>
      </c>
    </row>
    <row r="13" spans="1:29" x14ac:dyDescent="0.25">
      <c r="A13">
        <v>0.219633656950525</v>
      </c>
      <c r="B13">
        <v>0.219633656950525</v>
      </c>
      <c r="C13">
        <v>0.219633656950525</v>
      </c>
      <c r="D13">
        <v>0.219633656950525</v>
      </c>
      <c r="E13">
        <v>0.45982892085782101</v>
      </c>
      <c r="F13">
        <v>0.45982892085782101</v>
      </c>
      <c r="G13">
        <v>0.54906555141161595</v>
      </c>
      <c r="H13">
        <v>0.54906555141161595</v>
      </c>
      <c r="I13">
        <v>0.45982892085782101</v>
      </c>
      <c r="J13">
        <v>0.45982892085782101</v>
      </c>
      <c r="K13">
        <v>0.45982892085782101</v>
      </c>
      <c r="L13">
        <v>0.45982892085782101</v>
      </c>
      <c r="M13">
        <v>0.27968247292734899</v>
      </c>
      <c r="N13">
        <v>0.219633656950525</v>
      </c>
      <c r="O13">
        <v>0.219633656950525</v>
      </c>
      <c r="P13">
        <v>0.45982892085782101</v>
      </c>
      <c r="Q13">
        <v>0.54906555141161595</v>
      </c>
      <c r="R13">
        <v>0.54906555141161595</v>
      </c>
      <c r="S13">
        <v>0.45982892085782101</v>
      </c>
      <c r="T13">
        <v>0.40037501575135598</v>
      </c>
      <c r="U13">
        <v>0.40037501575135598</v>
      </c>
      <c r="V13">
        <v>0.40037501575135598</v>
      </c>
      <c r="W13">
        <v>0.34806004108919403</v>
      </c>
      <c r="X13">
        <v>0.22019138589148701</v>
      </c>
      <c r="Y13" t="s">
        <v>50</v>
      </c>
      <c r="Z13" t="s">
        <v>262</v>
      </c>
      <c r="AA13" t="s">
        <v>254</v>
      </c>
      <c r="AB13" s="10">
        <f>INDEX(shelf!$B$1:$B$6,MATCH(AA13,shelf!$A$1:$A$6,0))</f>
        <v>0</v>
      </c>
      <c r="AC13" s="10" cm="1">
        <f t="array" ref="AC13">SUMPRODUCT(A13:X13*AB13)</f>
        <v>0</v>
      </c>
    </row>
    <row r="14" spans="1:29" x14ac:dyDescent="0.25">
      <c r="A14">
        <v>0.77088284770383697</v>
      </c>
      <c r="B14">
        <v>0.76798256403802301</v>
      </c>
      <c r="C14">
        <v>0.76973795405389001</v>
      </c>
      <c r="D14">
        <v>0.76973795405389001</v>
      </c>
      <c r="E14">
        <v>0.77011958527053903</v>
      </c>
      <c r="F14">
        <v>0.77107565097474795</v>
      </c>
      <c r="G14">
        <v>0.77145529452881001</v>
      </c>
      <c r="H14">
        <v>0.75529531374702796</v>
      </c>
      <c r="I14">
        <v>0.58074190885158405</v>
      </c>
      <c r="J14">
        <v>0.51203324040944898</v>
      </c>
      <c r="K14">
        <v>0.51950628383189701</v>
      </c>
      <c r="L14">
        <v>0.51919138128780196</v>
      </c>
      <c r="M14">
        <v>0.51854936627229298</v>
      </c>
      <c r="N14">
        <v>0.50490292680730897</v>
      </c>
      <c r="O14">
        <v>0.48048647959211399</v>
      </c>
      <c r="P14">
        <v>0.54566562718384204</v>
      </c>
      <c r="Q14">
        <v>0.69926310542755998</v>
      </c>
      <c r="R14">
        <v>0.77195164227189295</v>
      </c>
      <c r="S14">
        <v>0.77247581729118897</v>
      </c>
      <c r="T14">
        <v>0.77247581729118897</v>
      </c>
      <c r="U14">
        <v>0.77247581729118897</v>
      </c>
      <c r="V14">
        <v>0.77276431231806098</v>
      </c>
      <c r="W14">
        <v>0.768020613578969</v>
      </c>
      <c r="X14">
        <v>0.76757764877392898</v>
      </c>
      <c r="Y14" t="s">
        <v>51</v>
      </c>
      <c r="Z14" t="s">
        <v>262</v>
      </c>
      <c r="AA14" t="s">
        <v>222</v>
      </c>
      <c r="AB14" s="10">
        <f>INDEX(shelf!$B$1:$B$6,MATCH(AA14,shelf!$A$1:$A$6,0))</f>
        <v>120</v>
      </c>
      <c r="AC14" s="10" cm="1">
        <f t="array" ref="AC14">SUMPRODUCT(A14:X14*AB14)</f>
        <v>1970.9242983421243</v>
      </c>
    </row>
    <row r="15" spans="1:29" x14ac:dyDescent="0.25">
      <c r="A15">
        <v>0.24387413143838699</v>
      </c>
      <c r="B15">
        <v>0.24163410669110999</v>
      </c>
      <c r="C15">
        <v>0.24069706575737301</v>
      </c>
      <c r="D15">
        <v>0.24067612431226301</v>
      </c>
      <c r="E15">
        <v>0.24443067696266699</v>
      </c>
      <c r="F15">
        <v>0.246284882204273</v>
      </c>
      <c r="G15">
        <v>0.228766121080623</v>
      </c>
      <c r="H15">
        <v>0.15154933392400799</v>
      </c>
      <c r="I15">
        <v>0.14676439118624099</v>
      </c>
      <c r="J15">
        <v>0.14676439118624099</v>
      </c>
      <c r="K15">
        <v>0.14662099552819999</v>
      </c>
      <c r="L15">
        <v>0.14662099552819999</v>
      </c>
      <c r="M15">
        <v>0.14662099552819999</v>
      </c>
      <c r="N15">
        <v>0.147340103456893</v>
      </c>
      <c r="O15">
        <v>0.14799887162848999</v>
      </c>
      <c r="P15">
        <v>0.152064351497815</v>
      </c>
      <c r="Q15">
        <v>0.15651849039079299</v>
      </c>
      <c r="R15">
        <v>0.26466792161339597</v>
      </c>
      <c r="S15">
        <v>0.33756899637860799</v>
      </c>
      <c r="T15">
        <v>0.36686075399131501</v>
      </c>
      <c r="U15">
        <v>0.36393072637465002</v>
      </c>
      <c r="V15">
        <v>0.35942547615801401</v>
      </c>
      <c r="W15">
        <v>0.30503734874955701</v>
      </c>
      <c r="X15">
        <v>0.25506076746436301</v>
      </c>
      <c r="Y15" t="s">
        <v>51</v>
      </c>
      <c r="Z15" t="s">
        <v>262</v>
      </c>
      <c r="AA15" t="s">
        <v>250</v>
      </c>
      <c r="AB15" s="10">
        <f>INDEX(shelf!$B$1:$B$6,MATCH(AA15,shelf!$A$1:$A$6,0))</f>
        <v>92</v>
      </c>
      <c r="AC15" s="10" cm="1">
        <f t="array" ref="AC15">SUMPRODUCT(A15:X15*AB15)</f>
        <v>499.35557775091451</v>
      </c>
    </row>
    <row r="16" spans="1:29" x14ac:dyDescent="0.25">
      <c r="A16">
        <v>0.75914067711989597</v>
      </c>
      <c r="B16">
        <v>0.750688052215016</v>
      </c>
      <c r="C16">
        <v>0.74763429749804899</v>
      </c>
      <c r="D16">
        <v>0.74580827528835802</v>
      </c>
      <c r="E16">
        <v>0.74499228920739802</v>
      </c>
      <c r="F16">
        <v>0.72598514332892905</v>
      </c>
      <c r="G16">
        <v>0.51528657733852901</v>
      </c>
      <c r="H16">
        <v>0.390008692241882</v>
      </c>
      <c r="I16">
        <v>0.38592275641974499</v>
      </c>
      <c r="J16">
        <v>0.40789432643226098</v>
      </c>
      <c r="K16">
        <v>0.45159800044089399</v>
      </c>
      <c r="L16">
        <v>0.48908006208614802</v>
      </c>
      <c r="M16">
        <v>0.49915565102693799</v>
      </c>
      <c r="N16">
        <v>0.51154219962755698</v>
      </c>
      <c r="O16">
        <v>0.51684310644512499</v>
      </c>
      <c r="P16">
        <v>0.53799831503809803</v>
      </c>
      <c r="Q16">
        <v>0.58950940692623399</v>
      </c>
      <c r="R16">
        <v>0.689877571577177</v>
      </c>
      <c r="S16">
        <v>0.77323351492200598</v>
      </c>
      <c r="T16">
        <v>0.77654437656880704</v>
      </c>
      <c r="U16">
        <v>0.77654437656880704</v>
      </c>
      <c r="V16">
        <v>0.77711113783019103</v>
      </c>
      <c r="W16">
        <v>0.77503101139933595</v>
      </c>
      <c r="X16">
        <v>0.76419348513363905</v>
      </c>
      <c r="Y16" t="s">
        <v>51</v>
      </c>
      <c r="Z16" t="s">
        <v>262</v>
      </c>
      <c r="AA16" t="s">
        <v>251</v>
      </c>
      <c r="AB16" s="10">
        <f>INDEX(shelf!$B$1:$B$6,MATCH(AA16,shelf!$A$1:$A$6,0))</f>
        <v>92</v>
      </c>
      <c r="AC16" s="10" cm="1">
        <f t="array" ref="AC16">SUMPRODUCT(A16:X16*AB16)</f>
        <v>1389.3493438466535</v>
      </c>
    </row>
    <row r="17" spans="1:29" x14ac:dyDescent="0.25">
      <c r="A17">
        <v>0.77805774173827602</v>
      </c>
      <c r="B17">
        <v>0.77805774173827602</v>
      </c>
      <c r="C17">
        <v>0.77805774173827602</v>
      </c>
      <c r="D17">
        <v>0.77697853870758804</v>
      </c>
      <c r="E17">
        <v>0.77805774173827602</v>
      </c>
      <c r="F17">
        <v>0.77805774173827602</v>
      </c>
      <c r="G17">
        <v>0.76951244512177197</v>
      </c>
      <c r="H17">
        <v>0.50520620129252403</v>
      </c>
      <c r="I17">
        <v>0.37997207698288099</v>
      </c>
      <c r="J17">
        <v>0.386816129932953</v>
      </c>
      <c r="K17">
        <v>0.42116701251044197</v>
      </c>
      <c r="L17">
        <v>0.47752378704503501</v>
      </c>
      <c r="M17">
        <v>0.49300521147335702</v>
      </c>
      <c r="N17">
        <v>0.52962370518080404</v>
      </c>
      <c r="O17">
        <v>0.53740188972241898</v>
      </c>
      <c r="P17">
        <v>0.63357783004803103</v>
      </c>
      <c r="Q17">
        <v>0.77589933567689995</v>
      </c>
      <c r="R17">
        <v>0.77805774173827602</v>
      </c>
      <c r="S17">
        <v>0.77805774173827602</v>
      </c>
      <c r="T17">
        <v>0.77805774173827602</v>
      </c>
      <c r="U17">
        <v>0.77805774173827602</v>
      </c>
      <c r="V17">
        <v>0.77805774173827602</v>
      </c>
      <c r="W17">
        <v>0.77805774173827602</v>
      </c>
      <c r="X17">
        <v>0.77805774173827602</v>
      </c>
      <c r="Y17" t="s">
        <v>51</v>
      </c>
      <c r="Z17" t="s">
        <v>262</v>
      </c>
      <c r="AA17" t="s">
        <v>252</v>
      </c>
      <c r="AB17" s="10">
        <f>INDEX(shelf!$B$1:$B$6,MATCH(AA17,shelf!$A$1:$A$6,0))</f>
        <v>61</v>
      </c>
      <c r="AC17" s="10" cm="1">
        <f t="array" ref="AC17">SUMPRODUCT(A17:X17*AB17)</f>
        <v>977.42600093779549</v>
      </c>
    </row>
    <row r="18" spans="1:29" x14ac:dyDescent="0.25">
      <c r="A18">
        <v>0.77805774173827602</v>
      </c>
      <c r="B18">
        <v>0.77805774173827602</v>
      </c>
      <c r="C18">
        <v>0.77805774173827602</v>
      </c>
      <c r="D18">
        <v>0.77805774173827602</v>
      </c>
      <c r="E18">
        <v>0.77805774173827602</v>
      </c>
      <c r="F18">
        <v>0.77805774173827602</v>
      </c>
      <c r="G18">
        <v>0.77805774173827602</v>
      </c>
      <c r="H18">
        <v>0.311229627586667</v>
      </c>
      <c r="I18">
        <v>0.311229627586667</v>
      </c>
      <c r="J18">
        <v>0.311229627586667</v>
      </c>
      <c r="K18">
        <v>0.56733853212577401</v>
      </c>
      <c r="L18">
        <v>0.77805774173827602</v>
      </c>
      <c r="M18">
        <v>0.77805774173827602</v>
      </c>
      <c r="N18">
        <v>0.77805774173827602</v>
      </c>
      <c r="O18">
        <v>0.77805774173827602</v>
      </c>
      <c r="P18">
        <v>0.77805774173827602</v>
      </c>
      <c r="Q18">
        <v>0.77805774173827602</v>
      </c>
      <c r="R18">
        <v>0.77805774173827602</v>
      </c>
      <c r="S18">
        <v>0.77805774173827602</v>
      </c>
      <c r="T18">
        <v>0.77805774173827602</v>
      </c>
      <c r="U18">
        <v>0.77805774173827602</v>
      </c>
      <c r="V18">
        <v>0.77805774173827602</v>
      </c>
      <c r="W18">
        <v>0.77805774173827602</v>
      </c>
      <c r="X18">
        <v>0.77805774173827602</v>
      </c>
      <c r="Y18" t="s">
        <v>51</v>
      </c>
      <c r="Z18" t="s">
        <v>262</v>
      </c>
      <c r="AA18" t="s">
        <v>253</v>
      </c>
      <c r="AB18" s="10">
        <f>INDEX(shelf!$B$1:$B$6,MATCH(AA18,shelf!$A$1:$A$6,0))</f>
        <v>0</v>
      </c>
      <c r="AC18" s="10" cm="1">
        <f t="array" ref="AC18">SUMPRODUCT(A18:X18*AB18)</f>
        <v>0</v>
      </c>
    </row>
    <row r="19" spans="1:29" x14ac:dyDescent="0.25">
      <c r="A19">
        <v>0.77805774173827602</v>
      </c>
      <c r="B19">
        <v>0.77805774173827602</v>
      </c>
      <c r="C19">
        <v>0.77805774173827602</v>
      </c>
      <c r="D19">
        <v>0.77805774173827602</v>
      </c>
      <c r="E19">
        <v>0.77805774173827602</v>
      </c>
      <c r="F19">
        <v>0.77805774173827602</v>
      </c>
      <c r="G19">
        <v>0.77805774173827602</v>
      </c>
      <c r="H19">
        <v>0.77805774173827602</v>
      </c>
      <c r="I19">
        <v>0.71222635686630897</v>
      </c>
      <c r="J19">
        <v>0.58738836858975596</v>
      </c>
      <c r="K19">
        <v>0.58738836858975596</v>
      </c>
      <c r="L19">
        <v>0.58738836858975596</v>
      </c>
      <c r="M19">
        <v>0.58004111581386697</v>
      </c>
      <c r="N19">
        <v>0.43796157435656002</v>
      </c>
      <c r="O19">
        <v>0.311229627586667</v>
      </c>
      <c r="P19">
        <v>0.457717520709507</v>
      </c>
      <c r="Q19">
        <v>0.77805774173827602</v>
      </c>
      <c r="R19">
        <v>0.77805774173827602</v>
      </c>
      <c r="S19">
        <v>0.77805774173827602</v>
      </c>
      <c r="T19">
        <v>0.77805774173827602</v>
      </c>
      <c r="U19">
        <v>0.77805774173827602</v>
      </c>
      <c r="V19">
        <v>0.77805774173827602</v>
      </c>
      <c r="W19">
        <v>0.77805774173827602</v>
      </c>
      <c r="X19">
        <v>0.77805774173827602</v>
      </c>
      <c r="Y19" t="s">
        <v>51</v>
      </c>
      <c r="Z19" t="s">
        <v>262</v>
      </c>
      <c r="AA19" t="s">
        <v>254</v>
      </c>
      <c r="AB19" s="10">
        <f>INDEX(shelf!$B$1:$B$6,MATCH(AA19,shelf!$A$1:$A$6,0))</f>
        <v>0</v>
      </c>
      <c r="AC19" s="10" cm="1">
        <f t="array" ref="AC19">SUMPRODUCT(A19:X19*AB19)</f>
        <v>0</v>
      </c>
    </row>
    <row r="20" spans="1:29" x14ac:dyDescent="0.25">
      <c r="A20">
        <v>0.36208428692751399</v>
      </c>
      <c r="B20">
        <v>0.34588564317426901</v>
      </c>
      <c r="C20">
        <v>0.34200769159545202</v>
      </c>
      <c r="D20">
        <v>0.34294065257617901</v>
      </c>
      <c r="E20">
        <v>0.35641700093275902</v>
      </c>
      <c r="F20">
        <v>0.39575663500130498</v>
      </c>
      <c r="G20">
        <v>0.44543490524678703</v>
      </c>
      <c r="H20">
        <v>0.45473703770907098</v>
      </c>
      <c r="I20">
        <v>0.422806347491128</v>
      </c>
      <c r="J20">
        <v>0.39929339847740503</v>
      </c>
      <c r="K20">
        <v>0.39013317351677701</v>
      </c>
      <c r="L20">
        <v>0.38633626613569699</v>
      </c>
      <c r="M20">
        <v>0.37949854326329402</v>
      </c>
      <c r="N20">
        <v>0.36669829607253701</v>
      </c>
      <c r="O20">
        <v>0.35984383212729998</v>
      </c>
      <c r="P20">
        <v>0.37287621914114699</v>
      </c>
      <c r="Q20">
        <v>0.42882249362608199</v>
      </c>
      <c r="R20">
        <v>0.49098661325645998</v>
      </c>
      <c r="S20">
        <v>0.51392198380659604</v>
      </c>
      <c r="T20">
        <v>0.515859835127227</v>
      </c>
      <c r="U20">
        <v>0.509916397006</v>
      </c>
      <c r="V20">
        <v>0.48754723656301502</v>
      </c>
      <c r="W20">
        <v>0.44219992537283098</v>
      </c>
      <c r="X20">
        <v>0.395139157362489</v>
      </c>
      <c r="Y20" t="s">
        <v>52</v>
      </c>
      <c r="Z20" t="s">
        <v>262</v>
      </c>
      <c r="AA20" t="s">
        <v>222</v>
      </c>
      <c r="AB20" s="10">
        <f>INDEX(shelf!$B$1:$B$6,MATCH(AA20,shelf!$A$1:$A$6,0))</f>
        <v>120</v>
      </c>
      <c r="AC20" s="10" cm="1">
        <f t="array" ref="AC20">SUMPRODUCT(A20:X20*AB20)</f>
        <v>1188.8572285811183</v>
      </c>
    </row>
    <row r="21" spans="1:29" x14ac:dyDescent="0.25">
      <c r="A21">
        <v>0.191864214188812</v>
      </c>
      <c r="B21">
        <v>0.18024202209441401</v>
      </c>
      <c r="C21">
        <v>0.17701522610879999</v>
      </c>
      <c r="D21">
        <v>0.17766450377043999</v>
      </c>
      <c r="E21">
        <v>0.18235914373924</v>
      </c>
      <c r="F21">
        <v>0.199305214560208</v>
      </c>
      <c r="G21">
        <v>0.21357309732955099</v>
      </c>
      <c r="H21">
        <v>0.21064472642579199</v>
      </c>
      <c r="I21">
        <v>0.205401833497869</v>
      </c>
      <c r="J21">
        <v>0.204661052475751</v>
      </c>
      <c r="K21">
        <v>0.213490880569667</v>
      </c>
      <c r="L21">
        <v>0.22451754506801</v>
      </c>
      <c r="M21">
        <v>0.23416808650888599</v>
      </c>
      <c r="N21">
        <v>0.23940079394824099</v>
      </c>
      <c r="O21">
        <v>0.24596735953409701</v>
      </c>
      <c r="P21">
        <v>0.253688389273593</v>
      </c>
      <c r="Q21">
        <v>0.276847585219332</v>
      </c>
      <c r="R21">
        <v>0.31680912151666801</v>
      </c>
      <c r="S21">
        <v>0.33577841167891997</v>
      </c>
      <c r="T21">
        <v>0.35077339748713898</v>
      </c>
      <c r="U21">
        <v>0.349968337386802</v>
      </c>
      <c r="V21">
        <v>0.335057222979387</v>
      </c>
      <c r="W21">
        <v>0.27795598279567302</v>
      </c>
      <c r="X21">
        <v>0.22105077462043199</v>
      </c>
      <c r="Y21" t="s">
        <v>52</v>
      </c>
      <c r="Z21" t="s">
        <v>262</v>
      </c>
      <c r="AA21" t="s">
        <v>250</v>
      </c>
      <c r="AB21" s="10">
        <f>INDEX(shelf!$B$1:$B$6,MATCH(AA21,shelf!$A$1:$A$6,0))</f>
        <v>92</v>
      </c>
      <c r="AC21" s="10" cm="1">
        <f t="array" ref="AC21">SUMPRODUCT(A21:X21*AB21)</f>
        <v>535.27485289555057</v>
      </c>
    </row>
    <row r="22" spans="1:29" x14ac:dyDescent="0.25">
      <c r="A22">
        <v>0.45993324596645002</v>
      </c>
      <c r="B22">
        <v>0.426952008401489</v>
      </c>
      <c r="C22">
        <v>0.40785329120382602</v>
      </c>
      <c r="D22">
        <v>0.40064788760005998</v>
      </c>
      <c r="E22">
        <v>0.40405375024353202</v>
      </c>
      <c r="F22">
        <v>0.41419009354768599</v>
      </c>
      <c r="G22">
        <v>0.41492585418274502</v>
      </c>
      <c r="H22">
        <v>0.42950920102506301</v>
      </c>
      <c r="I22">
        <v>0.45211937042443801</v>
      </c>
      <c r="J22">
        <v>0.474975404867994</v>
      </c>
      <c r="K22">
        <v>0.52203179109067099</v>
      </c>
      <c r="L22">
        <v>0.57081615285570697</v>
      </c>
      <c r="M22">
        <v>0.61010228582806403</v>
      </c>
      <c r="N22">
        <v>0.63482512428705296</v>
      </c>
      <c r="O22">
        <v>0.64930454654409797</v>
      </c>
      <c r="P22">
        <v>0.65992374411709698</v>
      </c>
      <c r="Q22">
        <v>0.66810149193262802</v>
      </c>
      <c r="R22">
        <v>0.67612660108114098</v>
      </c>
      <c r="S22">
        <v>0.68900899337871702</v>
      </c>
      <c r="T22">
        <v>0.69893277715244395</v>
      </c>
      <c r="U22">
        <v>0.69487876777857305</v>
      </c>
      <c r="V22">
        <v>0.67193494990583702</v>
      </c>
      <c r="W22">
        <v>0.60186798947618403</v>
      </c>
      <c r="X22">
        <v>0.51676236961543698</v>
      </c>
      <c r="Y22" t="s">
        <v>52</v>
      </c>
      <c r="Z22" t="s">
        <v>262</v>
      </c>
      <c r="AA22" t="s">
        <v>251</v>
      </c>
      <c r="AB22" s="10">
        <f>INDEX(shelf!$B$1:$B$6,MATCH(AA22,shelf!$A$1:$A$6,0))</f>
        <v>92</v>
      </c>
      <c r="AC22" s="10" cm="1">
        <f t="array" ref="AC22">SUMPRODUCT(A22:X22*AB22)</f>
        <v>1209.7795477106381</v>
      </c>
    </row>
    <row r="23" spans="1:29" x14ac:dyDescent="0.25">
      <c r="A23">
        <v>0.29718971787807402</v>
      </c>
      <c r="B23">
        <v>0.28464093653613798</v>
      </c>
      <c r="C23">
        <v>0.28068006500554998</v>
      </c>
      <c r="D23">
        <v>0.28023727787688302</v>
      </c>
      <c r="E23">
        <v>0.28441317031879598</v>
      </c>
      <c r="F23">
        <v>0.308426863889397</v>
      </c>
      <c r="G23">
        <v>0.33730249449385002</v>
      </c>
      <c r="H23">
        <v>0.32794646411923001</v>
      </c>
      <c r="I23">
        <v>0.32421860026990801</v>
      </c>
      <c r="J23">
        <v>0.32747613124111002</v>
      </c>
      <c r="K23">
        <v>0.33749322506247598</v>
      </c>
      <c r="L23">
        <v>0.35770366232655298</v>
      </c>
      <c r="M23">
        <v>0.37943133501355503</v>
      </c>
      <c r="N23">
        <v>0.39505991247998701</v>
      </c>
      <c r="O23">
        <v>0.402662487518817</v>
      </c>
      <c r="P23">
        <v>0.41976062640105</v>
      </c>
      <c r="Q23">
        <v>0.459992816862965</v>
      </c>
      <c r="R23">
        <v>0.48958457650797799</v>
      </c>
      <c r="S23">
        <v>0.50422702477902503</v>
      </c>
      <c r="T23">
        <v>0.50402550042142802</v>
      </c>
      <c r="U23">
        <v>0.49327265013363802</v>
      </c>
      <c r="V23">
        <v>0.44870681384524602</v>
      </c>
      <c r="W23">
        <v>0.38129694213426402</v>
      </c>
      <c r="X23">
        <v>0.32245771017227598</v>
      </c>
      <c r="Y23" t="s">
        <v>52</v>
      </c>
      <c r="Z23" t="s">
        <v>262</v>
      </c>
      <c r="AA23" t="s">
        <v>252</v>
      </c>
      <c r="AB23" s="10">
        <f>INDEX(shelf!$B$1:$B$6,MATCH(AA23,shelf!$A$1:$A$6,0))</f>
        <v>61</v>
      </c>
      <c r="AC23" s="10" cm="1">
        <f t="array" ref="AC23">SUMPRODUCT(A23:X23*AB23)</f>
        <v>545.84062732257985</v>
      </c>
    </row>
    <row r="24" spans="1:29" x14ac:dyDescent="0.25">
      <c r="A24">
        <v>0.59705627815079498</v>
      </c>
      <c r="B24">
        <v>0.52923995552233505</v>
      </c>
      <c r="C24">
        <v>0.48299087533665003</v>
      </c>
      <c r="D24">
        <v>0.458716731955705</v>
      </c>
      <c r="E24">
        <v>0.45600561712232002</v>
      </c>
      <c r="F24">
        <v>0.45930720402258401</v>
      </c>
      <c r="G24">
        <v>0.45212619984081998</v>
      </c>
      <c r="H24">
        <v>0.50901483870525899</v>
      </c>
      <c r="I24">
        <v>0.55926501239675297</v>
      </c>
      <c r="J24">
        <v>0.62426171239006301</v>
      </c>
      <c r="K24">
        <v>0.67257244080925704</v>
      </c>
      <c r="L24">
        <v>0.71066763375561803</v>
      </c>
      <c r="M24">
        <v>0.729146617743343</v>
      </c>
      <c r="N24">
        <v>0.73937953553393398</v>
      </c>
      <c r="O24">
        <v>0.74432875546291999</v>
      </c>
      <c r="P24">
        <v>0.74642990896406103</v>
      </c>
      <c r="Q24">
        <v>0.748149704948324</v>
      </c>
      <c r="R24">
        <v>0.75305204529305203</v>
      </c>
      <c r="S24">
        <v>0.76069394426386105</v>
      </c>
      <c r="T24">
        <v>0.76378799682483001</v>
      </c>
      <c r="U24">
        <v>0.76995029183857999</v>
      </c>
      <c r="V24">
        <v>0.76877145465242902</v>
      </c>
      <c r="W24">
        <v>0.76000760608086104</v>
      </c>
      <c r="X24">
        <v>0.70072073410268498</v>
      </c>
      <c r="Y24" t="s">
        <v>52</v>
      </c>
      <c r="Z24" t="s">
        <v>262</v>
      </c>
      <c r="AA24" t="s">
        <v>253</v>
      </c>
      <c r="AB24" s="10">
        <f>INDEX(shelf!$B$1:$B$6,MATCH(AA24,shelf!$A$1:$A$6,0))</f>
        <v>0</v>
      </c>
      <c r="AC24" s="10" cm="1">
        <f t="array" ref="AC24">SUMPRODUCT(A24:X24*AB24)</f>
        <v>0</v>
      </c>
    </row>
    <row r="25" spans="1:29" x14ac:dyDescent="0.25">
      <c r="A25">
        <v>0.51453662164646297</v>
      </c>
      <c r="B25">
        <v>0.49710742430395599</v>
      </c>
      <c r="C25">
        <v>0.48204274891347298</v>
      </c>
      <c r="D25">
        <v>0.48072590665906001</v>
      </c>
      <c r="E25">
        <v>0.49895574409225002</v>
      </c>
      <c r="F25">
        <v>0.54310683119820502</v>
      </c>
      <c r="G25">
        <v>0.60579484335107903</v>
      </c>
      <c r="H25">
        <v>0.62303494214585198</v>
      </c>
      <c r="I25">
        <v>0.54853485497089505</v>
      </c>
      <c r="J25">
        <v>0.51210362389720998</v>
      </c>
      <c r="K25">
        <v>0.50275878452299405</v>
      </c>
      <c r="L25">
        <v>0.49832049938872103</v>
      </c>
      <c r="M25">
        <v>0.48439778960126501</v>
      </c>
      <c r="N25">
        <v>0.45659029508327897</v>
      </c>
      <c r="O25">
        <v>0.44245320337680399</v>
      </c>
      <c r="P25">
        <v>0.469816658686602</v>
      </c>
      <c r="Q25">
        <v>0.570217979532057</v>
      </c>
      <c r="R25">
        <v>0.58174403641648198</v>
      </c>
      <c r="S25">
        <v>0.62318874932116697</v>
      </c>
      <c r="T25">
        <v>0.62270573158224896</v>
      </c>
      <c r="U25">
        <v>0.62518929607407103</v>
      </c>
      <c r="V25">
        <v>0.61189287646281398</v>
      </c>
      <c r="W25">
        <v>0.589704611212859</v>
      </c>
      <c r="X25">
        <v>0.54610817806446299</v>
      </c>
      <c r="Y25" t="s">
        <v>52</v>
      </c>
      <c r="Z25" t="s">
        <v>262</v>
      </c>
      <c r="AA25" t="s">
        <v>254</v>
      </c>
      <c r="AB25" s="10">
        <f>INDEX(shelf!$B$1:$B$6,MATCH(AA25,shelf!$A$1:$A$6,0))</f>
        <v>0</v>
      </c>
      <c r="AC25" s="10" cm="1">
        <f t="array" ref="AC25">SUMPRODUCT(A25:X25*AB25)</f>
        <v>0</v>
      </c>
    </row>
    <row r="26" spans="1:29" x14ac:dyDescent="0.25">
      <c r="A26">
        <v>0.80901913599999997</v>
      </c>
      <c r="B26">
        <v>0.80610107099999995</v>
      </c>
      <c r="C26">
        <v>0.81014390599999997</v>
      </c>
      <c r="D26">
        <v>0.81009543900000003</v>
      </c>
      <c r="E26">
        <v>0.81076558899999995</v>
      </c>
      <c r="F26">
        <v>0.81138916699999997</v>
      </c>
      <c r="G26">
        <v>0.81221527999999998</v>
      </c>
      <c r="H26">
        <v>0.80244922500000004</v>
      </c>
      <c r="I26">
        <v>0.70201628500000002</v>
      </c>
      <c r="J26">
        <v>0.67463840600000002</v>
      </c>
      <c r="K26">
        <v>0.68506703000000002</v>
      </c>
      <c r="L26">
        <v>0.68622672900000004</v>
      </c>
      <c r="M26">
        <v>0.68132393499999999</v>
      </c>
      <c r="N26">
        <v>0.66475267199999999</v>
      </c>
      <c r="O26">
        <v>0.63910066700000001</v>
      </c>
      <c r="P26">
        <v>0.69378142200000004</v>
      </c>
      <c r="Q26">
        <v>0.78209885499999998</v>
      </c>
      <c r="R26">
        <v>0.81721013499999995</v>
      </c>
      <c r="S26">
        <v>0.81702465899999999</v>
      </c>
      <c r="T26">
        <v>0.81574121899999996</v>
      </c>
      <c r="U26">
        <v>0.81586929200000002</v>
      </c>
      <c r="V26">
        <v>0.81422952199999998</v>
      </c>
      <c r="W26">
        <v>0.80760031300000001</v>
      </c>
      <c r="X26">
        <v>0.80704388500000002</v>
      </c>
      <c r="Y26" t="s">
        <v>53</v>
      </c>
      <c r="Z26" t="s">
        <v>262</v>
      </c>
      <c r="AA26" t="s">
        <v>222</v>
      </c>
      <c r="AB26" s="10">
        <f>INDEX(shelf!$B$1:$B$6,MATCH(AA26,shelf!$A$1:$A$6,0))</f>
        <v>120</v>
      </c>
      <c r="AC26" s="10" cm="1">
        <f t="array" ref="AC26">SUMPRODUCT(A26:X26*AB26)</f>
        <v>2205.1084606799996</v>
      </c>
    </row>
    <row r="27" spans="1:29" x14ac:dyDescent="0.25">
      <c r="A27">
        <v>0.31780157999999997</v>
      </c>
      <c r="B27">
        <v>0.31178274900000003</v>
      </c>
      <c r="C27">
        <v>0.30805427499999999</v>
      </c>
      <c r="D27">
        <v>0.31158813400000002</v>
      </c>
      <c r="E27">
        <v>0.32043141200000003</v>
      </c>
      <c r="F27">
        <v>0.32875955400000001</v>
      </c>
      <c r="G27">
        <v>0.30022299200000002</v>
      </c>
      <c r="H27">
        <v>0.238246601</v>
      </c>
      <c r="I27">
        <v>0.223080893</v>
      </c>
      <c r="J27">
        <v>0.222433081</v>
      </c>
      <c r="K27">
        <v>0.22078884300000001</v>
      </c>
      <c r="L27">
        <v>0.223233877</v>
      </c>
      <c r="M27">
        <v>0.22441781</v>
      </c>
      <c r="N27">
        <v>0.227196226</v>
      </c>
      <c r="O27">
        <v>0.22998648899999999</v>
      </c>
      <c r="P27">
        <v>0.23232423099999999</v>
      </c>
      <c r="Q27">
        <v>0.25954249200000001</v>
      </c>
      <c r="R27">
        <v>0.42310218100000002</v>
      </c>
      <c r="S27">
        <v>0.46544722700000002</v>
      </c>
      <c r="T27">
        <v>0.48278110800000001</v>
      </c>
      <c r="U27">
        <v>0.47847454499999997</v>
      </c>
      <c r="V27">
        <v>0.456769117</v>
      </c>
      <c r="W27">
        <v>0.38175999199999999</v>
      </c>
      <c r="X27">
        <v>0.32989001000000001</v>
      </c>
      <c r="Y27" t="s">
        <v>53</v>
      </c>
      <c r="Z27" t="s">
        <v>262</v>
      </c>
      <c r="AA27" t="s">
        <v>250</v>
      </c>
      <c r="AB27" s="10">
        <f>INDEX(shelf!$B$1:$B$6,MATCH(AA27,shelf!$A$1:$A$6,0))</f>
        <v>92</v>
      </c>
      <c r="AC27" s="10" cm="1">
        <f t="array" ref="AC27">SUMPRODUCT(A27:X27*AB27)</f>
        <v>691.66661854799997</v>
      </c>
    </row>
    <row r="28" spans="1:29" x14ac:dyDescent="0.25">
      <c r="A28">
        <v>0.80244909499999995</v>
      </c>
      <c r="B28">
        <v>0.79543581799999996</v>
      </c>
      <c r="C28">
        <v>0.78653813800000005</v>
      </c>
      <c r="D28">
        <v>0.78529940600000003</v>
      </c>
      <c r="E28">
        <v>0.78461114200000004</v>
      </c>
      <c r="F28">
        <v>0.76555306899999997</v>
      </c>
      <c r="G28">
        <v>0.653906863</v>
      </c>
      <c r="H28">
        <v>0.51077017000000002</v>
      </c>
      <c r="I28">
        <v>0.51507011899999999</v>
      </c>
      <c r="J28">
        <v>0.57022464299999998</v>
      </c>
      <c r="K28">
        <v>0.64820640699999998</v>
      </c>
      <c r="L28">
        <v>0.67721907299999995</v>
      </c>
      <c r="M28">
        <v>0.68197070599999998</v>
      </c>
      <c r="N28">
        <v>0.68803408499999996</v>
      </c>
      <c r="O28">
        <v>0.69222236599999998</v>
      </c>
      <c r="P28">
        <v>0.710799764</v>
      </c>
      <c r="Q28">
        <v>0.76511892199999998</v>
      </c>
      <c r="R28">
        <v>0.816978871</v>
      </c>
      <c r="S28">
        <v>0.82706768100000005</v>
      </c>
      <c r="T28">
        <v>0.82829889700000003</v>
      </c>
      <c r="U28">
        <v>0.82861063800000001</v>
      </c>
      <c r="V28">
        <v>0.82722015100000001</v>
      </c>
      <c r="W28">
        <v>0.82408269899999997</v>
      </c>
      <c r="X28">
        <v>0.82094130899999995</v>
      </c>
      <c r="Y28" t="s">
        <v>53</v>
      </c>
      <c r="Z28" t="s">
        <v>262</v>
      </c>
      <c r="AA28" t="s">
        <v>251</v>
      </c>
      <c r="AB28" s="10">
        <f>INDEX(shelf!$B$1:$B$6,MATCH(AA28,shelf!$A$1:$A$6,0))</f>
        <v>92</v>
      </c>
      <c r="AC28" s="10" cm="1">
        <f t="array" ref="AC28">SUMPRODUCT(A28:X28*AB28)</f>
        <v>1619.8099629439998</v>
      </c>
    </row>
    <row r="29" spans="1:29" x14ac:dyDescent="0.25">
      <c r="A29">
        <v>0.82110683500000003</v>
      </c>
      <c r="B29">
        <v>0.82042179199999998</v>
      </c>
      <c r="C29">
        <v>0.81978677499999997</v>
      </c>
      <c r="D29">
        <v>0.81754634800000003</v>
      </c>
      <c r="E29">
        <v>0.81929264599999996</v>
      </c>
      <c r="F29">
        <v>0.82011857600000004</v>
      </c>
      <c r="G29">
        <v>0.81828754199999998</v>
      </c>
      <c r="H29">
        <v>0.664921702</v>
      </c>
      <c r="I29">
        <v>0.553298544</v>
      </c>
      <c r="J29">
        <v>0.57560479899999994</v>
      </c>
      <c r="K29">
        <v>0.66658428300000006</v>
      </c>
      <c r="L29">
        <v>0.71067101499999996</v>
      </c>
      <c r="M29">
        <v>0.714397913</v>
      </c>
      <c r="N29">
        <v>0.71926671799999997</v>
      </c>
      <c r="O29">
        <v>0.72185579200000005</v>
      </c>
      <c r="P29">
        <v>0.77665205800000003</v>
      </c>
      <c r="Q29">
        <v>0.82226711900000005</v>
      </c>
      <c r="R29">
        <v>0.82333909400000005</v>
      </c>
      <c r="S29">
        <v>0.82419922499999998</v>
      </c>
      <c r="T29">
        <v>0.82424720900000004</v>
      </c>
      <c r="U29">
        <v>0.82431918400000004</v>
      </c>
      <c r="V29">
        <v>0.82369182399999996</v>
      </c>
      <c r="W29">
        <v>0.82301137599999996</v>
      </c>
      <c r="X29">
        <v>0.82257492899999995</v>
      </c>
      <c r="Y29" t="s">
        <v>53</v>
      </c>
      <c r="Z29" t="s">
        <v>262</v>
      </c>
      <c r="AA29" t="s">
        <v>252</v>
      </c>
      <c r="AB29" s="10">
        <f>INDEX(shelf!$B$1:$B$6,MATCH(AA29,shelf!$A$1:$A$6,0))</f>
        <v>61</v>
      </c>
      <c r="AC29" s="10" cm="1">
        <f t="array" ref="AC29">SUMPRODUCT(A29:X29*AB29)</f>
        <v>1124.0752611779997</v>
      </c>
    </row>
    <row r="30" spans="1:29" x14ac:dyDescent="0.25">
      <c r="A30">
        <v>0.835876599</v>
      </c>
      <c r="B30">
        <v>0.835876599</v>
      </c>
      <c r="C30">
        <v>0.835876599</v>
      </c>
      <c r="D30">
        <v>0.835876599</v>
      </c>
      <c r="E30">
        <v>0.835876599</v>
      </c>
      <c r="F30">
        <v>0.835876599</v>
      </c>
      <c r="G30">
        <v>0.82619258699999998</v>
      </c>
      <c r="H30">
        <v>0.81454686200000004</v>
      </c>
      <c r="I30">
        <v>0.81454686200000004</v>
      </c>
      <c r="J30">
        <v>0.81454686200000004</v>
      </c>
      <c r="K30">
        <v>0.82619258699999998</v>
      </c>
      <c r="L30">
        <v>0.82619258699999998</v>
      </c>
      <c r="M30">
        <v>0.835876599</v>
      </c>
      <c r="N30">
        <v>0.835876599</v>
      </c>
      <c r="O30">
        <v>0.835876599</v>
      </c>
      <c r="P30">
        <v>0.835876599</v>
      </c>
      <c r="Q30">
        <v>0.835876599</v>
      </c>
      <c r="R30">
        <v>0.84117011100000005</v>
      </c>
      <c r="S30">
        <v>0.84117011100000005</v>
      </c>
      <c r="T30">
        <v>0.84117011100000005</v>
      </c>
      <c r="U30">
        <v>0.84117011100000005</v>
      </c>
      <c r="V30">
        <v>0.84117011100000005</v>
      </c>
      <c r="W30">
        <v>0.835876599</v>
      </c>
      <c r="X30">
        <v>0.829711215</v>
      </c>
      <c r="Y30" t="s">
        <v>53</v>
      </c>
      <c r="Z30" t="s">
        <v>262</v>
      </c>
      <c r="AA30" t="s">
        <v>253</v>
      </c>
      <c r="AB30" s="10">
        <f>INDEX(shelf!$B$1:$B$6,MATCH(AA30,shelf!$A$1:$A$6,0))</f>
        <v>0</v>
      </c>
      <c r="AC30" s="10" cm="1">
        <f t="array" ref="AC30">SUMPRODUCT(A30:X30*AB30)</f>
        <v>0</v>
      </c>
    </row>
    <row r="31" spans="1:29" x14ac:dyDescent="0.25">
      <c r="A31">
        <v>0.79063264600000005</v>
      </c>
      <c r="B31">
        <v>0.79063264600000005</v>
      </c>
      <c r="C31">
        <v>0.79063264600000005</v>
      </c>
      <c r="D31">
        <v>0.79063264600000005</v>
      </c>
      <c r="E31">
        <v>0.79063264600000005</v>
      </c>
      <c r="F31">
        <v>0.79063264600000005</v>
      </c>
      <c r="G31">
        <v>0.79063264600000005</v>
      </c>
      <c r="H31">
        <v>0.79063264600000005</v>
      </c>
      <c r="I31">
        <v>0.77110893000000003</v>
      </c>
      <c r="J31">
        <v>0.66642195599999998</v>
      </c>
      <c r="K31">
        <v>0.66642195599999998</v>
      </c>
      <c r="L31">
        <v>0.58088503800000002</v>
      </c>
      <c r="M31">
        <v>0.58620968799999995</v>
      </c>
      <c r="N31">
        <v>0.62046182100000002</v>
      </c>
      <c r="O31">
        <v>0.66642195599999998</v>
      </c>
      <c r="P31">
        <v>0.66642195599999998</v>
      </c>
      <c r="Q31">
        <v>0.79063264600000005</v>
      </c>
      <c r="R31">
        <v>0.79063264600000005</v>
      </c>
      <c r="S31">
        <v>0.79063264600000005</v>
      </c>
      <c r="T31">
        <v>0.79063264600000005</v>
      </c>
      <c r="U31">
        <v>0.79063264600000005</v>
      </c>
      <c r="V31">
        <v>0.79063264600000005</v>
      </c>
      <c r="W31">
        <v>0.79063264600000005</v>
      </c>
      <c r="X31">
        <v>0.79063264600000005</v>
      </c>
      <c r="Y31" t="s">
        <v>53</v>
      </c>
      <c r="Z31" t="s">
        <v>262</v>
      </c>
      <c r="AA31" t="s">
        <v>254</v>
      </c>
      <c r="AB31" s="10">
        <f>INDEX(shelf!$B$1:$B$6,MATCH(AA31,shelf!$A$1:$A$6,0))</f>
        <v>0</v>
      </c>
      <c r="AC31" s="10" cm="1">
        <f t="array" ref="AC31">SUMPRODUCT(A31:X31*AB31)</f>
        <v>0</v>
      </c>
    </row>
    <row r="32" spans="1:29" x14ac:dyDescent="0.25">
      <c r="A32">
        <v>0.108625286</v>
      </c>
      <c r="B32">
        <v>0.10376569300000001</v>
      </c>
      <c r="C32">
        <v>0.102602307</v>
      </c>
      <c r="D32">
        <v>0.102882196</v>
      </c>
      <c r="E32">
        <v>0.1069251</v>
      </c>
      <c r="F32">
        <v>0.118726991</v>
      </c>
      <c r="G32">
        <v>0.133630472</v>
      </c>
      <c r="H32">
        <v>0.13642111100000001</v>
      </c>
      <c r="I32">
        <v>0.12684190400000001</v>
      </c>
      <c r="J32">
        <v>0.11978802</v>
      </c>
      <c r="K32">
        <v>0.117039952</v>
      </c>
      <c r="L32">
        <v>0.11590088</v>
      </c>
      <c r="M32">
        <v>0.113849563</v>
      </c>
      <c r="N32">
        <v>0.110009489</v>
      </c>
      <c r="O32">
        <v>0.10795315</v>
      </c>
      <c r="P32">
        <v>0.11186286600000001</v>
      </c>
      <c r="Q32">
        <v>0.12864674800000001</v>
      </c>
      <c r="R32">
        <v>0.14729598399999999</v>
      </c>
      <c r="S32">
        <v>0.154176595</v>
      </c>
      <c r="T32">
        <v>0.154757951</v>
      </c>
      <c r="U32">
        <v>0.15297491899999999</v>
      </c>
      <c r="V32">
        <v>0.146264171</v>
      </c>
      <c r="W32">
        <v>0.13265997800000001</v>
      </c>
      <c r="X32">
        <v>0.118541747</v>
      </c>
      <c r="Y32" t="s">
        <v>54</v>
      </c>
      <c r="Z32" t="s">
        <v>262</v>
      </c>
      <c r="AA32" t="s">
        <v>222</v>
      </c>
      <c r="AB32" s="10">
        <f>INDEX(shelf!$B$1:$B$6,MATCH(AA32,shelf!$A$1:$A$6,0))</f>
        <v>120</v>
      </c>
      <c r="AC32" s="10" cm="1">
        <f t="array" ref="AC32">SUMPRODUCT(A32:X32*AB32)</f>
        <v>356.65716875999999</v>
      </c>
    </row>
    <row r="33" spans="1:29" x14ac:dyDescent="0.25">
      <c r="A33">
        <v>5.7559263999999999E-2</v>
      </c>
      <c r="B33">
        <v>5.4072607000000002E-2</v>
      </c>
      <c r="C33">
        <v>5.3104567999999998E-2</v>
      </c>
      <c r="D33">
        <v>5.3299351000000002E-2</v>
      </c>
      <c r="E33">
        <v>5.4707743000000003E-2</v>
      </c>
      <c r="F33">
        <v>5.9791563999999998E-2</v>
      </c>
      <c r="G33">
        <v>6.4071929E-2</v>
      </c>
      <c r="H33">
        <v>6.3193418000000001E-2</v>
      </c>
      <c r="I33">
        <v>6.1620550000000003E-2</v>
      </c>
      <c r="J33">
        <v>6.1398316000000001E-2</v>
      </c>
      <c r="K33">
        <v>6.4047264000000007E-2</v>
      </c>
      <c r="L33">
        <v>6.7355263999999998E-2</v>
      </c>
      <c r="M33">
        <v>7.0250426000000005E-2</v>
      </c>
      <c r="N33">
        <v>7.1820237999999995E-2</v>
      </c>
      <c r="O33">
        <v>7.3790207999999996E-2</v>
      </c>
      <c r="P33">
        <v>7.6106516999999999E-2</v>
      </c>
      <c r="Q33">
        <v>8.3054275999999996E-2</v>
      </c>
      <c r="R33">
        <v>9.5042736000000003E-2</v>
      </c>
      <c r="S33">
        <v>0.100733524</v>
      </c>
      <c r="T33">
        <v>0.105232019</v>
      </c>
      <c r="U33">
        <v>0.104990501</v>
      </c>
      <c r="V33">
        <v>0.100517167</v>
      </c>
      <c r="W33">
        <v>8.3386795E-2</v>
      </c>
      <c r="X33">
        <v>6.6315232000000002E-2</v>
      </c>
      <c r="Y33" t="s">
        <v>54</v>
      </c>
      <c r="Z33" t="s">
        <v>262</v>
      </c>
      <c r="AA33" t="s">
        <v>250</v>
      </c>
      <c r="AB33" s="10">
        <f>INDEX(shelf!$B$1:$B$6,MATCH(AA33,shelf!$A$1:$A$6,0))</f>
        <v>92</v>
      </c>
      <c r="AC33" s="10" cm="1">
        <f t="array" ref="AC33">SUMPRODUCT(A33:X33*AB33)</f>
        <v>160.58245588399998</v>
      </c>
    </row>
    <row r="34" spans="1:29" x14ac:dyDescent="0.25">
      <c r="A34">
        <v>0.13797997400000001</v>
      </c>
      <c r="B34">
        <v>0.12808560299999999</v>
      </c>
      <c r="C34">
        <v>0.122355987</v>
      </c>
      <c r="D34">
        <v>0.120194366</v>
      </c>
      <c r="E34">
        <v>0.12121612499999999</v>
      </c>
      <c r="F34">
        <v>0.12425702800000001</v>
      </c>
      <c r="G34">
        <v>0.12447775599999999</v>
      </c>
      <c r="H34">
        <v>0.12885276000000001</v>
      </c>
      <c r="I34">
        <v>0.135635811</v>
      </c>
      <c r="J34">
        <v>0.14249262100000001</v>
      </c>
      <c r="K34">
        <v>0.15660953699999999</v>
      </c>
      <c r="L34">
        <v>0.17124484600000001</v>
      </c>
      <c r="M34">
        <v>0.183030686</v>
      </c>
      <c r="N34">
        <v>0.190447537</v>
      </c>
      <c r="O34">
        <v>0.19479136399999999</v>
      </c>
      <c r="P34">
        <v>0.197977123</v>
      </c>
      <c r="Q34">
        <v>0.20043044800000001</v>
      </c>
      <c r="R34">
        <v>0.20283798</v>
      </c>
      <c r="S34">
        <v>0.20670269799999999</v>
      </c>
      <c r="T34">
        <v>0.20967983300000001</v>
      </c>
      <c r="U34">
        <v>0.20846363000000001</v>
      </c>
      <c r="V34">
        <v>0.201580485</v>
      </c>
      <c r="W34">
        <v>0.18056039700000001</v>
      </c>
      <c r="X34">
        <v>0.15502871100000001</v>
      </c>
      <c r="Y34" t="s">
        <v>54</v>
      </c>
      <c r="Z34" t="s">
        <v>262</v>
      </c>
      <c r="AA34" t="s">
        <v>251</v>
      </c>
      <c r="AB34" s="10">
        <f>INDEX(shelf!$B$1:$B$6,MATCH(AA34,shelf!$A$1:$A$6,0))</f>
        <v>92</v>
      </c>
      <c r="AC34" s="10" cm="1">
        <f t="array" ref="AC34">SUMPRODUCT(A34:X34*AB34)</f>
        <v>362.93386415199996</v>
      </c>
    </row>
    <row r="35" spans="1:29" x14ac:dyDescent="0.25">
      <c r="A35">
        <v>8.9156915000000003E-2</v>
      </c>
      <c r="B35">
        <v>8.5392281E-2</v>
      </c>
      <c r="C35">
        <v>8.4204020000000004E-2</v>
      </c>
      <c r="D35">
        <v>8.4071182999999994E-2</v>
      </c>
      <c r="E35">
        <v>8.5323950999999995E-2</v>
      </c>
      <c r="F35">
        <v>9.2528058999999996E-2</v>
      </c>
      <c r="G35">
        <v>0.101190748</v>
      </c>
      <c r="H35">
        <v>9.8383939000000004E-2</v>
      </c>
      <c r="I35">
        <v>9.7265580000000004E-2</v>
      </c>
      <c r="J35">
        <v>9.8242838999999998E-2</v>
      </c>
      <c r="K35">
        <v>0.10124796799999999</v>
      </c>
      <c r="L35">
        <v>0.10731109899999999</v>
      </c>
      <c r="M35">
        <v>0.113829401</v>
      </c>
      <c r="N35">
        <v>0.118517974</v>
      </c>
      <c r="O35">
        <v>0.120798746</v>
      </c>
      <c r="P35">
        <v>0.125928188</v>
      </c>
      <c r="Q35">
        <v>0.13799784500000001</v>
      </c>
      <c r="R35">
        <v>0.146875373</v>
      </c>
      <c r="S35">
        <v>0.15126810700000001</v>
      </c>
      <c r="T35">
        <v>0.15120765</v>
      </c>
      <c r="U35">
        <v>0.147981795</v>
      </c>
      <c r="V35">
        <v>0.13461204399999999</v>
      </c>
      <c r="W35">
        <v>0.114389083</v>
      </c>
      <c r="X35">
        <v>9.6737313000000005E-2</v>
      </c>
      <c r="Y35" t="s">
        <v>54</v>
      </c>
      <c r="Z35" t="s">
        <v>262</v>
      </c>
      <c r="AA35" t="s">
        <v>252</v>
      </c>
      <c r="AB35" s="10">
        <f>INDEX(shelf!$B$1:$B$6,MATCH(AA35,shelf!$A$1:$A$6,0))</f>
        <v>61</v>
      </c>
      <c r="AC35" s="10" cm="1">
        <f t="array" ref="AC35">SUMPRODUCT(A35:X35*AB35)</f>
        <v>163.75218816100005</v>
      </c>
    </row>
    <row r="36" spans="1:29" x14ac:dyDescent="0.25">
      <c r="A36">
        <v>0.179116883</v>
      </c>
      <c r="B36">
        <v>0.158771987</v>
      </c>
      <c r="C36">
        <v>0.144897263</v>
      </c>
      <c r="D36">
        <v>0.13761502</v>
      </c>
      <c r="E36">
        <v>0.13680168500000001</v>
      </c>
      <c r="F36">
        <v>0.137792161</v>
      </c>
      <c r="G36">
        <v>0.13563786</v>
      </c>
      <c r="H36">
        <v>0.15270445199999999</v>
      </c>
      <c r="I36">
        <v>0.167779504</v>
      </c>
      <c r="J36">
        <v>0.18727851400000001</v>
      </c>
      <c r="K36">
        <v>0.20177173200000001</v>
      </c>
      <c r="L36">
        <v>0.21320028999999999</v>
      </c>
      <c r="M36">
        <v>0.218743985</v>
      </c>
      <c r="N36">
        <v>0.221813861</v>
      </c>
      <c r="O36">
        <v>0.223298627</v>
      </c>
      <c r="P36">
        <v>0.223928973</v>
      </c>
      <c r="Q36">
        <v>0.224444911</v>
      </c>
      <c r="R36">
        <v>0.22591561399999999</v>
      </c>
      <c r="S36">
        <v>0.22820818300000001</v>
      </c>
      <c r="T36">
        <v>0.22913639899999999</v>
      </c>
      <c r="U36">
        <v>0.23098508800000001</v>
      </c>
      <c r="V36">
        <v>0.230631436</v>
      </c>
      <c r="W36">
        <v>0.228002282</v>
      </c>
      <c r="X36">
        <v>0.21021622000000001</v>
      </c>
      <c r="Y36" t="s">
        <v>54</v>
      </c>
      <c r="Z36" t="s">
        <v>262</v>
      </c>
      <c r="AA36" t="s">
        <v>253</v>
      </c>
      <c r="AB36" s="10">
        <f>INDEX(shelf!$B$1:$B$6,MATCH(AA36,shelf!$A$1:$A$6,0))</f>
        <v>0</v>
      </c>
      <c r="AC36" s="10" cm="1">
        <f t="array" ref="AC36">SUMPRODUCT(A36:X36*AB36)</f>
        <v>0</v>
      </c>
    </row>
    <row r="37" spans="1:29" x14ac:dyDescent="0.25">
      <c r="A37">
        <v>0.15436098600000001</v>
      </c>
      <c r="B37">
        <v>0.14913222700000001</v>
      </c>
      <c r="C37">
        <v>0.144612825</v>
      </c>
      <c r="D37">
        <v>0.14421777199999999</v>
      </c>
      <c r="E37">
        <v>0.14968672299999999</v>
      </c>
      <c r="F37">
        <v>0.162932049</v>
      </c>
      <c r="G37">
        <v>0.18173845299999999</v>
      </c>
      <c r="H37">
        <v>0.18691048299999999</v>
      </c>
      <c r="I37">
        <v>0.16456045599999999</v>
      </c>
      <c r="J37">
        <v>0.153631087</v>
      </c>
      <c r="K37">
        <v>0.15082763499999999</v>
      </c>
      <c r="L37">
        <v>0.14949614999999999</v>
      </c>
      <c r="M37">
        <v>0.14531933699999999</v>
      </c>
      <c r="N37">
        <v>0.136977089</v>
      </c>
      <c r="O37">
        <v>0.13273596100000001</v>
      </c>
      <c r="P37">
        <v>0.14094499799999999</v>
      </c>
      <c r="Q37">
        <v>0.17106539400000001</v>
      </c>
      <c r="R37">
        <v>0.17452321100000001</v>
      </c>
      <c r="S37">
        <v>0.18695662499999999</v>
      </c>
      <c r="T37">
        <v>0.18681171899999999</v>
      </c>
      <c r="U37">
        <v>0.187556789</v>
      </c>
      <c r="V37">
        <v>0.183567863</v>
      </c>
      <c r="W37">
        <v>0.17691138300000001</v>
      </c>
      <c r="X37">
        <v>0.16383245299999999</v>
      </c>
      <c r="Y37" t="s">
        <v>54</v>
      </c>
      <c r="Z37" t="s">
        <v>262</v>
      </c>
      <c r="AA37" t="s">
        <v>254</v>
      </c>
      <c r="AB37" s="10">
        <f>INDEX(shelf!$B$1:$B$6,MATCH(AA37,shelf!$A$1:$A$6,0))</f>
        <v>0</v>
      </c>
      <c r="AC37" s="10" cm="1">
        <f t="array" ref="AC37">SUMPRODUCT(A37:X37*AB37)</f>
        <v>0</v>
      </c>
    </row>
    <row r="38" spans="1:29" x14ac:dyDescent="0.25">
      <c r="A38">
        <v>0.36208428692751399</v>
      </c>
      <c r="B38">
        <v>0.34588564317426901</v>
      </c>
      <c r="C38">
        <v>0.34200769159545202</v>
      </c>
      <c r="D38">
        <v>0.34294065257617901</v>
      </c>
      <c r="E38">
        <v>0.35641700093275902</v>
      </c>
      <c r="F38">
        <v>0.39575663500130498</v>
      </c>
      <c r="G38">
        <v>0.44543490524678703</v>
      </c>
      <c r="H38">
        <v>0.45473703770907098</v>
      </c>
      <c r="I38">
        <v>0.422806347491128</v>
      </c>
      <c r="J38">
        <v>0.39929339847740503</v>
      </c>
      <c r="K38">
        <v>0.39013317351677701</v>
      </c>
      <c r="L38">
        <v>0.38633626613569699</v>
      </c>
      <c r="M38">
        <v>0.37949854326329402</v>
      </c>
      <c r="N38">
        <v>0.36669829607253701</v>
      </c>
      <c r="O38">
        <v>0.35984383212729998</v>
      </c>
      <c r="P38">
        <v>0.37287621914114699</v>
      </c>
      <c r="Q38">
        <v>0.42882249362608199</v>
      </c>
      <c r="R38">
        <v>0.49098661325645998</v>
      </c>
      <c r="S38">
        <v>0.51392198380659604</v>
      </c>
      <c r="T38">
        <v>0.515859835127227</v>
      </c>
      <c r="U38">
        <v>0.509916397006</v>
      </c>
      <c r="V38">
        <v>0.48754723656301502</v>
      </c>
      <c r="W38">
        <v>0.44219992537283098</v>
      </c>
      <c r="X38">
        <v>0.395139157362489</v>
      </c>
      <c r="Y38" t="s">
        <v>55</v>
      </c>
      <c r="Z38" t="s">
        <v>262</v>
      </c>
      <c r="AA38" t="s">
        <v>222</v>
      </c>
      <c r="AB38" s="10">
        <f>INDEX(shelf!$B$1:$B$6,MATCH(AA38,shelf!$A$1:$A$6,0))</f>
        <v>120</v>
      </c>
      <c r="AC38" s="10" cm="1">
        <f t="array" ref="AC38">SUMPRODUCT(A38:X38*AB38)</f>
        <v>1188.8572285811183</v>
      </c>
    </row>
    <row r="39" spans="1:29" x14ac:dyDescent="0.25">
      <c r="A39">
        <v>0.191864214188812</v>
      </c>
      <c r="B39">
        <v>0.18024202209441401</v>
      </c>
      <c r="C39">
        <v>0.17701522610879999</v>
      </c>
      <c r="D39">
        <v>0.17766450377043999</v>
      </c>
      <c r="E39">
        <v>0.18235914373924</v>
      </c>
      <c r="F39">
        <v>0.199305214560208</v>
      </c>
      <c r="G39">
        <v>0.21357309732955099</v>
      </c>
      <c r="H39">
        <v>0.21064472642579199</v>
      </c>
      <c r="I39">
        <v>0.205401833497869</v>
      </c>
      <c r="J39">
        <v>0.204661052475751</v>
      </c>
      <c r="K39">
        <v>0.213490880569667</v>
      </c>
      <c r="L39">
        <v>0.22451754506801</v>
      </c>
      <c r="M39">
        <v>0.23416808650888599</v>
      </c>
      <c r="N39">
        <v>0.23940079394824099</v>
      </c>
      <c r="O39">
        <v>0.24596735953409701</v>
      </c>
      <c r="P39">
        <v>0.253688389273593</v>
      </c>
      <c r="Q39">
        <v>0.276847585219332</v>
      </c>
      <c r="R39">
        <v>0.31680912151666801</v>
      </c>
      <c r="S39">
        <v>0.33577841167891997</v>
      </c>
      <c r="T39">
        <v>0.35077339748713898</v>
      </c>
      <c r="U39">
        <v>0.349968337386802</v>
      </c>
      <c r="V39">
        <v>0.335057222979387</v>
      </c>
      <c r="W39">
        <v>0.27795598279567302</v>
      </c>
      <c r="X39">
        <v>0.22105077462043199</v>
      </c>
      <c r="Y39" t="s">
        <v>55</v>
      </c>
      <c r="Z39" t="s">
        <v>262</v>
      </c>
      <c r="AA39" t="s">
        <v>250</v>
      </c>
      <c r="AB39" s="10">
        <f>INDEX(shelf!$B$1:$B$6,MATCH(AA39,shelf!$A$1:$A$6,0))</f>
        <v>92</v>
      </c>
      <c r="AC39" s="10" cm="1">
        <f t="array" ref="AC39">SUMPRODUCT(A39:X39*AB39)</f>
        <v>535.27485289555057</v>
      </c>
    </row>
    <row r="40" spans="1:29" x14ac:dyDescent="0.25">
      <c r="A40">
        <v>0.45993324596645002</v>
      </c>
      <c r="B40">
        <v>0.426952008401489</v>
      </c>
      <c r="C40">
        <v>0.40785329120382602</v>
      </c>
      <c r="D40">
        <v>0.40064788760005998</v>
      </c>
      <c r="E40">
        <v>0.40405375024353202</v>
      </c>
      <c r="F40">
        <v>0.41419009354768599</v>
      </c>
      <c r="G40">
        <v>0.41492585418274502</v>
      </c>
      <c r="H40">
        <v>0.42950920102506301</v>
      </c>
      <c r="I40">
        <v>0.45211937042443801</v>
      </c>
      <c r="J40">
        <v>0.474975404867994</v>
      </c>
      <c r="K40">
        <v>0.52203179109067099</v>
      </c>
      <c r="L40">
        <v>0.57081615285570697</v>
      </c>
      <c r="M40">
        <v>0.61010228582806403</v>
      </c>
      <c r="N40">
        <v>0.63482512428705296</v>
      </c>
      <c r="O40">
        <v>0.64930454654409797</v>
      </c>
      <c r="P40">
        <v>0.65992374411709698</v>
      </c>
      <c r="Q40">
        <v>0.66810149193262802</v>
      </c>
      <c r="R40">
        <v>0.67612660108114098</v>
      </c>
      <c r="S40">
        <v>0.68900899337871702</v>
      </c>
      <c r="T40">
        <v>0.69893277715244395</v>
      </c>
      <c r="U40">
        <v>0.69487876777857305</v>
      </c>
      <c r="V40">
        <v>0.67193494990583702</v>
      </c>
      <c r="W40">
        <v>0.60186798947618403</v>
      </c>
      <c r="X40">
        <v>0.51676236961543698</v>
      </c>
      <c r="Y40" t="s">
        <v>55</v>
      </c>
      <c r="Z40" t="s">
        <v>262</v>
      </c>
      <c r="AA40" t="s">
        <v>251</v>
      </c>
      <c r="AB40" s="10">
        <f>INDEX(shelf!$B$1:$B$6,MATCH(AA40,shelf!$A$1:$A$6,0))</f>
        <v>92</v>
      </c>
      <c r="AC40" s="10" cm="1">
        <f t="array" ref="AC40">SUMPRODUCT(A40:X40*AB40)</f>
        <v>1209.7795477106381</v>
      </c>
    </row>
    <row r="41" spans="1:29" x14ac:dyDescent="0.25">
      <c r="A41">
        <v>0.29718971787807402</v>
      </c>
      <c r="B41">
        <v>0.28464093653613798</v>
      </c>
      <c r="C41">
        <v>0.28068006500554998</v>
      </c>
      <c r="D41">
        <v>0.28023727787688302</v>
      </c>
      <c r="E41">
        <v>0.28441317031879598</v>
      </c>
      <c r="F41">
        <v>0.308426863889397</v>
      </c>
      <c r="G41">
        <v>0.33730249449385002</v>
      </c>
      <c r="H41">
        <v>0.32794646411923001</v>
      </c>
      <c r="I41">
        <v>0.32421860026990801</v>
      </c>
      <c r="J41">
        <v>0.32747613124111002</v>
      </c>
      <c r="K41">
        <v>0.33749322506247598</v>
      </c>
      <c r="L41">
        <v>0.35770366232655298</v>
      </c>
      <c r="M41">
        <v>0.37943133501355503</v>
      </c>
      <c r="N41">
        <v>0.39505991247998701</v>
      </c>
      <c r="O41">
        <v>0.402662487518817</v>
      </c>
      <c r="P41">
        <v>0.41976062640105</v>
      </c>
      <c r="Q41">
        <v>0.459992816862965</v>
      </c>
      <c r="R41">
        <v>0.48958457650797799</v>
      </c>
      <c r="S41">
        <v>0.50422702477902503</v>
      </c>
      <c r="T41">
        <v>0.50402550042142802</v>
      </c>
      <c r="U41">
        <v>0.49327265013363802</v>
      </c>
      <c r="V41">
        <v>0.44870681384524602</v>
      </c>
      <c r="W41">
        <v>0.38129694213426402</v>
      </c>
      <c r="X41">
        <v>0.32245771017227598</v>
      </c>
      <c r="Y41" t="s">
        <v>55</v>
      </c>
      <c r="Z41" t="s">
        <v>262</v>
      </c>
      <c r="AA41" t="s">
        <v>252</v>
      </c>
      <c r="AB41" s="10">
        <f>INDEX(shelf!$B$1:$B$6,MATCH(AA41,shelf!$A$1:$A$6,0))</f>
        <v>61</v>
      </c>
      <c r="AC41" s="10" cm="1">
        <f t="array" ref="AC41">SUMPRODUCT(A41:X41*AB41)</f>
        <v>545.84062732257985</v>
      </c>
    </row>
    <row r="42" spans="1:29" x14ac:dyDescent="0.25">
      <c r="A42">
        <v>0.59705627815079498</v>
      </c>
      <c r="B42">
        <v>0.52923995552233505</v>
      </c>
      <c r="C42">
        <v>0.48299087533665003</v>
      </c>
      <c r="D42">
        <v>0.458716731955705</v>
      </c>
      <c r="E42">
        <v>0.45600561712232002</v>
      </c>
      <c r="F42">
        <v>0.45930720402258401</v>
      </c>
      <c r="G42">
        <v>0.45212619984081998</v>
      </c>
      <c r="H42">
        <v>0.50901483870525899</v>
      </c>
      <c r="I42">
        <v>0.55926501239675297</v>
      </c>
      <c r="J42">
        <v>0.62426171239006301</v>
      </c>
      <c r="K42">
        <v>0.67257244080925704</v>
      </c>
      <c r="L42">
        <v>0.71066763375561803</v>
      </c>
      <c r="M42">
        <v>0.729146617743343</v>
      </c>
      <c r="N42">
        <v>0.73937953553393398</v>
      </c>
      <c r="O42">
        <v>0.74432875546291999</v>
      </c>
      <c r="P42">
        <v>0.74642990896406103</v>
      </c>
      <c r="Q42">
        <v>0.748149704948324</v>
      </c>
      <c r="R42">
        <v>0.75305204529305203</v>
      </c>
      <c r="S42">
        <v>0.76069394426386105</v>
      </c>
      <c r="T42">
        <v>0.76378799682483001</v>
      </c>
      <c r="U42">
        <v>0.76995029183857999</v>
      </c>
      <c r="V42">
        <v>0.76877145465242902</v>
      </c>
      <c r="W42">
        <v>0.76000760608086104</v>
      </c>
      <c r="X42">
        <v>0.70072073410268498</v>
      </c>
      <c r="Y42" t="s">
        <v>55</v>
      </c>
      <c r="Z42" t="s">
        <v>262</v>
      </c>
      <c r="AA42" t="s">
        <v>253</v>
      </c>
      <c r="AB42" s="10">
        <f>INDEX(shelf!$B$1:$B$6,MATCH(AA42,shelf!$A$1:$A$6,0))</f>
        <v>0</v>
      </c>
      <c r="AC42" s="10" cm="1">
        <f t="array" ref="AC42">SUMPRODUCT(A42:X42*AB42)</f>
        <v>0</v>
      </c>
    </row>
    <row r="43" spans="1:29" x14ac:dyDescent="0.25">
      <c r="A43">
        <v>0.51453662164646297</v>
      </c>
      <c r="B43">
        <v>0.49710742430395599</v>
      </c>
      <c r="C43">
        <v>0.48204274891347298</v>
      </c>
      <c r="D43">
        <v>0.48072590665906001</v>
      </c>
      <c r="E43">
        <v>0.49895574409225002</v>
      </c>
      <c r="F43">
        <v>0.54310683119820502</v>
      </c>
      <c r="G43">
        <v>0.60579484335107903</v>
      </c>
      <c r="H43">
        <v>0.62303494214585198</v>
      </c>
      <c r="I43">
        <v>0.54853485497089505</v>
      </c>
      <c r="J43">
        <v>0.51210362389720998</v>
      </c>
      <c r="K43">
        <v>0.50275878452299405</v>
      </c>
      <c r="L43">
        <v>0.49832049938872103</v>
      </c>
      <c r="M43">
        <v>0.48439778960126501</v>
      </c>
      <c r="N43">
        <v>0.45659029508327897</v>
      </c>
      <c r="O43">
        <v>0.44245320337680399</v>
      </c>
      <c r="P43">
        <v>0.469816658686602</v>
      </c>
      <c r="Q43">
        <v>0.570217979532057</v>
      </c>
      <c r="R43">
        <v>0.58174403641648198</v>
      </c>
      <c r="S43">
        <v>0.62318874932116697</v>
      </c>
      <c r="T43">
        <v>0.62270573158224896</v>
      </c>
      <c r="U43">
        <v>0.62518929607407103</v>
      </c>
      <c r="V43">
        <v>0.61189287646281398</v>
      </c>
      <c r="W43">
        <v>0.589704611212859</v>
      </c>
      <c r="X43">
        <v>0.54610817806446299</v>
      </c>
      <c r="Y43" t="s">
        <v>55</v>
      </c>
      <c r="Z43" t="s">
        <v>262</v>
      </c>
      <c r="AA43" t="s">
        <v>254</v>
      </c>
      <c r="AB43" s="10">
        <f>INDEX(shelf!$B$1:$B$6,MATCH(AA43,shelf!$A$1:$A$6,0))</f>
        <v>0</v>
      </c>
      <c r="AC43" s="10" cm="1">
        <f t="array" ref="AC43">SUMPRODUCT(A43:X43*AB43)</f>
        <v>0</v>
      </c>
    </row>
    <row r="44" spans="1:29" x14ac:dyDescent="0.25">
      <c r="A44">
        <v>0.330272513806596</v>
      </c>
      <c r="B44">
        <v>0.32734096986848499</v>
      </c>
      <c r="C44">
        <v>0.32732759336684297</v>
      </c>
      <c r="D44">
        <v>0.33192221267323702</v>
      </c>
      <c r="E44">
        <v>0.35706857270645698</v>
      </c>
      <c r="F44">
        <v>0.45551189150597599</v>
      </c>
      <c r="G44">
        <v>0.58276631377310895</v>
      </c>
      <c r="H44">
        <v>0.479135838445997</v>
      </c>
      <c r="I44">
        <v>0.331366042815879</v>
      </c>
      <c r="J44">
        <v>0.318201684129018</v>
      </c>
      <c r="K44">
        <v>0.31816322668679498</v>
      </c>
      <c r="L44">
        <v>0.31882745359648501</v>
      </c>
      <c r="M44">
        <v>0.31873319106147302</v>
      </c>
      <c r="N44">
        <v>0.31868219314896001</v>
      </c>
      <c r="O44">
        <v>0.31968689382702198</v>
      </c>
      <c r="P44">
        <v>0.33284623632576799</v>
      </c>
      <c r="Q44">
        <v>0.535425202397245</v>
      </c>
      <c r="R44">
        <v>0.76445515542776998</v>
      </c>
      <c r="S44">
        <v>0.76742787391</v>
      </c>
      <c r="T44">
        <v>0.76386596233198101</v>
      </c>
      <c r="U44">
        <v>0.75320509953066805</v>
      </c>
      <c r="V44">
        <v>0.651772759637544</v>
      </c>
      <c r="W44">
        <v>0.45675151699413602</v>
      </c>
      <c r="X44">
        <v>0.36472850096738801</v>
      </c>
      <c r="Y44" t="s">
        <v>56</v>
      </c>
      <c r="Z44" t="s">
        <v>262</v>
      </c>
      <c r="AA44" t="s">
        <v>222</v>
      </c>
      <c r="AB44" s="10">
        <f>INDEX(shelf!$B$1:$B$6,MATCH(AA44,shelf!$A$1:$A$6,0))</f>
        <v>120</v>
      </c>
      <c r="AC44" s="10" cm="1">
        <f t="array" ref="AC44">SUMPRODUCT(A44:X44*AB44)</f>
        <v>1299.0581878721798</v>
      </c>
    </row>
    <row r="45" spans="1:29" x14ac:dyDescent="0.25">
      <c r="A45">
        <v>0.16158526598482401</v>
      </c>
      <c r="B45">
        <v>0.16078554974404299</v>
      </c>
      <c r="C45">
        <v>0.16078554974404299</v>
      </c>
      <c r="D45">
        <v>0.16078554974404299</v>
      </c>
      <c r="E45">
        <v>0.16580487297759</v>
      </c>
      <c r="F45">
        <v>0.17409151124126099</v>
      </c>
      <c r="G45">
        <v>0.18186425148284299</v>
      </c>
      <c r="H45">
        <v>0.160126652534226</v>
      </c>
      <c r="I45">
        <v>0.159361161326944</v>
      </c>
      <c r="J45">
        <v>0.15996101382247899</v>
      </c>
      <c r="K45">
        <v>0.16033592163218899</v>
      </c>
      <c r="L45">
        <v>0.16041090319413101</v>
      </c>
      <c r="M45">
        <v>0.16041090319413101</v>
      </c>
      <c r="N45">
        <v>0.160411164453929</v>
      </c>
      <c r="O45">
        <v>0.160411164453929</v>
      </c>
      <c r="P45">
        <v>0.16314211311936</v>
      </c>
      <c r="Q45">
        <v>0.181689729937974</v>
      </c>
      <c r="R45">
        <v>0.30988860637381899</v>
      </c>
      <c r="S45">
        <v>0.36214683615036702</v>
      </c>
      <c r="T45">
        <v>0.36696211548190499</v>
      </c>
      <c r="U45">
        <v>0.33676962695989399</v>
      </c>
      <c r="V45">
        <v>0.27241323973092701</v>
      </c>
      <c r="W45">
        <v>0.18455653369821301</v>
      </c>
      <c r="X45">
        <v>0.16304231187663601</v>
      </c>
      <c r="Y45" t="s">
        <v>56</v>
      </c>
      <c r="Z45" t="s">
        <v>262</v>
      </c>
      <c r="AA45" t="s">
        <v>250</v>
      </c>
      <c r="AB45" s="10">
        <f>INDEX(shelf!$B$1:$B$6,MATCH(AA45,shelf!$A$1:$A$6,0))</f>
        <v>92</v>
      </c>
      <c r="AC45" s="10" cm="1">
        <f t="array" ref="AC45">SUMPRODUCT(A45:X45*AB45)</f>
        <v>440.47231449509241</v>
      </c>
    </row>
    <row r="46" spans="1:29" x14ac:dyDescent="0.25">
      <c r="A46">
        <v>0.39857547292121098</v>
      </c>
      <c r="B46">
        <v>0.39857547292121098</v>
      </c>
      <c r="C46">
        <v>0.39857547292121098</v>
      </c>
      <c r="D46">
        <v>0.39857547292121098</v>
      </c>
      <c r="E46">
        <v>0.39857547292121098</v>
      </c>
      <c r="F46">
        <v>0.39875891934100799</v>
      </c>
      <c r="G46">
        <v>0.39786268412139802</v>
      </c>
      <c r="H46">
        <v>0.39802126581561997</v>
      </c>
      <c r="I46">
        <v>0.40027456250216098</v>
      </c>
      <c r="J46">
        <v>0.40494277659147898</v>
      </c>
      <c r="K46">
        <v>0.45412105965765198</v>
      </c>
      <c r="L46">
        <v>0.52432716486776798</v>
      </c>
      <c r="M46">
        <v>0.62012818976047401</v>
      </c>
      <c r="N46">
        <v>0.68323734974206396</v>
      </c>
      <c r="O46">
        <v>0.732664003789257</v>
      </c>
      <c r="P46">
        <v>0.77441906117241599</v>
      </c>
      <c r="Q46">
        <v>0.81598183134446201</v>
      </c>
      <c r="R46">
        <v>0.86014655691055397</v>
      </c>
      <c r="S46">
        <v>0.91459284650185702</v>
      </c>
      <c r="T46">
        <v>0.94408020083583</v>
      </c>
      <c r="U46">
        <v>0.89193224071183097</v>
      </c>
      <c r="V46">
        <v>0.766811007695961</v>
      </c>
      <c r="W46">
        <v>0.57825322914509902</v>
      </c>
      <c r="X46">
        <v>0.42946132993140601</v>
      </c>
      <c r="Y46" t="s">
        <v>56</v>
      </c>
      <c r="Z46" t="s">
        <v>262</v>
      </c>
      <c r="AA46" t="s">
        <v>251</v>
      </c>
      <c r="AB46" s="10">
        <f>INDEX(shelf!$B$1:$B$6,MATCH(AA46,shelf!$A$1:$A$6,0))</f>
        <v>92</v>
      </c>
      <c r="AC46" s="10" cm="1">
        <f t="array" ref="AC46">SUMPRODUCT(A46:X46*AB46)</f>
        <v>1286.4262153440804</v>
      </c>
    </row>
    <row r="47" spans="1:29" x14ac:dyDescent="0.25">
      <c r="A47">
        <v>0.32423997539534999</v>
      </c>
      <c r="B47">
        <v>0.32423997539534999</v>
      </c>
      <c r="C47">
        <v>0.32423997539534999</v>
      </c>
      <c r="D47">
        <v>0.32423997539534999</v>
      </c>
      <c r="E47">
        <v>0.32423997539534999</v>
      </c>
      <c r="F47">
        <v>0.32815546313474298</v>
      </c>
      <c r="G47">
        <v>0.32743990252945598</v>
      </c>
      <c r="H47">
        <v>0.32390150262005202</v>
      </c>
      <c r="I47">
        <v>0.32390150262005202</v>
      </c>
      <c r="J47">
        <v>0.32423997539534999</v>
      </c>
      <c r="K47">
        <v>0.32423997539534999</v>
      </c>
      <c r="L47">
        <v>0.335010029373494</v>
      </c>
      <c r="M47">
        <v>0.35057741285019001</v>
      </c>
      <c r="N47">
        <v>0.39278406165818303</v>
      </c>
      <c r="O47">
        <v>0.42640989367028798</v>
      </c>
      <c r="P47">
        <v>0.465087205285795</v>
      </c>
      <c r="Q47">
        <v>0.58267516922387896</v>
      </c>
      <c r="R47">
        <v>0.72082564978470598</v>
      </c>
      <c r="S47">
        <v>0.76382233108917497</v>
      </c>
      <c r="T47">
        <v>0.75073616189193604</v>
      </c>
      <c r="U47">
        <v>0.66425617078766197</v>
      </c>
      <c r="V47">
        <v>0.453793483882306</v>
      </c>
      <c r="W47">
        <v>0.34266960129319302</v>
      </c>
      <c r="X47">
        <v>0.32311186415474602</v>
      </c>
      <c r="Y47" t="s">
        <v>56</v>
      </c>
      <c r="Z47" t="s">
        <v>262</v>
      </c>
      <c r="AA47" t="s">
        <v>252</v>
      </c>
      <c r="AB47" s="10">
        <f>INDEX(shelf!$B$1:$B$6,MATCH(AA47,shelf!$A$1:$A$6,0))</f>
        <v>61</v>
      </c>
      <c r="AC47" s="10" cm="1">
        <f t="array" ref="AC47">SUMPRODUCT(A47:X47*AB47)</f>
        <v>618.83507125065557</v>
      </c>
    </row>
    <row r="48" spans="1:29" x14ac:dyDescent="0.25">
      <c r="A48">
        <v>0.45966257816410599</v>
      </c>
      <c r="B48">
        <v>0.45966257816410599</v>
      </c>
      <c r="C48">
        <v>0.45966257816410599</v>
      </c>
      <c r="D48">
        <v>0.45966257816410599</v>
      </c>
      <c r="E48">
        <v>0.45966257816410599</v>
      </c>
      <c r="F48">
        <v>0.45966257816410599</v>
      </c>
      <c r="G48">
        <v>0.45966257816410599</v>
      </c>
      <c r="H48">
        <v>0.45966257816410599</v>
      </c>
      <c r="I48">
        <v>0.45966257816410599</v>
      </c>
      <c r="J48">
        <v>0.45966257816410599</v>
      </c>
      <c r="K48">
        <v>0.64442655214169897</v>
      </c>
      <c r="L48">
        <v>0.70636707002126997</v>
      </c>
      <c r="M48">
        <v>0.91456604785318196</v>
      </c>
      <c r="N48">
        <v>0.885362427665492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0.84168919484159599</v>
      </c>
      <c r="X48">
        <v>0.58611545537187504</v>
      </c>
      <c r="Y48" t="s">
        <v>56</v>
      </c>
      <c r="Z48" t="s">
        <v>262</v>
      </c>
      <c r="AA48" t="s">
        <v>253</v>
      </c>
      <c r="AB48" s="10">
        <f>INDEX(shelf!$B$1:$B$6,MATCH(AA48,shelf!$A$1:$A$6,0))</f>
        <v>0</v>
      </c>
      <c r="AC48" s="10" cm="1">
        <f t="array" ref="AC48">SUMPRODUCT(A48:X48*AB48)</f>
        <v>0</v>
      </c>
    </row>
    <row r="49" spans="1:29" x14ac:dyDescent="0.25">
      <c r="A49">
        <v>0.38587236089973598</v>
      </c>
      <c r="B49">
        <v>0.38587236089973598</v>
      </c>
      <c r="C49">
        <v>0.38587236089973598</v>
      </c>
      <c r="D49">
        <v>0.38587236089973598</v>
      </c>
      <c r="E49">
        <v>0.70497298774070505</v>
      </c>
      <c r="F49">
        <v>0.88420870439881705</v>
      </c>
      <c r="G49">
        <v>0.91194613460177598</v>
      </c>
      <c r="H49">
        <v>0.91194613460177598</v>
      </c>
      <c r="I49">
        <v>0.371667143178811</v>
      </c>
      <c r="J49">
        <v>0.371667143178811</v>
      </c>
      <c r="K49">
        <v>0.371667143178811</v>
      </c>
      <c r="L49">
        <v>0.371667143178811</v>
      </c>
      <c r="M49">
        <v>0.36476883948015398</v>
      </c>
      <c r="N49">
        <v>0.36476883948015398</v>
      </c>
      <c r="O49">
        <v>0.36476883948015398</v>
      </c>
      <c r="P49">
        <v>0.36476883948015398</v>
      </c>
      <c r="Q49">
        <v>0.371667143178811</v>
      </c>
      <c r="R49">
        <v>0.86524437820286104</v>
      </c>
      <c r="S49">
        <v>0.91194613460177598</v>
      </c>
      <c r="T49">
        <v>0.91194613460177598</v>
      </c>
      <c r="U49">
        <v>0.91194613460177598</v>
      </c>
      <c r="V49">
        <v>0.80659677881358904</v>
      </c>
      <c r="W49">
        <v>0.76775476216889205</v>
      </c>
      <c r="X49">
        <v>0.55474860405917004</v>
      </c>
      <c r="Y49" t="s">
        <v>56</v>
      </c>
      <c r="Z49" t="s">
        <v>262</v>
      </c>
      <c r="AA49" t="s">
        <v>254</v>
      </c>
      <c r="AB49" s="10">
        <f>INDEX(shelf!$B$1:$B$6,MATCH(AA49,shelf!$A$1:$A$6,0))</f>
        <v>0</v>
      </c>
      <c r="AC49" s="10" cm="1">
        <f t="array" ref="AC49">SUMPRODUCT(A49:X49*AB49)</f>
        <v>0</v>
      </c>
    </row>
    <row r="50" spans="1:29" x14ac:dyDescent="0.25">
      <c r="A50">
        <v>0.13688403184461601</v>
      </c>
      <c r="B50">
        <v>0.13390947150866001</v>
      </c>
      <c r="C50">
        <v>0.13377788908093</v>
      </c>
      <c r="D50">
        <v>0.13706744977417901</v>
      </c>
      <c r="E50">
        <v>0.14600195357913201</v>
      </c>
      <c r="F50">
        <v>0.18528486206028799</v>
      </c>
      <c r="G50">
        <v>0.24225378743746201</v>
      </c>
      <c r="H50">
        <v>0.23734892427912599</v>
      </c>
      <c r="I50">
        <v>0.17364081404276199</v>
      </c>
      <c r="J50">
        <v>0.14171598352784601</v>
      </c>
      <c r="K50">
        <v>0.136953240783876</v>
      </c>
      <c r="L50">
        <v>0.13548233721675201</v>
      </c>
      <c r="M50">
        <v>0.13572627736686199</v>
      </c>
      <c r="N50">
        <v>0.13577896730004399</v>
      </c>
      <c r="O50">
        <v>0.13536556493240301</v>
      </c>
      <c r="P50">
        <v>0.139959415079741</v>
      </c>
      <c r="Q50">
        <v>0.21097319815961399</v>
      </c>
      <c r="R50">
        <v>0.33372621714051798</v>
      </c>
      <c r="S50">
        <v>0.33701819872258898</v>
      </c>
      <c r="T50">
        <v>0.33613072936153499</v>
      </c>
      <c r="U50">
        <v>0.32719836163495503</v>
      </c>
      <c r="V50">
        <v>0.25265449543711999</v>
      </c>
      <c r="W50">
        <v>0.169659021551683</v>
      </c>
      <c r="X50">
        <v>0.14533777561059</v>
      </c>
      <c r="Y50" t="s">
        <v>57</v>
      </c>
      <c r="Z50" t="s">
        <v>262</v>
      </c>
      <c r="AA50" t="s">
        <v>222</v>
      </c>
      <c r="AB50" s="10">
        <f>INDEX(shelf!$B$1:$B$6,MATCH(AA50,shelf!$A$1:$A$6,0))</f>
        <v>120</v>
      </c>
      <c r="AC50" s="10" cm="1">
        <f t="array" ref="AC50">SUMPRODUCT(A50:X50*AB50)</f>
        <v>551.98187609199397</v>
      </c>
    </row>
    <row r="51" spans="1:29" x14ac:dyDescent="0.25">
      <c r="A51">
        <v>5.3408011528038098E-2</v>
      </c>
      <c r="B51">
        <v>5.3408011528038098E-2</v>
      </c>
      <c r="C51">
        <v>5.3408011528038098E-2</v>
      </c>
      <c r="D51">
        <v>5.3408011528038098E-2</v>
      </c>
      <c r="E51">
        <v>5.4333467482810802E-2</v>
      </c>
      <c r="F51">
        <v>5.6596642518198403E-2</v>
      </c>
      <c r="G51">
        <v>5.7624630234838499E-2</v>
      </c>
      <c r="H51">
        <v>5.6698818267003799E-2</v>
      </c>
      <c r="I51">
        <v>5.3613787077897199E-2</v>
      </c>
      <c r="J51">
        <v>5.3613787077897199E-2</v>
      </c>
      <c r="K51">
        <v>5.3613787077897199E-2</v>
      </c>
      <c r="L51">
        <v>5.3613787077897199E-2</v>
      </c>
      <c r="M51">
        <v>5.3613787077897199E-2</v>
      </c>
      <c r="N51">
        <v>5.67080746066169E-2</v>
      </c>
      <c r="O51">
        <v>6.1542197969525501E-2</v>
      </c>
      <c r="P51">
        <v>6.9768769800612196E-2</v>
      </c>
      <c r="Q51">
        <v>8.3705791146818795E-2</v>
      </c>
      <c r="R51">
        <v>0.122298497104598</v>
      </c>
      <c r="S51">
        <v>0.13932909395340001</v>
      </c>
      <c r="T51">
        <v>0.138855596580887</v>
      </c>
      <c r="U51">
        <v>0.122842663069926</v>
      </c>
      <c r="V51">
        <v>8.4278260150579001E-2</v>
      </c>
      <c r="W51">
        <v>5.50702365147024E-2</v>
      </c>
      <c r="X51">
        <v>5.3424744141954E-2</v>
      </c>
      <c r="Y51" t="s">
        <v>57</v>
      </c>
      <c r="Z51" t="s">
        <v>262</v>
      </c>
      <c r="AA51" t="s">
        <v>250</v>
      </c>
      <c r="AB51" s="10">
        <f>INDEX(shelf!$B$1:$B$6,MATCH(AA51,shelf!$A$1:$A$6,0))</f>
        <v>92</v>
      </c>
      <c r="AC51" s="10" cm="1">
        <f t="array" ref="AC51">SUMPRODUCT(A51:X51*AB51)</f>
        <v>155.91961878405809</v>
      </c>
    </row>
    <row r="52" spans="1:29" x14ac:dyDescent="0.25">
      <c r="A52">
        <v>0.37202818278052402</v>
      </c>
      <c r="B52">
        <v>0.35917029226876701</v>
      </c>
      <c r="C52">
        <v>0.35917029226876701</v>
      </c>
      <c r="D52">
        <v>0.35917029226876701</v>
      </c>
      <c r="E52">
        <v>0.35917029226876701</v>
      </c>
      <c r="F52">
        <v>0.35917029226876701</v>
      </c>
      <c r="G52">
        <v>0.35917029226876701</v>
      </c>
      <c r="H52">
        <v>0.35917029226876701</v>
      </c>
      <c r="I52">
        <v>0.36342143196627302</v>
      </c>
      <c r="J52">
        <v>0.39551749903508399</v>
      </c>
      <c r="K52">
        <v>0.47847514714649497</v>
      </c>
      <c r="L52">
        <v>0.59692145401854002</v>
      </c>
      <c r="M52">
        <v>0.69081867150031295</v>
      </c>
      <c r="N52">
        <v>0.74853828356484098</v>
      </c>
      <c r="O52">
        <v>0.78648569129504797</v>
      </c>
      <c r="P52">
        <v>0.80576565641979703</v>
      </c>
      <c r="Q52">
        <v>0.82579612163195104</v>
      </c>
      <c r="R52">
        <v>0.842622231943705</v>
      </c>
      <c r="S52">
        <v>0.87724255438550303</v>
      </c>
      <c r="T52">
        <v>0.87285080180480401</v>
      </c>
      <c r="U52">
        <v>0.83513567827521396</v>
      </c>
      <c r="V52">
        <v>0.75410896317022502</v>
      </c>
      <c r="W52">
        <v>0.55014197603474801</v>
      </c>
      <c r="X52">
        <v>0.41511144312792703</v>
      </c>
      <c r="Y52" t="s">
        <v>57</v>
      </c>
      <c r="Z52" t="s">
        <v>262</v>
      </c>
      <c r="AA52" t="s">
        <v>251</v>
      </c>
      <c r="AB52" s="10">
        <f>INDEX(shelf!$B$1:$B$6,MATCH(AA52,shelf!$A$1:$A$6,0))</f>
        <v>92</v>
      </c>
      <c r="AC52" s="10" cm="1">
        <f t="array" ref="AC52">SUMPRODUCT(A52:X52*AB52)</f>
        <v>1262.7159927263776</v>
      </c>
    </row>
    <row r="53" spans="1:29" x14ac:dyDescent="0.25">
      <c r="A53">
        <v>0.108213088346877</v>
      </c>
      <c r="B53">
        <v>0.108213088346877</v>
      </c>
      <c r="C53">
        <v>0.108213088346877</v>
      </c>
      <c r="D53">
        <v>0.108213088346877</v>
      </c>
      <c r="E53">
        <v>0.108213088346877</v>
      </c>
      <c r="F53">
        <v>0.10853176089136</v>
      </c>
      <c r="G53">
        <v>0.10960912645245</v>
      </c>
      <c r="H53">
        <v>0.10960912645245</v>
      </c>
      <c r="I53">
        <v>0.108213088346877</v>
      </c>
      <c r="J53">
        <v>0.108213088346877</v>
      </c>
      <c r="K53">
        <v>0.11109590703488501</v>
      </c>
      <c r="L53">
        <v>0.127215851652387</v>
      </c>
      <c r="M53">
        <v>0.14584920179765401</v>
      </c>
      <c r="N53">
        <v>0.16550676066845099</v>
      </c>
      <c r="O53">
        <v>0.17737523231675201</v>
      </c>
      <c r="P53">
        <v>0.19689426125245801</v>
      </c>
      <c r="Q53">
        <v>0.22593614935023601</v>
      </c>
      <c r="R53">
        <v>0.264652581519634</v>
      </c>
      <c r="S53">
        <v>0.269690668267553</v>
      </c>
      <c r="T53">
        <v>0.26353360328424402</v>
      </c>
      <c r="U53">
        <v>0.239717193203171</v>
      </c>
      <c r="V53">
        <v>0.15584053913169199</v>
      </c>
      <c r="W53">
        <v>0.113166607401862</v>
      </c>
      <c r="X53">
        <v>0.10238919322683999</v>
      </c>
      <c r="Y53" t="s">
        <v>57</v>
      </c>
      <c r="Z53" t="s">
        <v>262</v>
      </c>
      <c r="AA53" t="s">
        <v>252</v>
      </c>
      <c r="AB53" s="10">
        <f>INDEX(shelf!$B$1:$B$6,MATCH(AA53,shelf!$A$1:$A$6,0))</f>
        <v>61</v>
      </c>
      <c r="AC53" s="10" cm="1">
        <f t="array" ref="AC53">SUMPRODUCT(A53:X53*AB53)</f>
        <v>222.29042832226531</v>
      </c>
    </row>
    <row r="54" spans="1:29" x14ac:dyDescent="0.25">
      <c r="A54">
        <v>0.44632787967041698</v>
      </c>
      <c r="B54">
        <v>0.44632787967041698</v>
      </c>
      <c r="C54">
        <v>0.44632787967041698</v>
      </c>
      <c r="D54">
        <v>0.44632787967041698</v>
      </c>
      <c r="E54">
        <v>0.44632787967041698</v>
      </c>
      <c r="F54">
        <v>0.44632787967041698</v>
      </c>
      <c r="G54">
        <v>0.44632787967041698</v>
      </c>
      <c r="H54">
        <v>0.44632787967041698</v>
      </c>
      <c r="I54">
        <v>0.44632787967041698</v>
      </c>
      <c r="J54">
        <v>0.44632787967041698</v>
      </c>
      <c r="K54">
        <v>0.71957146491665203</v>
      </c>
      <c r="L54">
        <v>0.95084182217450997</v>
      </c>
      <c r="M54">
        <v>0.95084182217450997</v>
      </c>
      <c r="N54">
        <v>0.95084182217450997</v>
      </c>
      <c r="O54">
        <v>0.95231571625135503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0.95084182217450997</v>
      </c>
      <c r="W54">
        <v>0.83171842756371395</v>
      </c>
      <c r="X54">
        <v>0.53148620411035796</v>
      </c>
      <c r="Y54" t="s">
        <v>57</v>
      </c>
      <c r="Z54" t="s">
        <v>262</v>
      </c>
      <c r="AA54" t="s">
        <v>253</v>
      </c>
      <c r="AB54" s="10">
        <f>INDEX(shelf!$B$1:$B$6,MATCH(AA54,shelf!$A$1:$A$6,0))</f>
        <v>0</v>
      </c>
      <c r="AC54" s="10" cm="1">
        <f t="array" ref="AC54">SUMPRODUCT(A54:X54*AB54)</f>
        <v>0</v>
      </c>
    </row>
    <row r="55" spans="1:29" x14ac:dyDescent="0.25">
      <c r="A55">
        <v>0.17141388113709</v>
      </c>
      <c r="B55">
        <v>0.17141388113709</v>
      </c>
      <c r="C55">
        <v>0.17141388113709</v>
      </c>
      <c r="D55">
        <v>0.17141388113709</v>
      </c>
      <c r="E55">
        <v>0.17141388113709</v>
      </c>
      <c r="F55">
        <v>0.17141388113709</v>
      </c>
      <c r="G55">
        <v>0.17141388113709</v>
      </c>
      <c r="H55">
        <v>0.17141388113709</v>
      </c>
      <c r="I55">
        <v>0.17141388113709</v>
      </c>
      <c r="J55">
        <v>0.17141388113709</v>
      </c>
      <c r="K55">
        <v>0.17141388113709</v>
      </c>
      <c r="L55">
        <v>0.17141388113709</v>
      </c>
      <c r="M55">
        <v>0.17141388113709</v>
      </c>
      <c r="N55">
        <v>0.17141388113709</v>
      </c>
      <c r="O55">
        <v>0.17141388113709</v>
      </c>
      <c r="P55">
        <v>0.17141388113709</v>
      </c>
      <c r="Q55">
        <v>0.17141388113709</v>
      </c>
      <c r="R55">
        <v>0.47126944277080701</v>
      </c>
      <c r="S55">
        <v>0.77058457657634805</v>
      </c>
      <c r="T55">
        <v>0.77058457657634805</v>
      </c>
      <c r="U55">
        <v>0.77058457657634805</v>
      </c>
      <c r="V55">
        <v>0.75627142743009701</v>
      </c>
      <c r="W55">
        <v>0.42851013794144399</v>
      </c>
      <c r="X55">
        <v>0.25655582897617701</v>
      </c>
      <c r="Y55" t="s">
        <v>57</v>
      </c>
      <c r="Z55" t="s">
        <v>262</v>
      </c>
      <c r="AA55" t="s">
        <v>254</v>
      </c>
      <c r="AB55" s="10">
        <f>INDEX(shelf!$B$1:$B$6,MATCH(AA55,shelf!$A$1:$A$6,0))</f>
        <v>0</v>
      </c>
      <c r="AC55" s="10" cm="1">
        <f t="array" ref="AC55">SUMPRODUCT(A55:X55*AB55)</f>
        <v>0</v>
      </c>
    </row>
    <row r="56" spans="1:29" x14ac:dyDescent="0.25">
      <c r="A56">
        <v>0.45081288486900201</v>
      </c>
      <c r="B56">
        <v>0.446227730943766</v>
      </c>
      <c r="C56">
        <v>0.44261765527577202</v>
      </c>
      <c r="D56">
        <v>0.44824320506394799</v>
      </c>
      <c r="E56">
        <v>0.46160250136161501</v>
      </c>
      <c r="F56">
        <v>0.48905151518241202</v>
      </c>
      <c r="G56">
        <v>0.52050251030539396</v>
      </c>
      <c r="H56">
        <v>0.527924862229457</v>
      </c>
      <c r="I56">
        <v>0.52303271555743902</v>
      </c>
      <c r="J56">
        <v>0.53512087445029599</v>
      </c>
      <c r="K56">
        <v>0.54691595608628096</v>
      </c>
      <c r="L56">
        <v>0.54575813052787803</v>
      </c>
      <c r="M56">
        <v>0.54118802805091204</v>
      </c>
      <c r="N56">
        <v>0.53673237337871305</v>
      </c>
      <c r="O56">
        <v>0.53483219903206802</v>
      </c>
      <c r="P56">
        <v>0.53811952053103496</v>
      </c>
      <c r="Q56">
        <v>0.54889607350250802</v>
      </c>
      <c r="R56">
        <v>0.52599728288737801</v>
      </c>
      <c r="S56">
        <v>0.52581155369552202</v>
      </c>
      <c r="T56">
        <v>0.53338867994613204</v>
      </c>
      <c r="U56">
        <v>0.52479401899457601</v>
      </c>
      <c r="V56">
        <v>0.50788655675953398</v>
      </c>
      <c r="W56">
        <v>0.48645741227261902</v>
      </c>
      <c r="X56">
        <v>0.46080349665016901</v>
      </c>
      <c r="Y56" t="s">
        <v>59</v>
      </c>
      <c r="Z56" t="s">
        <v>262</v>
      </c>
      <c r="AA56" t="s">
        <v>222</v>
      </c>
      <c r="AB56" s="10">
        <f>INDEX(shelf!$B$1:$B$6,MATCH(AA56,shelf!$A$1:$A$6,0))</f>
        <v>120</v>
      </c>
      <c r="AC56" s="10" cm="1">
        <f t="array" ref="AC56">SUMPRODUCT(A56:X56*AB56)</f>
        <v>1464.3261285065312</v>
      </c>
    </row>
    <row r="57" spans="1:29" x14ac:dyDescent="0.25">
      <c r="A57">
        <v>0.291121633558937</v>
      </c>
      <c r="B57">
        <v>0.28191486854484998</v>
      </c>
      <c r="C57">
        <v>0.28524482398101503</v>
      </c>
      <c r="D57">
        <v>0.29840365912684502</v>
      </c>
      <c r="E57">
        <v>0.33394779621039999</v>
      </c>
      <c r="F57">
        <v>0.36022641793343801</v>
      </c>
      <c r="G57">
        <v>0.38751905998624497</v>
      </c>
      <c r="H57">
        <v>0.41679359439021701</v>
      </c>
      <c r="I57">
        <v>0.42881629368258101</v>
      </c>
      <c r="J57">
        <v>0.44593802606327398</v>
      </c>
      <c r="K57">
        <v>0.45663786634675002</v>
      </c>
      <c r="L57">
        <v>0.456590298090427</v>
      </c>
      <c r="M57">
        <v>0.45182601773130199</v>
      </c>
      <c r="N57">
        <v>0.45191423199769398</v>
      </c>
      <c r="O57">
        <v>0.45528891579428299</v>
      </c>
      <c r="P57">
        <v>0.46314673025590197</v>
      </c>
      <c r="Q57">
        <v>0.47807233563847801</v>
      </c>
      <c r="R57">
        <v>0.47619640690307902</v>
      </c>
      <c r="S57">
        <v>0.49404728255607899</v>
      </c>
      <c r="T57">
        <v>0.49401054140287398</v>
      </c>
      <c r="U57">
        <v>0.481593274073913</v>
      </c>
      <c r="V57">
        <v>0.44180402510044098</v>
      </c>
      <c r="W57">
        <v>0.37106434815504802</v>
      </c>
      <c r="X57">
        <v>0.31710810099126902</v>
      </c>
      <c r="Y57" t="s">
        <v>59</v>
      </c>
      <c r="Z57" t="s">
        <v>262</v>
      </c>
      <c r="AA57" t="s">
        <v>250</v>
      </c>
      <c r="AB57" s="10">
        <f>INDEX(shelf!$B$1:$B$6,MATCH(AA57,shelf!$A$1:$A$6,0))</f>
        <v>92</v>
      </c>
      <c r="AC57" s="10" cm="1">
        <f t="array" ref="AC57">SUMPRODUCT(A57:X57*AB57)</f>
        <v>903.36884246341128</v>
      </c>
    </row>
    <row r="58" spans="1:29" x14ac:dyDescent="0.25">
      <c r="A58">
        <v>0.48117790869622101</v>
      </c>
      <c r="B58">
        <v>0.46791937321078297</v>
      </c>
      <c r="C58">
        <v>0.46199480360195699</v>
      </c>
      <c r="D58">
        <v>0.467029139291738</v>
      </c>
      <c r="E58">
        <v>0.47964313265657699</v>
      </c>
      <c r="F58">
        <v>0.50216700804919401</v>
      </c>
      <c r="G58">
        <v>0.54114397538985703</v>
      </c>
      <c r="H58">
        <v>0.56739132969582395</v>
      </c>
      <c r="I58">
        <v>0.57552806396201195</v>
      </c>
      <c r="J58">
        <v>0.58324342459373701</v>
      </c>
      <c r="K58">
        <v>0.58659996121070601</v>
      </c>
      <c r="L58">
        <v>0.58867548444005502</v>
      </c>
      <c r="M58">
        <v>0.59042986277471998</v>
      </c>
      <c r="N58">
        <v>0.59067987154135904</v>
      </c>
      <c r="O58">
        <v>0.59176643366603798</v>
      </c>
      <c r="P58">
        <v>0.59102954596496804</v>
      </c>
      <c r="Q58">
        <v>0.589528930282327</v>
      </c>
      <c r="R58">
        <v>0.58081785155223897</v>
      </c>
      <c r="S58">
        <v>0.59816136511359996</v>
      </c>
      <c r="T58">
        <v>0.59656070838544994</v>
      </c>
      <c r="U58">
        <v>0.59224580482969802</v>
      </c>
      <c r="V58">
        <v>0.578501328881176</v>
      </c>
      <c r="W58">
        <v>0.54720011868142604</v>
      </c>
      <c r="X58">
        <v>0.51097118313682899</v>
      </c>
      <c r="Y58" t="s">
        <v>59</v>
      </c>
      <c r="Z58" t="s">
        <v>262</v>
      </c>
      <c r="AA58" t="s">
        <v>251</v>
      </c>
      <c r="AB58" s="10">
        <f>INDEX(shelf!$B$1:$B$6,MATCH(AA58,shelf!$A$1:$A$6,0))</f>
        <v>92</v>
      </c>
      <c r="AC58" s="10" cm="1">
        <f t="array" ref="AC58">SUMPRODUCT(A58:X58*AB58)</f>
        <v>1219.9574080839811</v>
      </c>
    </row>
    <row r="59" spans="1:29" x14ac:dyDescent="0.25">
      <c r="A59">
        <v>0.36395532054895402</v>
      </c>
      <c r="B59">
        <v>0.35872750283713101</v>
      </c>
      <c r="C59">
        <v>0.36441254378884402</v>
      </c>
      <c r="D59">
        <v>0.38243939987629899</v>
      </c>
      <c r="E59">
        <v>0.42729198246802202</v>
      </c>
      <c r="F59">
        <v>0.46589923825259399</v>
      </c>
      <c r="G59">
        <v>0.46552339432472301</v>
      </c>
      <c r="H59">
        <v>0.48082297267916302</v>
      </c>
      <c r="I59">
        <v>0.52734757889872297</v>
      </c>
      <c r="J59">
        <v>0.53628511538009205</v>
      </c>
      <c r="K59">
        <v>0.540948096419688</v>
      </c>
      <c r="L59">
        <v>0.53497019702275295</v>
      </c>
      <c r="M59">
        <v>0.53173777862599603</v>
      </c>
      <c r="N59">
        <v>0.52692542371763096</v>
      </c>
      <c r="O59">
        <v>0.529837946463529</v>
      </c>
      <c r="P59">
        <v>0.53231573235838503</v>
      </c>
      <c r="Q59">
        <v>0.54458500212058503</v>
      </c>
      <c r="R59">
        <v>0.55635823285262498</v>
      </c>
      <c r="S59">
        <v>0.56195680828531902</v>
      </c>
      <c r="T59">
        <v>0.547390446824355</v>
      </c>
      <c r="U59">
        <v>0.51331312761203296</v>
      </c>
      <c r="V59">
        <v>0.47637869854061499</v>
      </c>
      <c r="W59">
        <v>0.43074846166793301</v>
      </c>
      <c r="X59">
        <v>0.39480825221767901</v>
      </c>
      <c r="Y59" t="s">
        <v>59</v>
      </c>
      <c r="Z59" t="s">
        <v>262</v>
      </c>
      <c r="AA59" t="s">
        <v>252</v>
      </c>
      <c r="AB59" s="10">
        <f>INDEX(shelf!$B$1:$B$6,MATCH(AA59,shelf!$A$1:$A$6,0))</f>
        <v>61</v>
      </c>
      <c r="AC59" s="10" cm="1">
        <f t="array" ref="AC59">SUMPRODUCT(A59:X59*AB59)</f>
        <v>707.29373448080401</v>
      </c>
    </row>
    <row r="60" spans="1:29" x14ac:dyDescent="0.25">
      <c r="A60">
        <v>0.23561693315571999</v>
      </c>
      <c r="B60">
        <v>0.23561693315571999</v>
      </c>
      <c r="C60">
        <v>0.23561693315571999</v>
      </c>
      <c r="D60">
        <v>0.23561693315571999</v>
      </c>
      <c r="E60">
        <v>0.23561693315571999</v>
      </c>
      <c r="F60">
        <v>0.23561693315571999</v>
      </c>
      <c r="G60">
        <v>0.23561693315571999</v>
      </c>
      <c r="H60">
        <v>0.30398813692056897</v>
      </c>
      <c r="I60">
        <v>0.31164662618871197</v>
      </c>
      <c r="J60">
        <v>0.29446809589001999</v>
      </c>
      <c r="K60">
        <v>0.427977281937645</v>
      </c>
      <c r="L60">
        <v>0.49473187496145699</v>
      </c>
      <c r="M60">
        <v>0.368979154590523</v>
      </c>
      <c r="N60">
        <v>0.368979154590523</v>
      </c>
      <c r="O60">
        <v>0.368979154590523</v>
      </c>
      <c r="P60">
        <v>0.368979154590523</v>
      </c>
      <c r="Q60">
        <v>0.36414565176883801</v>
      </c>
      <c r="R60">
        <v>0.368979154590523</v>
      </c>
      <c r="S60">
        <v>0.51762569575876205</v>
      </c>
      <c r="T60">
        <v>0.58163694934323995</v>
      </c>
      <c r="U60">
        <v>0.52525152622405602</v>
      </c>
      <c r="V60">
        <v>0.37583750318886</v>
      </c>
      <c r="W60">
        <v>0.23561693315571999</v>
      </c>
      <c r="X60">
        <v>0.23068545392548701</v>
      </c>
      <c r="Y60" t="s">
        <v>59</v>
      </c>
      <c r="Z60" t="s">
        <v>262</v>
      </c>
      <c r="AA60" t="s">
        <v>253</v>
      </c>
      <c r="AB60" s="10">
        <f>INDEX(shelf!$B$1:$B$6,MATCH(AA60,shelf!$A$1:$A$6,0))</f>
        <v>0</v>
      </c>
      <c r="AC60" s="10" cm="1">
        <f t="array" ref="AC60">SUMPRODUCT(A60:X60*AB60)</f>
        <v>0</v>
      </c>
    </row>
    <row r="61" spans="1:29" x14ac:dyDescent="0.25">
      <c r="A61">
        <v>0.23068545392548701</v>
      </c>
      <c r="B61">
        <v>0.23068545392548701</v>
      </c>
      <c r="C61">
        <v>0.23068545392548701</v>
      </c>
      <c r="D61">
        <v>0.23163255920811501</v>
      </c>
      <c r="E61">
        <v>0.23561693315571999</v>
      </c>
      <c r="F61">
        <v>0.24757005499853599</v>
      </c>
      <c r="G61">
        <v>0.37725816111280103</v>
      </c>
      <c r="H61">
        <v>0.45371241858283201</v>
      </c>
      <c r="I61">
        <v>0.41976359302106497</v>
      </c>
      <c r="J61">
        <v>0.40379343842779503</v>
      </c>
      <c r="K61">
        <v>0.53689438943980405</v>
      </c>
      <c r="L61">
        <v>0.55069273364360105</v>
      </c>
      <c r="M61">
        <v>0.53021566425713795</v>
      </c>
      <c r="N61">
        <v>0.477096121422876</v>
      </c>
      <c r="O61">
        <v>0.47520191085762098</v>
      </c>
      <c r="P61">
        <v>0.57668914071158195</v>
      </c>
      <c r="Q61">
        <v>0.57825676324834496</v>
      </c>
      <c r="R61">
        <v>0.36559896849562801</v>
      </c>
      <c r="S61">
        <v>0.43099822120119802</v>
      </c>
      <c r="T61">
        <v>0.541515610042969</v>
      </c>
      <c r="U61">
        <v>0.58057553825064001</v>
      </c>
      <c r="V61">
        <v>0.57825676324834496</v>
      </c>
      <c r="W61">
        <v>0.57825676324834496</v>
      </c>
      <c r="X61">
        <v>0.57825676324834496</v>
      </c>
      <c r="Y61" t="s">
        <v>59</v>
      </c>
      <c r="Z61" t="s">
        <v>262</v>
      </c>
      <c r="AA61" t="s">
        <v>254</v>
      </c>
      <c r="AB61" s="10">
        <f>INDEX(shelf!$B$1:$B$6,MATCH(AA61,shelf!$A$1:$A$6,0))</f>
        <v>0</v>
      </c>
      <c r="AC61" s="10" cm="1">
        <f t="array" ref="AC61">SUMPRODUCT(A61:X61*AB61)</f>
        <v>0</v>
      </c>
    </row>
    <row r="62" spans="1:29" x14ac:dyDescent="0.25">
      <c r="A62">
        <v>0.36208428692751399</v>
      </c>
      <c r="B62">
        <v>0.34588564317426901</v>
      </c>
      <c r="C62">
        <v>0.34200769159545202</v>
      </c>
      <c r="D62">
        <v>0.34294065257617901</v>
      </c>
      <c r="E62">
        <v>0.35641700093275902</v>
      </c>
      <c r="F62">
        <v>0.39575663500130498</v>
      </c>
      <c r="G62">
        <v>0.44543490524678703</v>
      </c>
      <c r="H62">
        <v>0.45473703770907098</v>
      </c>
      <c r="I62">
        <v>0.422806347491128</v>
      </c>
      <c r="J62">
        <v>0.39929339847740503</v>
      </c>
      <c r="K62">
        <v>0.39013317351677701</v>
      </c>
      <c r="L62">
        <v>0.38633626613569699</v>
      </c>
      <c r="M62">
        <v>0.37949854326329402</v>
      </c>
      <c r="N62">
        <v>0.36669829607253701</v>
      </c>
      <c r="O62">
        <v>0.35984383212729998</v>
      </c>
      <c r="P62">
        <v>0.37287621914114699</v>
      </c>
      <c r="Q62">
        <v>0.42882249362608199</v>
      </c>
      <c r="R62">
        <v>0.49098661325645998</v>
      </c>
      <c r="S62">
        <v>0.51392198380659604</v>
      </c>
      <c r="T62">
        <v>0.515859835127227</v>
      </c>
      <c r="U62">
        <v>0.509916397006</v>
      </c>
      <c r="V62">
        <v>0.48754723656301502</v>
      </c>
      <c r="W62">
        <v>0.44219992537283098</v>
      </c>
      <c r="X62">
        <v>0.395139157362489</v>
      </c>
      <c r="Y62" t="s">
        <v>60</v>
      </c>
      <c r="Z62" t="s">
        <v>262</v>
      </c>
      <c r="AA62" t="s">
        <v>222</v>
      </c>
      <c r="AB62" s="10">
        <f>INDEX(shelf!$B$1:$B$6,MATCH(AA62,shelf!$A$1:$A$6,0))</f>
        <v>120</v>
      </c>
      <c r="AC62" s="10" cm="1">
        <f t="array" ref="AC62">SUMPRODUCT(A62:X62*AB62)</f>
        <v>1188.8572285811183</v>
      </c>
    </row>
    <row r="63" spans="1:29" x14ac:dyDescent="0.25">
      <c r="A63">
        <v>0.191864214188812</v>
      </c>
      <c r="B63">
        <v>0.18024202209441401</v>
      </c>
      <c r="C63">
        <v>0.17701522610879999</v>
      </c>
      <c r="D63">
        <v>0.17766450377043999</v>
      </c>
      <c r="E63">
        <v>0.18235914373924</v>
      </c>
      <c r="F63">
        <v>0.199305214560208</v>
      </c>
      <c r="G63">
        <v>0.21357309732955099</v>
      </c>
      <c r="H63">
        <v>0.21064472642579199</v>
      </c>
      <c r="I63">
        <v>0.205401833497869</v>
      </c>
      <c r="J63">
        <v>0.204661052475751</v>
      </c>
      <c r="K63">
        <v>0.213490880569667</v>
      </c>
      <c r="L63">
        <v>0.22451754506801</v>
      </c>
      <c r="M63">
        <v>0.23416808650888599</v>
      </c>
      <c r="N63">
        <v>0.23940079394824099</v>
      </c>
      <c r="O63">
        <v>0.24596735953409701</v>
      </c>
      <c r="P63">
        <v>0.253688389273593</v>
      </c>
      <c r="Q63">
        <v>0.276847585219332</v>
      </c>
      <c r="R63">
        <v>0.31680912151666801</v>
      </c>
      <c r="S63">
        <v>0.33577841167891997</v>
      </c>
      <c r="T63">
        <v>0.35077339748713898</v>
      </c>
      <c r="U63">
        <v>0.349968337386802</v>
      </c>
      <c r="V63">
        <v>0.335057222979387</v>
      </c>
      <c r="W63">
        <v>0.27795598279567302</v>
      </c>
      <c r="X63">
        <v>0.22105077462043199</v>
      </c>
      <c r="Y63" t="s">
        <v>60</v>
      </c>
      <c r="Z63" t="s">
        <v>262</v>
      </c>
      <c r="AA63" t="s">
        <v>250</v>
      </c>
      <c r="AB63" s="10">
        <f>INDEX(shelf!$B$1:$B$6,MATCH(AA63,shelf!$A$1:$A$6,0))</f>
        <v>92</v>
      </c>
      <c r="AC63" s="10" cm="1">
        <f t="array" ref="AC63">SUMPRODUCT(A63:X63*AB63)</f>
        <v>535.27485289555057</v>
      </c>
    </row>
    <row r="64" spans="1:29" x14ac:dyDescent="0.25">
      <c r="A64">
        <v>0.45993324596645002</v>
      </c>
      <c r="B64">
        <v>0.426952008401489</v>
      </c>
      <c r="C64">
        <v>0.40785329120382602</v>
      </c>
      <c r="D64">
        <v>0.40064788760005998</v>
      </c>
      <c r="E64">
        <v>0.40405375024353202</v>
      </c>
      <c r="F64">
        <v>0.41419009354768599</v>
      </c>
      <c r="G64">
        <v>0.41492585418274502</v>
      </c>
      <c r="H64">
        <v>0.42950920102506301</v>
      </c>
      <c r="I64">
        <v>0.45211937042443801</v>
      </c>
      <c r="J64">
        <v>0.474975404867994</v>
      </c>
      <c r="K64">
        <v>0.52203179109067099</v>
      </c>
      <c r="L64">
        <v>0.57081615285570697</v>
      </c>
      <c r="M64">
        <v>0.61010228582806403</v>
      </c>
      <c r="N64">
        <v>0.63482512428705296</v>
      </c>
      <c r="O64">
        <v>0.64930454654409797</v>
      </c>
      <c r="P64">
        <v>0.65992374411709698</v>
      </c>
      <c r="Q64">
        <v>0.66810149193262802</v>
      </c>
      <c r="R64">
        <v>0.67612660108114098</v>
      </c>
      <c r="S64">
        <v>0.68900899337871702</v>
      </c>
      <c r="T64">
        <v>0.69893277715244395</v>
      </c>
      <c r="U64">
        <v>0.69487876777857305</v>
      </c>
      <c r="V64">
        <v>0.67193494990583702</v>
      </c>
      <c r="W64">
        <v>0.60186798947618403</v>
      </c>
      <c r="X64">
        <v>0.51676236961543698</v>
      </c>
      <c r="Y64" t="s">
        <v>60</v>
      </c>
      <c r="Z64" t="s">
        <v>262</v>
      </c>
      <c r="AA64" t="s">
        <v>251</v>
      </c>
      <c r="AB64" s="10">
        <f>INDEX(shelf!$B$1:$B$6,MATCH(AA64,shelf!$A$1:$A$6,0))</f>
        <v>92</v>
      </c>
      <c r="AC64" s="10" cm="1">
        <f t="array" ref="AC64">SUMPRODUCT(A64:X64*AB64)</f>
        <v>1209.7795477106381</v>
      </c>
    </row>
    <row r="65" spans="1:29" x14ac:dyDescent="0.25">
      <c r="A65">
        <v>0.29718971787807402</v>
      </c>
      <c r="B65">
        <v>0.28464093653613798</v>
      </c>
      <c r="C65">
        <v>0.28068006500554998</v>
      </c>
      <c r="D65">
        <v>0.28023727787688302</v>
      </c>
      <c r="E65">
        <v>0.28441317031879598</v>
      </c>
      <c r="F65">
        <v>0.308426863889397</v>
      </c>
      <c r="G65">
        <v>0.33730249449385002</v>
      </c>
      <c r="H65">
        <v>0.32794646411923001</v>
      </c>
      <c r="I65">
        <v>0.32421860026990801</v>
      </c>
      <c r="J65">
        <v>0.32747613124111002</v>
      </c>
      <c r="K65">
        <v>0.33749322506247598</v>
      </c>
      <c r="L65">
        <v>0.35770366232655298</v>
      </c>
      <c r="M65">
        <v>0.37943133501355503</v>
      </c>
      <c r="N65">
        <v>0.39505991247998701</v>
      </c>
      <c r="O65">
        <v>0.402662487518817</v>
      </c>
      <c r="P65">
        <v>0.41976062640105</v>
      </c>
      <c r="Q65">
        <v>0.459992816862965</v>
      </c>
      <c r="R65">
        <v>0.48958457650797799</v>
      </c>
      <c r="S65">
        <v>0.50422702477902503</v>
      </c>
      <c r="T65">
        <v>0.50402550042142802</v>
      </c>
      <c r="U65">
        <v>0.49327265013363802</v>
      </c>
      <c r="V65">
        <v>0.44870681384524602</v>
      </c>
      <c r="W65">
        <v>0.38129694213426402</v>
      </c>
      <c r="X65">
        <v>0.32245771017227598</v>
      </c>
      <c r="Y65" t="s">
        <v>60</v>
      </c>
      <c r="Z65" t="s">
        <v>262</v>
      </c>
      <c r="AA65" t="s">
        <v>252</v>
      </c>
      <c r="AB65" s="10">
        <f>INDEX(shelf!$B$1:$B$6,MATCH(AA65,shelf!$A$1:$A$6,0))</f>
        <v>61</v>
      </c>
      <c r="AC65" s="10" cm="1">
        <f t="array" ref="AC65">SUMPRODUCT(A65:X65*AB65)</f>
        <v>545.84062732257985</v>
      </c>
    </row>
    <row r="66" spans="1:29" x14ac:dyDescent="0.25">
      <c r="A66">
        <v>0.59705627815079498</v>
      </c>
      <c r="B66">
        <v>0.52923995552233505</v>
      </c>
      <c r="C66">
        <v>0.48299087533665003</v>
      </c>
      <c r="D66">
        <v>0.458716731955705</v>
      </c>
      <c r="E66">
        <v>0.45600561712232002</v>
      </c>
      <c r="F66">
        <v>0.45930720402258401</v>
      </c>
      <c r="G66">
        <v>0.45212619984081998</v>
      </c>
      <c r="H66">
        <v>0.50901483870525899</v>
      </c>
      <c r="I66">
        <v>0.55926501239675297</v>
      </c>
      <c r="J66">
        <v>0.62426171239006301</v>
      </c>
      <c r="K66">
        <v>0.67257244080925704</v>
      </c>
      <c r="L66">
        <v>0.71066763375561803</v>
      </c>
      <c r="M66">
        <v>0.729146617743343</v>
      </c>
      <c r="N66">
        <v>0.73937953553393398</v>
      </c>
      <c r="O66">
        <v>0.74432875546291999</v>
      </c>
      <c r="P66">
        <v>0.74642990896406103</v>
      </c>
      <c r="Q66">
        <v>0.748149704948324</v>
      </c>
      <c r="R66">
        <v>0.75305204529305203</v>
      </c>
      <c r="S66">
        <v>0.76069394426386105</v>
      </c>
      <c r="T66">
        <v>0.76378799682483001</v>
      </c>
      <c r="U66">
        <v>0.76995029183857999</v>
      </c>
      <c r="V66">
        <v>0.76877145465242902</v>
      </c>
      <c r="W66">
        <v>0.76000760608086104</v>
      </c>
      <c r="X66">
        <v>0.70072073410268498</v>
      </c>
      <c r="Y66" t="s">
        <v>60</v>
      </c>
      <c r="Z66" t="s">
        <v>262</v>
      </c>
      <c r="AA66" t="s">
        <v>253</v>
      </c>
      <c r="AB66" s="10">
        <f>INDEX(shelf!$B$1:$B$6,MATCH(AA66,shelf!$A$1:$A$6,0))</f>
        <v>0</v>
      </c>
      <c r="AC66" s="10" cm="1">
        <f t="array" ref="AC66">SUMPRODUCT(A66:X66*AB66)</f>
        <v>0</v>
      </c>
    </row>
    <row r="67" spans="1:29" x14ac:dyDescent="0.25">
      <c r="A67">
        <v>0.51453662164646297</v>
      </c>
      <c r="B67">
        <v>0.49710742430395599</v>
      </c>
      <c r="C67">
        <v>0.48204274891347298</v>
      </c>
      <c r="D67">
        <v>0.48072590665906001</v>
      </c>
      <c r="E67">
        <v>0.49895574409225002</v>
      </c>
      <c r="F67">
        <v>0.54310683119820502</v>
      </c>
      <c r="G67">
        <v>0.60579484335107903</v>
      </c>
      <c r="H67">
        <v>0.62303494214585198</v>
      </c>
      <c r="I67">
        <v>0.54853485497089505</v>
      </c>
      <c r="J67">
        <v>0.51210362389720998</v>
      </c>
      <c r="K67">
        <v>0.50275878452299405</v>
      </c>
      <c r="L67">
        <v>0.49832049938872103</v>
      </c>
      <c r="M67">
        <v>0.48439778960126501</v>
      </c>
      <c r="N67">
        <v>0.45659029508327897</v>
      </c>
      <c r="O67">
        <v>0.44245320337680399</v>
      </c>
      <c r="P67">
        <v>0.469816658686602</v>
      </c>
      <c r="Q67">
        <v>0.570217979532057</v>
      </c>
      <c r="R67">
        <v>0.58174403641648198</v>
      </c>
      <c r="S67">
        <v>0.62318874932116697</v>
      </c>
      <c r="T67">
        <v>0.62270573158224896</v>
      </c>
      <c r="U67">
        <v>0.62518929607407103</v>
      </c>
      <c r="V67">
        <v>0.61189287646281398</v>
      </c>
      <c r="W67">
        <v>0.589704611212859</v>
      </c>
      <c r="X67">
        <v>0.54610817806446299</v>
      </c>
      <c r="Y67" t="s">
        <v>60</v>
      </c>
      <c r="Z67" t="s">
        <v>262</v>
      </c>
      <c r="AA67" t="s">
        <v>254</v>
      </c>
      <c r="AB67" s="10">
        <f>INDEX(shelf!$B$1:$B$6,MATCH(AA67,shelf!$A$1:$A$6,0))</f>
        <v>0</v>
      </c>
      <c r="AC67" s="10" cm="1">
        <f t="array" ref="AC67">SUMPRODUCT(A67:X67*AB67)</f>
        <v>0</v>
      </c>
    </row>
    <row r="68" spans="1:29" x14ac:dyDescent="0.25">
      <c r="A68">
        <v>0.35096852812651802</v>
      </c>
      <c r="B68">
        <v>0.34287154784732599</v>
      </c>
      <c r="C68">
        <v>0.34424527988516301</v>
      </c>
      <c r="D68">
        <v>0.36436375528609899</v>
      </c>
      <c r="E68">
        <v>0.41710863454378799</v>
      </c>
      <c r="F68">
        <v>0.51339010107550498</v>
      </c>
      <c r="G68">
        <v>0.57044428305734696</v>
      </c>
      <c r="H68">
        <v>0.52978467295748899</v>
      </c>
      <c r="I68">
        <v>0.50903810368853797</v>
      </c>
      <c r="J68">
        <v>0.52096688529563495</v>
      </c>
      <c r="K68">
        <v>0.52855385192488902</v>
      </c>
      <c r="L68">
        <v>0.50923121218436496</v>
      </c>
      <c r="M68">
        <v>0.47214973637811702</v>
      </c>
      <c r="N68">
        <v>0.45205323354423599</v>
      </c>
      <c r="O68">
        <v>0.486543196909275</v>
      </c>
      <c r="P68">
        <v>0.59215961030304598</v>
      </c>
      <c r="Q68">
        <v>0.67065401584550499</v>
      </c>
      <c r="R68">
        <v>0.68510767763762004</v>
      </c>
      <c r="S68">
        <v>0.67963347158203202</v>
      </c>
      <c r="T68">
        <v>0.67051056892399896</v>
      </c>
      <c r="U68">
        <v>0.63273311652224895</v>
      </c>
      <c r="V68">
        <v>0.55335766463250602</v>
      </c>
      <c r="W68">
        <v>0.44148299968066901</v>
      </c>
      <c r="X68">
        <v>0.37693027725406397</v>
      </c>
      <c r="Y68" t="s">
        <v>61</v>
      </c>
      <c r="Z68" t="s">
        <v>262</v>
      </c>
      <c r="AA68" t="s">
        <v>222</v>
      </c>
      <c r="AB68" s="10">
        <f>INDEX(shelf!$B$1:$B$6,MATCH(AA68,shelf!$A$1:$A$6,0))</f>
        <v>120</v>
      </c>
      <c r="AC68" s="10" cm="1">
        <f t="array" ref="AC68">SUMPRODUCT(A68:X68*AB68)</f>
        <v>1465.7138910103174</v>
      </c>
    </row>
    <row r="69" spans="1:29" x14ac:dyDescent="0.25">
      <c r="A69">
        <v>0.20503910848027601</v>
      </c>
      <c r="B69">
        <v>0.200793758430967</v>
      </c>
      <c r="C69">
        <v>0.200440276991452</v>
      </c>
      <c r="D69">
        <v>0.204201516010523</v>
      </c>
      <c r="E69">
        <v>0.216532056181091</v>
      </c>
      <c r="F69">
        <v>0.24249295677454399</v>
      </c>
      <c r="G69">
        <v>0.24252332536315599</v>
      </c>
      <c r="H69">
        <v>0.237204133088562</v>
      </c>
      <c r="I69">
        <v>0.24560841668870101</v>
      </c>
      <c r="J69">
        <v>0.26185226211984902</v>
      </c>
      <c r="K69">
        <v>0.28803958733722401</v>
      </c>
      <c r="L69">
        <v>0.31354696878749599</v>
      </c>
      <c r="M69">
        <v>0.32428382795123101</v>
      </c>
      <c r="N69">
        <v>0.33567562145615099</v>
      </c>
      <c r="O69">
        <v>0.34427261161491401</v>
      </c>
      <c r="P69">
        <v>0.37599282571940101</v>
      </c>
      <c r="Q69">
        <v>0.44362210947092601</v>
      </c>
      <c r="R69">
        <v>0.47149556125164599</v>
      </c>
      <c r="S69">
        <v>0.471102779285691</v>
      </c>
      <c r="T69">
        <v>0.47023682791333599</v>
      </c>
      <c r="U69">
        <v>0.444156685949889</v>
      </c>
      <c r="V69">
        <v>0.313277000966666</v>
      </c>
      <c r="W69">
        <v>0.22811253687261299</v>
      </c>
      <c r="X69">
        <v>0.210849557335372</v>
      </c>
      <c r="Y69" t="s">
        <v>61</v>
      </c>
      <c r="Z69" t="s">
        <v>262</v>
      </c>
      <c r="AA69" t="s">
        <v>250</v>
      </c>
      <c r="AB69" s="10">
        <f>INDEX(shelf!$B$1:$B$6,MATCH(AA69,shelf!$A$1:$A$6,0))</f>
        <v>92</v>
      </c>
      <c r="AC69" s="10" cm="1">
        <f t="array" ref="AC69">SUMPRODUCT(A69:X69*AB69)</f>
        <v>670.80441270783433</v>
      </c>
    </row>
    <row r="70" spans="1:29" x14ac:dyDescent="0.25">
      <c r="A70">
        <v>0.56331882862896998</v>
      </c>
      <c r="B70">
        <v>0.52507068979686999</v>
      </c>
      <c r="C70">
        <v>0.50936934922283095</v>
      </c>
      <c r="D70">
        <v>0.51787929918745601</v>
      </c>
      <c r="E70">
        <v>0.53484394430131998</v>
      </c>
      <c r="F70">
        <v>0.54073306864211101</v>
      </c>
      <c r="G70">
        <v>0.58120769317626797</v>
      </c>
      <c r="H70">
        <v>0.66387149444340099</v>
      </c>
      <c r="I70">
        <v>0.74646540073038603</v>
      </c>
      <c r="J70">
        <v>0.833930231512231</v>
      </c>
      <c r="K70">
        <v>0.90605216962498203</v>
      </c>
      <c r="L70">
        <v>0.95171578804001</v>
      </c>
      <c r="M70">
        <v>0.976614694059042</v>
      </c>
      <c r="N70">
        <v>0.99194979438237696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0.99402680872486304</v>
      </c>
      <c r="V70">
        <v>0.89231001368027596</v>
      </c>
      <c r="W70">
        <v>0.73204176872924298</v>
      </c>
      <c r="X70">
        <v>0.62210121532793095</v>
      </c>
      <c r="Y70" t="s">
        <v>61</v>
      </c>
      <c r="Z70" t="s">
        <v>262</v>
      </c>
      <c r="AA70" t="s">
        <v>251</v>
      </c>
      <c r="AB70" s="10">
        <f>INDEX(shelf!$B$1:$B$6,MATCH(AA70,shelf!$A$1:$A$6,0))</f>
        <v>92</v>
      </c>
      <c r="AC70" s="10" cm="1">
        <f t="array" ref="AC70">SUMPRODUCT(A70:X70*AB70)</f>
        <v>1755.6822072033722</v>
      </c>
    </row>
    <row r="71" spans="1:29" x14ac:dyDescent="0.25">
      <c r="A71">
        <v>0.27449460013319499</v>
      </c>
      <c r="B71">
        <v>0.26783043739269402</v>
      </c>
      <c r="C71">
        <v>0.26971774121307901</v>
      </c>
      <c r="D71">
        <v>0.27278612542212999</v>
      </c>
      <c r="E71">
        <v>0.28669943426073502</v>
      </c>
      <c r="F71">
        <v>0.33982043595608002</v>
      </c>
      <c r="G71">
        <v>0.33004579175857102</v>
      </c>
      <c r="H71">
        <v>0.32949684364521897</v>
      </c>
      <c r="I71">
        <v>0.37536230046077002</v>
      </c>
      <c r="J71">
        <v>0.42644108046325002</v>
      </c>
      <c r="K71">
        <v>0.45042741879288001</v>
      </c>
      <c r="L71">
        <v>0.468811792142446</v>
      </c>
      <c r="M71">
        <v>0.48802868066760002</v>
      </c>
      <c r="N71">
        <v>0.49578602474303501</v>
      </c>
      <c r="O71">
        <v>0.518951635126505</v>
      </c>
      <c r="P71">
        <v>0.59478730148521097</v>
      </c>
      <c r="Q71">
        <v>0.63647031252178998</v>
      </c>
      <c r="R71">
        <v>0.62936328673278696</v>
      </c>
      <c r="S71">
        <v>0.63601936680168103</v>
      </c>
      <c r="T71">
        <v>0.61811456530083397</v>
      </c>
      <c r="U71">
        <v>0.54715409703347195</v>
      </c>
      <c r="V71">
        <v>0.40697194522834101</v>
      </c>
      <c r="W71">
        <v>0.31356892890840798</v>
      </c>
      <c r="X71">
        <v>0.27793478723619802</v>
      </c>
      <c r="Y71" t="s">
        <v>61</v>
      </c>
      <c r="Z71" t="s">
        <v>262</v>
      </c>
      <c r="AA71" t="s">
        <v>252</v>
      </c>
      <c r="AB71" s="10">
        <f>INDEX(shelf!$B$1:$B$6,MATCH(AA71,shelf!$A$1:$A$6,0))</f>
        <v>61</v>
      </c>
      <c r="AC71" s="10" cm="1">
        <f t="array" ref="AC71">SUMPRODUCT(A71:X71*AB71)</f>
        <v>625.56018093904152</v>
      </c>
    </row>
    <row r="72" spans="1:29" x14ac:dyDescent="0.25">
      <c r="A72">
        <v>0.45446235581501199</v>
      </c>
      <c r="B72">
        <v>0.45446235581501199</v>
      </c>
      <c r="C72">
        <v>0.45446235581501199</v>
      </c>
      <c r="D72">
        <v>0.45446235581501199</v>
      </c>
      <c r="E72">
        <v>0.45446235581501199</v>
      </c>
      <c r="F72">
        <v>0.45446235581501199</v>
      </c>
      <c r="G72">
        <v>0.45446235581501199</v>
      </c>
      <c r="H72">
        <v>0.56958788885846701</v>
      </c>
      <c r="I72">
        <v>0.72467044577228701</v>
      </c>
      <c r="J72">
        <v>0.89696841965441898</v>
      </c>
      <c r="K72">
        <v>0.99680962068782197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0.99680962068782197</v>
      </c>
      <c r="W72">
        <v>0.79922265123529601</v>
      </c>
      <c r="X72">
        <v>0.62706848155218398</v>
      </c>
      <c r="Y72" t="s">
        <v>61</v>
      </c>
      <c r="Z72" t="s">
        <v>262</v>
      </c>
      <c r="AA72" t="s">
        <v>253</v>
      </c>
      <c r="AB72" s="10">
        <f>INDEX(shelf!$B$1:$B$6,MATCH(AA72,shelf!$A$1:$A$6,0))</f>
        <v>0</v>
      </c>
      <c r="AC72" s="10" cm="1">
        <f t="array" ref="AC72">SUMPRODUCT(A72:X72*AB72)</f>
        <v>0</v>
      </c>
    </row>
    <row r="73" spans="1:29" x14ac:dyDescent="0.25">
      <c r="A73">
        <v>0.32470988138559198</v>
      </c>
      <c r="B73">
        <v>0.32470988138559198</v>
      </c>
      <c r="C73">
        <v>0.32470988138559198</v>
      </c>
      <c r="D73">
        <v>0.40388436467422101</v>
      </c>
      <c r="E73">
        <v>0.43985595788605097</v>
      </c>
      <c r="F73">
        <v>0.52985684301513303</v>
      </c>
      <c r="G73">
        <v>0.66947017680587695</v>
      </c>
      <c r="H73">
        <v>0.63694988437051103</v>
      </c>
      <c r="I73">
        <v>0.52985684301513303</v>
      </c>
      <c r="J73">
        <v>0.52985684301513303</v>
      </c>
      <c r="K73">
        <v>0.52985684301513303</v>
      </c>
      <c r="L73">
        <v>0.497336550579768</v>
      </c>
      <c r="M73">
        <v>0.43985595788605097</v>
      </c>
      <c r="N73">
        <v>0.32470988138559198</v>
      </c>
      <c r="O73">
        <v>0.32470988138559198</v>
      </c>
      <c r="P73">
        <v>0.43985595788605097</v>
      </c>
      <c r="Q73">
        <v>0.66947017680587695</v>
      </c>
      <c r="R73">
        <v>0.74566585882910597</v>
      </c>
      <c r="S73">
        <v>0.66947017680587695</v>
      </c>
      <c r="T73">
        <v>0.66947017680587695</v>
      </c>
      <c r="U73">
        <v>0.68058418704436896</v>
      </c>
      <c r="V73">
        <v>0.64292803035831303</v>
      </c>
      <c r="W73">
        <v>0.497336550579768</v>
      </c>
      <c r="X73">
        <v>0.33101672268543902</v>
      </c>
      <c r="Y73" t="s">
        <v>61</v>
      </c>
      <c r="Z73" t="s">
        <v>262</v>
      </c>
      <c r="AA73" t="s">
        <v>254</v>
      </c>
      <c r="AB73" s="10">
        <f>INDEX(shelf!$B$1:$B$6,MATCH(AA73,shelf!$A$1:$A$6,0))</f>
        <v>0</v>
      </c>
      <c r="AC73" s="10" cm="1">
        <f t="array" ref="AC73">SUMPRODUCT(A73:X73*AB73)</f>
        <v>0</v>
      </c>
    </row>
    <row r="74" spans="1:29" x14ac:dyDescent="0.25">
      <c r="A74">
        <v>0.32752999191782001</v>
      </c>
      <c r="B74">
        <v>0.31478469381528701</v>
      </c>
      <c r="C74">
        <v>0.313203420742939</v>
      </c>
      <c r="D74">
        <v>0.31521661403560303</v>
      </c>
      <c r="E74">
        <v>0.33155070777815399</v>
      </c>
      <c r="F74">
        <v>0.40905817698529401</v>
      </c>
      <c r="G74">
        <v>0.53788991746465598</v>
      </c>
      <c r="H74">
        <v>0.54824595010338495</v>
      </c>
      <c r="I74">
        <v>0.47037985050046299</v>
      </c>
      <c r="J74">
        <v>0.42483421983646902</v>
      </c>
      <c r="K74">
        <v>0.425100314310772</v>
      </c>
      <c r="L74">
        <v>0.41807265356275197</v>
      </c>
      <c r="M74">
        <v>0.396717992039473</v>
      </c>
      <c r="N74">
        <v>0.371402844628893</v>
      </c>
      <c r="O74">
        <v>0.35984891429538701</v>
      </c>
      <c r="P74">
        <v>0.389173006515936</v>
      </c>
      <c r="Q74">
        <v>0.54572007171929005</v>
      </c>
      <c r="R74">
        <v>0.68188113833229502</v>
      </c>
      <c r="S74">
        <v>0.68989490378860296</v>
      </c>
      <c r="T74">
        <v>0.67338175260838695</v>
      </c>
      <c r="U74">
        <v>0.66288721680770302</v>
      </c>
      <c r="V74">
        <v>0.61400453632535901</v>
      </c>
      <c r="W74">
        <v>0.48472257464956697</v>
      </c>
      <c r="X74">
        <v>0.37192970653280699</v>
      </c>
      <c r="Y74" t="s">
        <v>62</v>
      </c>
      <c r="Z74" t="s">
        <v>262</v>
      </c>
      <c r="AA74" t="s">
        <v>222</v>
      </c>
      <c r="AB74" s="10">
        <f>INDEX(shelf!$B$1:$B$6,MATCH(AA74,shelf!$A$1:$A$6,0))</f>
        <v>120</v>
      </c>
      <c r="AC74" s="10" cm="1">
        <f t="array" ref="AC74">SUMPRODUCT(A74:X74*AB74)</f>
        <v>1329.2917403156755</v>
      </c>
    </row>
    <row r="75" spans="1:29" x14ac:dyDescent="0.25">
      <c r="A75">
        <v>0.190935673323327</v>
      </c>
      <c r="B75">
        <v>0.188007624545111</v>
      </c>
      <c r="C75">
        <v>0.18761701040116699</v>
      </c>
      <c r="D75">
        <v>0.188570293640555</v>
      </c>
      <c r="E75">
        <v>0.192195154232329</v>
      </c>
      <c r="F75">
        <v>0.202810364779271</v>
      </c>
      <c r="G75">
        <v>0.21594281874270399</v>
      </c>
      <c r="H75">
        <v>0.20577407038888301</v>
      </c>
      <c r="I75">
        <v>0.198087230820441</v>
      </c>
      <c r="J75">
        <v>0.19749857090211201</v>
      </c>
      <c r="K75">
        <v>0.20496362927527001</v>
      </c>
      <c r="L75">
        <v>0.21740324522864299</v>
      </c>
      <c r="M75">
        <v>0.24021137371173401</v>
      </c>
      <c r="N75">
        <v>0.25614299633990001</v>
      </c>
      <c r="O75">
        <v>0.275536661016476</v>
      </c>
      <c r="P75">
        <v>0.29480531198297399</v>
      </c>
      <c r="Q75">
        <v>0.32620469623086601</v>
      </c>
      <c r="R75">
        <v>0.39978095681648501</v>
      </c>
      <c r="S75">
        <v>0.438062002123841</v>
      </c>
      <c r="T75">
        <v>0.43392785028362402</v>
      </c>
      <c r="U75">
        <v>0.41158422720954102</v>
      </c>
      <c r="V75">
        <v>0.374029099141372</v>
      </c>
      <c r="W75">
        <v>0.24150543745118699</v>
      </c>
      <c r="X75">
        <v>0.20123845699516901</v>
      </c>
      <c r="Y75" t="s">
        <v>62</v>
      </c>
      <c r="Z75" t="s">
        <v>262</v>
      </c>
      <c r="AA75" t="s">
        <v>250</v>
      </c>
      <c r="AB75" s="10">
        <f>INDEX(shelf!$B$1:$B$6,MATCH(AA75,shelf!$A$1:$A$6,0))</f>
        <v>92</v>
      </c>
      <c r="AC75" s="10" cm="1">
        <f t="array" ref="AC75">SUMPRODUCT(A75:X75*AB75)</f>
        <v>578.02079751363419</v>
      </c>
    </row>
    <row r="76" spans="1:29" x14ac:dyDescent="0.25">
      <c r="A76">
        <v>0.47698388774719602</v>
      </c>
      <c r="B76">
        <v>0.40590918646080998</v>
      </c>
      <c r="C76">
        <v>0.37407867230915998</v>
      </c>
      <c r="D76">
        <v>0.36673053066653499</v>
      </c>
      <c r="E76">
        <v>0.37016042058318499</v>
      </c>
      <c r="F76">
        <v>0.385482829136994</v>
      </c>
      <c r="G76">
        <v>0.38871408072701402</v>
      </c>
      <c r="H76">
        <v>0.42323296985273801</v>
      </c>
      <c r="I76">
        <v>0.498021719485292</v>
      </c>
      <c r="J76">
        <v>0.57330950674346703</v>
      </c>
      <c r="K76">
        <v>0.667668504090841</v>
      </c>
      <c r="L76">
        <v>0.73981067343439899</v>
      </c>
      <c r="M76">
        <v>0.78028928022158694</v>
      </c>
      <c r="N76">
        <v>0.80403706571137801</v>
      </c>
      <c r="O76">
        <v>0.82313053601328001</v>
      </c>
      <c r="P76">
        <v>0.834936398822412</v>
      </c>
      <c r="Q76">
        <v>0.84331169027981101</v>
      </c>
      <c r="R76">
        <v>0.85029446914555196</v>
      </c>
      <c r="S76">
        <v>0.86161151585530404</v>
      </c>
      <c r="T76">
        <v>0.85235024521778002</v>
      </c>
      <c r="U76">
        <v>0.85315797293590001</v>
      </c>
      <c r="V76">
        <v>0.83693209503484101</v>
      </c>
      <c r="W76">
        <v>0.73896274104639503</v>
      </c>
      <c r="X76">
        <v>0.57313187933189003</v>
      </c>
      <c r="Y76" t="s">
        <v>62</v>
      </c>
      <c r="Z76" t="s">
        <v>262</v>
      </c>
      <c r="AA76" t="s">
        <v>251</v>
      </c>
      <c r="AB76" s="10">
        <f>INDEX(shelf!$B$1:$B$6,MATCH(AA76,shelf!$A$1:$A$6,0))</f>
        <v>92</v>
      </c>
      <c r="AC76" s="10" cm="1">
        <f t="array" ref="AC76">SUMPRODUCT(A76:X76*AB76)</f>
        <v>1409.6468961185458</v>
      </c>
    </row>
    <row r="77" spans="1:29" x14ac:dyDescent="0.25">
      <c r="A77">
        <v>0.24803534911568101</v>
      </c>
      <c r="B77">
        <v>0.24303323020628101</v>
      </c>
      <c r="C77">
        <v>0.24283852968074399</v>
      </c>
      <c r="D77">
        <v>0.242650632334968</v>
      </c>
      <c r="E77">
        <v>0.24364114291205399</v>
      </c>
      <c r="F77">
        <v>0.248679869407787</v>
      </c>
      <c r="G77">
        <v>0.26540905042018897</v>
      </c>
      <c r="H77">
        <v>0.26124680025031299</v>
      </c>
      <c r="I77">
        <v>0.26285785800986999</v>
      </c>
      <c r="J77">
        <v>0.27839453879847798</v>
      </c>
      <c r="K77">
        <v>0.308378905672546</v>
      </c>
      <c r="L77">
        <v>0.34130872542212098</v>
      </c>
      <c r="M77">
        <v>0.36831832095552097</v>
      </c>
      <c r="N77">
        <v>0.38631370330579401</v>
      </c>
      <c r="O77">
        <v>0.40051031966198503</v>
      </c>
      <c r="P77">
        <v>0.42585588982197498</v>
      </c>
      <c r="Q77">
        <v>0.51764244738972798</v>
      </c>
      <c r="R77">
        <v>0.56970944982610505</v>
      </c>
      <c r="S77">
        <v>0.561607024711403</v>
      </c>
      <c r="T77">
        <v>0.549244513222644</v>
      </c>
      <c r="U77">
        <v>0.55155095314204206</v>
      </c>
      <c r="V77">
        <v>0.45165030786571098</v>
      </c>
      <c r="W77">
        <v>0.31887183857083501</v>
      </c>
      <c r="X77">
        <v>0.25980436416054198</v>
      </c>
      <c r="Y77" t="s">
        <v>62</v>
      </c>
      <c r="Z77" t="s">
        <v>262</v>
      </c>
      <c r="AA77" t="s">
        <v>252</v>
      </c>
      <c r="AB77" s="10">
        <f>INDEX(shelf!$B$1:$B$6,MATCH(AA77,shelf!$A$1:$A$6,0))</f>
        <v>61</v>
      </c>
      <c r="AC77" s="10" cm="1">
        <f t="array" ref="AC77">SUMPRODUCT(A77:X77*AB77)</f>
        <v>521.40077965678438</v>
      </c>
    </row>
    <row r="78" spans="1:29" x14ac:dyDescent="0.25">
      <c r="A78">
        <v>0.36318888539631</v>
      </c>
      <c r="B78">
        <v>0.36318888539631</v>
      </c>
      <c r="C78">
        <v>0.35910811140309301</v>
      </c>
      <c r="D78">
        <v>0.35910811140309301</v>
      </c>
      <c r="E78">
        <v>0.35910811140309301</v>
      </c>
      <c r="F78">
        <v>0.35910811140309301</v>
      </c>
      <c r="G78">
        <v>0.35910811140309301</v>
      </c>
      <c r="H78">
        <v>0.36318888539631</v>
      </c>
      <c r="I78">
        <v>0.37096508184343302</v>
      </c>
      <c r="J78">
        <v>0.44552566429577001</v>
      </c>
      <c r="K78">
        <v>0.82105567975873495</v>
      </c>
      <c r="L78">
        <v>0.85163678268611098</v>
      </c>
      <c r="M78">
        <v>0.88019231982992996</v>
      </c>
      <c r="N78">
        <v>0.88019231982992996</v>
      </c>
      <c r="O78">
        <v>0.88019231982992996</v>
      </c>
      <c r="P78">
        <v>0.88019231982992996</v>
      </c>
      <c r="Q78">
        <v>0.88433237867534797</v>
      </c>
      <c r="R78">
        <v>0.88433237867534797</v>
      </c>
      <c r="S78">
        <v>0.88433237867534797</v>
      </c>
      <c r="T78">
        <v>0.88433237867534797</v>
      </c>
      <c r="U78">
        <v>0.88019231982992996</v>
      </c>
      <c r="V78">
        <v>0.88019231982992996</v>
      </c>
      <c r="W78">
        <v>0.85163678268611098</v>
      </c>
      <c r="X78">
        <v>0.68042212952760295</v>
      </c>
      <c r="Y78" t="s">
        <v>62</v>
      </c>
      <c r="Z78" t="s">
        <v>262</v>
      </c>
      <c r="AA78" t="s">
        <v>253</v>
      </c>
      <c r="AB78" s="10">
        <f>INDEX(shelf!$B$1:$B$6,MATCH(AA78,shelf!$A$1:$A$6,0))</f>
        <v>0</v>
      </c>
      <c r="AC78" s="10" cm="1">
        <f t="array" ref="AC78">SUMPRODUCT(A78:X78*AB78)</f>
        <v>0</v>
      </c>
    </row>
    <row r="79" spans="1:29" x14ac:dyDescent="0.25">
      <c r="A79">
        <v>0.321896985837826</v>
      </c>
      <c r="B79">
        <v>0.321896985837826</v>
      </c>
      <c r="C79">
        <v>0.321896985837826</v>
      </c>
      <c r="D79">
        <v>0.321896985837826</v>
      </c>
      <c r="E79">
        <v>0.321896985837826</v>
      </c>
      <c r="F79">
        <v>0.32967318228494902</v>
      </c>
      <c r="G79">
        <v>0.403611273789169</v>
      </c>
      <c r="H79">
        <v>0.492469386430816</v>
      </c>
      <c r="I79">
        <v>0.418392963604792</v>
      </c>
      <c r="J79">
        <v>0.37403801334922099</v>
      </c>
      <c r="K79">
        <v>0.35924644272489697</v>
      </c>
      <c r="L79">
        <v>0.34446475290927298</v>
      </c>
      <c r="M79">
        <v>0.34446475290927298</v>
      </c>
      <c r="N79">
        <v>0.34020612435945102</v>
      </c>
      <c r="O79">
        <v>0.34020612435945102</v>
      </c>
      <c r="P79">
        <v>0.34020612435945102</v>
      </c>
      <c r="Q79">
        <v>0.48780564472428201</v>
      </c>
      <c r="R79">
        <v>0.78598868968142899</v>
      </c>
      <c r="S79">
        <v>0.81664883907840802</v>
      </c>
      <c r="T79">
        <v>0.80338879380262795</v>
      </c>
      <c r="U79">
        <v>0.73056723368154097</v>
      </c>
      <c r="V79">
        <v>0.74780924486353495</v>
      </c>
      <c r="W79">
        <v>0.61677984068907898</v>
      </c>
      <c r="X79">
        <v>0.43621794250010298</v>
      </c>
      <c r="Y79" t="s">
        <v>62</v>
      </c>
      <c r="Z79" t="s">
        <v>262</v>
      </c>
      <c r="AA79" t="s">
        <v>254</v>
      </c>
      <c r="AB79" s="10">
        <f>INDEX(shelf!$B$1:$B$6,MATCH(AA79,shelf!$A$1:$A$6,0))</f>
        <v>0</v>
      </c>
      <c r="AC79" s="10" cm="1">
        <f t="array" ref="AC79">SUMPRODUCT(A79:X79*AB79)</f>
        <v>0</v>
      </c>
    </row>
    <row r="80" spans="1:29" x14ac:dyDescent="0.25">
      <c r="A80">
        <v>0.30767705615118002</v>
      </c>
      <c r="B80">
        <v>0.30786882235451901</v>
      </c>
      <c r="C80">
        <v>0.30802768016102899</v>
      </c>
      <c r="D80">
        <v>0.33109856050874897</v>
      </c>
      <c r="E80">
        <v>0.37419479866130201</v>
      </c>
      <c r="F80">
        <v>0.45405061357339399</v>
      </c>
      <c r="G80">
        <v>0.48042818946792398</v>
      </c>
      <c r="H80">
        <v>0.46911787264509702</v>
      </c>
      <c r="I80">
        <v>0.46340916329702603</v>
      </c>
      <c r="J80">
        <v>0.49923144908143202</v>
      </c>
      <c r="K80">
        <v>0.508076627814534</v>
      </c>
      <c r="L80">
        <v>0.50339196794232799</v>
      </c>
      <c r="M80">
        <v>0.47573156290596103</v>
      </c>
      <c r="N80">
        <v>0.45510457977364799</v>
      </c>
      <c r="O80">
        <v>0.460701101405257</v>
      </c>
      <c r="P80">
        <v>0.53786231695155595</v>
      </c>
      <c r="Q80">
        <v>0.59279241460375698</v>
      </c>
      <c r="R80">
        <v>0.59557377247028198</v>
      </c>
      <c r="S80">
        <v>0.55670805831369696</v>
      </c>
      <c r="T80">
        <v>0.53104848380452396</v>
      </c>
      <c r="U80">
        <v>0.50649702476674996</v>
      </c>
      <c r="V80">
        <v>0.475932603293861</v>
      </c>
      <c r="W80">
        <v>0.42433433123695702</v>
      </c>
      <c r="X80">
        <v>0.36814294448447898</v>
      </c>
      <c r="Y80" t="s">
        <v>63</v>
      </c>
      <c r="Z80" t="s">
        <v>262</v>
      </c>
      <c r="AA80" t="s">
        <v>222</v>
      </c>
      <c r="AB80" s="10">
        <f>INDEX(shelf!$B$1:$B$6,MATCH(AA80,shelf!$A$1:$A$6,0))</f>
        <v>120</v>
      </c>
      <c r="AC80" s="10" cm="1">
        <f t="array" ref="AC80">SUMPRODUCT(A80:X80*AB80)</f>
        <v>1318.4402394803094</v>
      </c>
    </row>
    <row r="81" spans="1:29" x14ac:dyDescent="0.25">
      <c r="A81">
        <v>0.109528418830919</v>
      </c>
      <c r="B81">
        <v>0.108513793123237</v>
      </c>
      <c r="C81">
        <v>0.108513793123237</v>
      </c>
      <c r="D81">
        <v>0.10915548735049201</v>
      </c>
      <c r="E81">
        <v>0.113505366069505</v>
      </c>
      <c r="F81">
        <v>0.14122537042376501</v>
      </c>
      <c r="G81">
        <v>0.14330021882928001</v>
      </c>
      <c r="H81">
        <v>0.132415883643586</v>
      </c>
      <c r="I81">
        <v>0.134444393644476</v>
      </c>
      <c r="J81">
        <v>0.14884896475276499</v>
      </c>
      <c r="K81">
        <v>0.18144117432297699</v>
      </c>
      <c r="L81">
        <v>0.201242872094817</v>
      </c>
      <c r="M81">
        <v>0.212830068201871</v>
      </c>
      <c r="N81">
        <v>0.22705299276402899</v>
      </c>
      <c r="O81">
        <v>0.236877475959126</v>
      </c>
      <c r="P81">
        <v>0.2404425674574</v>
      </c>
      <c r="Q81">
        <v>0.26410925888225001</v>
      </c>
      <c r="R81">
        <v>0.28500825007562403</v>
      </c>
      <c r="S81">
        <v>0.28857816076797899</v>
      </c>
      <c r="T81">
        <v>0.261736361858184</v>
      </c>
      <c r="U81">
        <v>0.24615516597964099</v>
      </c>
      <c r="V81">
        <v>0.20073982237420199</v>
      </c>
      <c r="W81">
        <v>0.133318185058455</v>
      </c>
      <c r="X81">
        <v>0.116443220922767</v>
      </c>
      <c r="Y81" t="s">
        <v>63</v>
      </c>
      <c r="Z81" t="s">
        <v>262</v>
      </c>
      <c r="AA81" t="s">
        <v>250</v>
      </c>
      <c r="AB81" s="10">
        <f>INDEX(shelf!$B$1:$B$6,MATCH(AA81,shelf!$A$1:$A$6,0))</f>
        <v>92</v>
      </c>
      <c r="AC81" s="10" cm="1">
        <f t="array" ref="AC81">SUMPRODUCT(A81:X81*AB81)</f>
        <v>399.77930851897366</v>
      </c>
    </row>
    <row r="82" spans="1:29" x14ac:dyDescent="0.25">
      <c r="A82">
        <v>0.54624163038923701</v>
      </c>
      <c r="B82">
        <v>0.50684047907885799</v>
      </c>
      <c r="C82">
        <v>0.50230136922886404</v>
      </c>
      <c r="D82">
        <v>0.51671840377012201</v>
      </c>
      <c r="E82">
        <v>0.56358150827116005</v>
      </c>
      <c r="F82">
        <v>0.60335036707262601</v>
      </c>
      <c r="G82">
        <v>0.66743927389065405</v>
      </c>
      <c r="H82">
        <v>0.78550826761982895</v>
      </c>
      <c r="I82">
        <v>0.87554368128226501</v>
      </c>
      <c r="J82">
        <v>0.96416981090370202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0.91000077408775504</v>
      </c>
      <c r="W82">
        <v>0.76120742820354703</v>
      </c>
      <c r="X82">
        <v>0.64754230009790104</v>
      </c>
      <c r="Y82" t="s">
        <v>63</v>
      </c>
      <c r="Z82" t="s">
        <v>262</v>
      </c>
      <c r="AA82" t="s">
        <v>251</v>
      </c>
      <c r="AB82" s="10">
        <f>INDEX(shelf!$B$1:$B$6,MATCH(AA82,shelf!$A$1:$A$6,0))</f>
        <v>92</v>
      </c>
      <c r="AC82" s="10" cm="1">
        <f t="array" ref="AC82">SUMPRODUCT(A82:X82*AB82)</f>
        <v>1826.24096703848</v>
      </c>
    </row>
    <row r="83" spans="1:29" x14ac:dyDescent="0.25">
      <c r="A83">
        <v>0.252859989768981</v>
      </c>
      <c r="B83">
        <v>0.24937680026141401</v>
      </c>
      <c r="C83">
        <v>0.25110274023089402</v>
      </c>
      <c r="D83">
        <v>0.25838445132985899</v>
      </c>
      <c r="E83">
        <v>0.29317776854420902</v>
      </c>
      <c r="F83">
        <v>0.340669352226594</v>
      </c>
      <c r="G83">
        <v>0.34454111584455599</v>
      </c>
      <c r="H83">
        <v>0.33555079685873301</v>
      </c>
      <c r="I83">
        <v>0.37162277449102898</v>
      </c>
      <c r="J83">
        <v>0.41874311614564202</v>
      </c>
      <c r="K83">
        <v>0.45804612943832801</v>
      </c>
      <c r="L83">
        <v>0.48906272993941702</v>
      </c>
      <c r="M83">
        <v>0.51061713152781496</v>
      </c>
      <c r="N83">
        <v>0.51074125160336503</v>
      </c>
      <c r="O83">
        <v>0.521651518064146</v>
      </c>
      <c r="P83">
        <v>0.56509634000403197</v>
      </c>
      <c r="Q83">
        <v>0.59417174725146504</v>
      </c>
      <c r="R83">
        <v>0.59871666659448497</v>
      </c>
      <c r="S83">
        <v>0.59479402492753697</v>
      </c>
      <c r="T83">
        <v>0.57376349951387196</v>
      </c>
      <c r="U83">
        <v>0.53271385957244799</v>
      </c>
      <c r="V83">
        <v>0.41340930749360499</v>
      </c>
      <c r="W83">
        <v>0.33133686438384802</v>
      </c>
      <c r="X83">
        <v>0.27115428252613999</v>
      </c>
      <c r="Y83" t="s">
        <v>63</v>
      </c>
      <c r="Z83" t="s">
        <v>262</v>
      </c>
      <c r="AA83" t="s">
        <v>252</v>
      </c>
      <c r="AB83" s="10">
        <f>INDEX(shelf!$B$1:$B$6,MATCH(AA83,shelf!$A$1:$A$6,0))</f>
        <v>61</v>
      </c>
      <c r="AC83" s="10" cm="1">
        <f t="array" ref="AC83">SUMPRODUCT(A83:X83*AB83)</f>
        <v>614.95955977108736</v>
      </c>
    </row>
    <row r="84" spans="1:29" x14ac:dyDescent="0.25">
      <c r="A84">
        <v>0.49940047857423397</v>
      </c>
      <c r="B84">
        <v>0.49940047857423397</v>
      </c>
      <c r="C84">
        <v>0.49940047857423397</v>
      </c>
      <c r="D84">
        <v>0.49940047857423397</v>
      </c>
      <c r="E84">
        <v>0.49940047857423397</v>
      </c>
      <c r="F84">
        <v>0.49940047857423397</v>
      </c>
      <c r="G84">
        <v>0.49940047857423397</v>
      </c>
      <c r="H84">
        <v>0.49940047857423397</v>
      </c>
      <c r="I84">
        <v>0.49940047857423397</v>
      </c>
      <c r="J84">
        <v>0.49940047857423397</v>
      </c>
      <c r="K84">
        <v>0.49940047857423397</v>
      </c>
      <c r="L84">
        <v>0.70890789781083297</v>
      </c>
      <c r="M84">
        <v>0.94334612015046904</v>
      </c>
      <c r="N84">
        <v>1</v>
      </c>
      <c r="O84">
        <v>1</v>
      </c>
      <c r="P84">
        <v>1</v>
      </c>
      <c r="Q84">
        <v>0.892529572101872</v>
      </c>
      <c r="R84">
        <v>1</v>
      </c>
      <c r="S84">
        <v>0.84669236366072098</v>
      </c>
      <c r="T84">
        <v>0.66791360871391103</v>
      </c>
      <c r="U84">
        <v>0.49940047857423397</v>
      </c>
      <c r="V84">
        <v>0.49940047857423397</v>
      </c>
      <c r="W84">
        <v>0.49940047857423397</v>
      </c>
      <c r="X84">
        <v>0.49940047857423397</v>
      </c>
      <c r="Y84" t="s">
        <v>63</v>
      </c>
      <c r="Z84" t="s">
        <v>262</v>
      </c>
      <c r="AA84" t="s">
        <v>253</v>
      </c>
      <c r="AB84" s="10">
        <f>INDEX(shelf!$B$1:$B$6,MATCH(AA84,shelf!$A$1:$A$6,0))</f>
        <v>0</v>
      </c>
      <c r="AC84" s="10" cm="1">
        <f t="array" ref="AC84">SUMPRODUCT(A84:X84*AB84)</f>
        <v>0</v>
      </c>
    </row>
    <row r="85" spans="1:29" x14ac:dyDescent="0.25">
      <c r="A85">
        <v>0.49940047857423397</v>
      </c>
      <c r="B85">
        <v>0.49940047857423397</v>
      </c>
      <c r="C85">
        <v>0.49940047857423397</v>
      </c>
      <c r="D85">
        <v>0.49940047857423397</v>
      </c>
      <c r="E85">
        <v>0.69096863319770396</v>
      </c>
      <c r="F85">
        <v>0.98304441674682297</v>
      </c>
      <c r="G85">
        <v>0.83884819852570303</v>
      </c>
      <c r="H85">
        <v>0.72930272716188105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63</v>
      </c>
      <c r="Z85" t="s">
        <v>262</v>
      </c>
      <c r="AA85" t="s">
        <v>254</v>
      </c>
      <c r="AB85" s="10">
        <f>INDEX(shelf!$B$1:$B$6,MATCH(AA85,shelf!$A$1:$A$6,0))</f>
        <v>0</v>
      </c>
      <c r="AC85" s="10" cm="1">
        <f t="array" ref="AC85">SUMPRODUCT(A85:X85*AB85)</f>
        <v>0</v>
      </c>
    </row>
    <row r="86" spans="1:29" x14ac:dyDescent="0.25">
      <c r="A86">
        <v>0.553169429766321</v>
      </c>
      <c r="B86">
        <v>0.52034674241011403</v>
      </c>
      <c r="C86">
        <v>0.51460850967794003</v>
      </c>
      <c r="D86">
        <v>0.52201220633490997</v>
      </c>
      <c r="E86">
        <v>0.55863440871145997</v>
      </c>
      <c r="F86">
        <v>0.63477387103324201</v>
      </c>
      <c r="G86">
        <v>0.69795221801979002</v>
      </c>
      <c r="H86">
        <v>0.69794340962637202</v>
      </c>
      <c r="I86">
        <v>0.65796995233849398</v>
      </c>
      <c r="J86">
        <v>0.63986154099437298</v>
      </c>
      <c r="K86">
        <v>0.64622052347371095</v>
      </c>
      <c r="L86">
        <v>0.64590913224704205</v>
      </c>
      <c r="M86">
        <v>0.63241409275690896</v>
      </c>
      <c r="N86">
        <v>0.60468846452844205</v>
      </c>
      <c r="O86">
        <v>0.59044635712179305</v>
      </c>
      <c r="P86">
        <v>0.62089600521377297</v>
      </c>
      <c r="Q86">
        <v>0.70589438822166495</v>
      </c>
      <c r="R86">
        <v>0.75730646392084899</v>
      </c>
      <c r="S86">
        <v>0.76126211013442102</v>
      </c>
      <c r="T86">
        <v>0.76006658851782405</v>
      </c>
      <c r="U86">
        <v>0.75358641803233495</v>
      </c>
      <c r="V86">
        <v>0.73513999669022601</v>
      </c>
      <c r="W86">
        <v>0.69189417284965804</v>
      </c>
      <c r="X86">
        <v>0.62794504304123699</v>
      </c>
      <c r="Y86" t="s">
        <v>64</v>
      </c>
      <c r="Z86" t="s">
        <v>262</v>
      </c>
      <c r="AA86" t="s">
        <v>222</v>
      </c>
      <c r="AB86" s="10">
        <f>INDEX(shelf!$B$1:$B$6,MATCH(AA86,shelf!$A$1:$A$6,0))</f>
        <v>120</v>
      </c>
      <c r="AC86" s="10" cm="1">
        <f t="array" ref="AC86">SUMPRODUCT(A86:X86*AB86)</f>
        <v>1863.7130454795483</v>
      </c>
    </row>
    <row r="87" spans="1:29" x14ac:dyDescent="0.25">
      <c r="A87">
        <v>0.330584086756809</v>
      </c>
      <c r="B87">
        <v>0.31114839087806101</v>
      </c>
      <c r="C87">
        <v>0.30488922879117097</v>
      </c>
      <c r="D87">
        <v>0.308259044245772</v>
      </c>
      <c r="E87">
        <v>0.32404482259899098</v>
      </c>
      <c r="F87">
        <v>0.37558420862172998</v>
      </c>
      <c r="G87">
        <v>0.40372763056549299</v>
      </c>
      <c r="H87">
        <v>0.38220526500414698</v>
      </c>
      <c r="I87">
        <v>0.376724338995099</v>
      </c>
      <c r="J87">
        <v>0.39805988917954999</v>
      </c>
      <c r="K87">
        <v>0.42644638890322401</v>
      </c>
      <c r="L87">
        <v>0.45494601840500498</v>
      </c>
      <c r="M87">
        <v>0.47794124898121099</v>
      </c>
      <c r="N87">
        <v>0.49012478160844503</v>
      </c>
      <c r="O87">
        <v>0.50496656153515096</v>
      </c>
      <c r="P87">
        <v>0.52081755587810197</v>
      </c>
      <c r="Q87">
        <v>0.588115254521834</v>
      </c>
      <c r="R87">
        <v>0.66364154134683695</v>
      </c>
      <c r="S87">
        <v>0.67755650405397305</v>
      </c>
      <c r="T87">
        <v>0.68110635919822404</v>
      </c>
      <c r="U87">
        <v>0.67751294606454104</v>
      </c>
      <c r="V87">
        <v>0.663195313943994</v>
      </c>
      <c r="W87">
        <v>0.57455383749558397</v>
      </c>
      <c r="X87">
        <v>0.40148753996456399</v>
      </c>
      <c r="Y87" t="s">
        <v>64</v>
      </c>
      <c r="Z87" t="s">
        <v>262</v>
      </c>
      <c r="AA87" t="s">
        <v>250</v>
      </c>
      <c r="AB87" s="10">
        <f>INDEX(shelf!$B$1:$B$6,MATCH(AA87,shelf!$A$1:$A$6,0))</f>
        <v>92</v>
      </c>
      <c r="AC87" s="10" cm="1">
        <f t="array" ref="AC87">SUMPRODUCT(A87:X87*AB87)</f>
        <v>1041.222765693451</v>
      </c>
    </row>
    <row r="88" spans="1:29" x14ac:dyDescent="0.25">
      <c r="A88">
        <v>0.62552913225704099</v>
      </c>
      <c r="B88">
        <v>0.57476699627719896</v>
      </c>
      <c r="C88">
        <v>0.52998106095105002</v>
      </c>
      <c r="D88">
        <v>0.50913639345305095</v>
      </c>
      <c r="E88">
        <v>0.51966652349071096</v>
      </c>
      <c r="F88">
        <v>0.53711468027206699</v>
      </c>
      <c r="G88">
        <v>0.52452983142183396</v>
      </c>
      <c r="H88">
        <v>0.56051268039499302</v>
      </c>
      <c r="I88">
        <v>0.640173561948297</v>
      </c>
      <c r="J88">
        <v>0.69431902998871997</v>
      </c>
      <c r="K88">
        <v>0.75039715433800003</v>
      </c>
      <c r="L88">
        <v>0.78860514901571499</v>
      </c>
      <c r="M88">
        <v>0.811890938639941</v>
      </c>
      <c r="N88">
        <v>0.82039948842735699</v>
      </c>
      <c r="O88">
        <v>0.82750764607307004</v>
      </c>
      <c r="P88">
        <v>0.83314452832020403</v>
      </c>
      <c r="Q88">
        <v>0.83778239166899005</v>
      </c>
      <c r="R88">
        <v>0.84025447723955604</v>
      </c>
      <c r="S88">
        <v>0.84101397726268601</v>
      </c>
      <c r="T88">
        <v>0.84344755045000397</v>
      </c>
      <c r="U88">
        <v>0.84207428330912604</v>
      </c>
      <c r="V88">
        <v>0.83550235622219604</v>
      </c>
      <c r="W88">
        <v>0.79603420053912499</v>
      </c>
      <c r="X88">
        <v>0.714573984614987</v>
      </c>
      <c r="Y88" t="s">
        <v>64</v>
      </c>
      <c r="Z88" t="s">
        <v>262</v>
      </c>
      <c r="AA88" t="s">
        <v>251</v>
      </c>
      <c r="AB88" s="10">
        <f>INDEX(shelf!$B$1:$B$6,MATCH(AA88,shelf!$A$1:$A$6,0))</f>
        <v>92</v>
      </c>
      <c r="AC88" s="10" cm="1">
        <f t="array" ref="AC88">SUMPRODUCT(A88:X88*AB88)</f>
        <v>1573.0489375249849</v>
      </c>
    </row>
    <row r="89" spans="1:29" x14ac:dyDescent="0.25">
      <c r="A89">
        <v>0.37623529147040602</v>
      </c>
      <c r="B89">
        <v>0.34888249265566901</v>
      </c>
      <c r="C89">
        <v>0.33762874260293202</v>
      </c>
      <c r="D89">
        <v>0.33663858778233602</v>
      </c>
      <c r="E89">
        <v>0.35552014312458802</v>
      </c>
      <c r="F89">
        <v>0.42303534410580301</v>
      </c>
      <c r="G89">
        <v>0.50173805367276703</v>
      </c>
      <c r="H89">
        <v>0.45844350676970402</v>
      </c>
      <c r="I89">
        <v>0.45555625472925698</v>
      </c>
      <c r="J89">
        <v>0.51375677405501696</v>
      </c>
      <c r="K89">
        <v>0.55535495545637303</v>
      </c>
      <c r="L89">
        <v>0.59035344293187797</v>
      </c>
      <c r="M89">
        <v>0.60992788766849104</v>
      </c>
      <c r="N89">
        <v>0.61902742141876999</v>
      </c>
      <c r="O89">
        <v>0.626546101646966</v>
      </c>
      <c r="P89">
        <v>0.65274049596462502</v>
      </c>
      <c r="Q89">
        <v>0.71547919447088704</v>
      </c>
      <c r="R89">
        <v>0.73048535026927697</v>
      </c>
      <c r="S89">
        <v>0.73058881834581102</v>
      </c>
      <c r="T89">
        <v>0.73059046069623201</v>
      </c>
      <c r="U89">
        <v>0.72621560414094899</v>
      </c>
      <c r="V89">
        <v>0.69507445035467297</v>
      </c>
      <c r="W89">
        <v>0.60354607889851597</v>
      </c>
      <c r="X89">
        <v>0.44322056071571803</v>
      </c>
      <c r="Y89" t="s">
        <v>64</v>
      </c>
      <c r="Z89" t="s">
        <v>262</v>
      </c>
      <c r="AA89" t="s">
        <v>252</v>
      </c>
      <c r="AB89" s="10">
        <f>INDEX(shelf!$B$1:$B$6,MATCH(AA89,shelf!$A$1:$A$6,0))</f>
        <v>61</v>
      </c>
      <c r="AC89" s="10" cm="1">
        <f t="array" ref="AC89">SUMPRODUCT(A89:X89*AB89)</f>
        <v>801.33174685080621</v>
      </c>
    </row>
    <row r="90" spans="1:29" x14ac:dyDescent="0.25">
      <c r="A90">
        <v>0.41217667057105201</v>
      </c>
      <c r="B90">
        <v>0.38459284779706898</v>
      </c>
      <c r="C90">
        <v>0.34220414839298102</v>
      </c>
      <c r="D90">
        <v>0.34220414839298102</v>
      </c>
      <c r="E90">
        <v>0.34220414839298102</v>
      </c>
      <c r="F90">
        <v>0.34220414839298102</v>
      </c>
      <c r="G90">
        <v>0.34220414839298102</v>
      </c>
      <c r="H90">
        <v>0.40655527004608799</v>
      </c>
      <c r="I90">
        <v>0.609460000281832</v>
      </c>
      <c r="J90">
        <v>0.73374304357139197</v>
      </c>
      <c r="K90">
        <v>0.77856953845066201</v>
      </c>
      <c r="L90">
        <v>0.85551037098245197</v>
      </c>
      <c r="M90">
        <v>0.85551037098245197</v>
      </c>
      <c r="N90">
        <v>0.85551037098245197</v>
      </c>
      <c r="O90">
        <v>0.85551037098245197</v>
      </c>
      <c r="P90">
        <v>0.85551037098245197</v>
      </c>
      <c r="Q90">
        <v>0.85551037098245197</v>
      </c>
      <c r="R90">
        <v>0.85551037098245197</v>
      </c>
      <c r="S90">
        <v>0.85551037098245197</v>
      </c>
      <c r="T90">
        <v>0.85551037098245197</v>
      </c>
      <c r="U90">
        <v>0.85551037098245197</v>
      </c>
      <c r="V90">
        <v>0.85551037098245197</v>
      </c>
      <c r="W90">
        <v>0.85551037098245197</v>
      </c>
      <c r="X90">
        <v>0.83377057845719404</v>
      </c>
      <c r="Y90" t="s">
        <v>64</v>
      </c>
      <c r="Z90" t="s">
        <v>262</v>
      </c>
      <c r="AA90" t="s">
        <v>253</v>
      </c>
      <c r="AB90" s="10">
        <f>INDEX(shelf!$B$1:$B$6,MATCH(AA90,shelf!$A$1:$A$6,0))</f>
        <v>0</v>
      </c>
      <c r="AC90" s="10" cm="1">
        <f t="array" ref="AC90">SUMPRODUCT(A90:X90*AB90)</f>
        <v>0</v>
      </c>
    </row>
    <row r="91" spans="1:29" x14ac:dyDescent="0.25">
      <c r="A91">
        <v>0.66078728309492296</v>
      </c>
      <c r="B91">
        <v>0.58031776944152202</v>
      </c>
      <c r="C91">
        <v>0.58031776944152202</v>
      </c>
      <c r="D91">
        <v>0.62054696052512803</v>
      </c>
      <c r="E91">
        <v>0.67754016980793597</v>
      </c>
      <c r="F91">
        <v>0.694304188007136</v>
      </c>
      <c r="G91">
        <v>0.723724706002148</v>
      </c>
      <c r="H91">
        <v>0.73820676953279896</v>
      </c>
      <c r="I91">
        <v>0.73907502545546699</v>
      </c>
      <c r="J91">
        <v>0.73374304357139197</v>
      </c>
      <c r="K91">
        <v>0.70432252557637998</v>
      </c>
      <c r="L91">
        <v>0.70432252557637998</v>
      </c>
      <c r="M91">
        <v>0.694304188007136</v>
      </c>
      <c r="N91">
        <v>0.67080562066416605</v>
      </c>
      <c r="O91">
        <v>0.62054696052512803</v>
      </c>
      <c r="P91">
        <v>0.61885497462454497</v>
      </c>
      <c r="Q91">
        <v>0.723724706002148</v>
      </c>
      <c r="R91">
        <v>0.83377057845719404</v>
      </c>
      <c r="S91">
        <v>0.85551037098245197</v>
      </c>
      <c r="T91">
        <v>0.85551037098245197</v>
      </c>
      <c r="U91">
        <v>0.85551037098245197</v>
      </c>
      <c r="V91">
        <v>0.81222002119713199</v>
      </c>
      <c r="W91">
        <v>0.72727565009613604</v>
      </c>
      <c r="X91">
        <v>0.682449155216865</v>
      </c>
      <c r="Y91" t="s">
        <v>64</v>
      </c>
      <c r="Z91" t="s">
        <v>262</v>
      </c>
      <c r="AA91" t="s">
        <v>254</v>
      </c>
      <c r="AB91" s="10">
        <f>INDEX(shelf!$B$1:$B$6,MATCH(AA91,shelf!$A$1:$A$6,0))</f>
        <v>0</v>
      </c>
      <c r="AC91" s="10" cm="1">
        <f t="array" ref="AC91">SUMPRODUCT(A91:X91*AB91)</f>
        <v>0</v>
      </c>
    </row>
    <row r="92" spans="1:29" x14ac:dyDescent="0.25">
      <c r="A92">
        <v>0.30531856875696201</v>
      </c>
      <c r="B92">
        <v>0.29338277575675897</v>
      </c>
      <c r="C92">
        <v>0.29376484512000101</v>
      </c>
      <c r="D92">
        <v>0.30265958161876999</v>
      </c>
      <c r="E92">
        <v>0.36693887738320202</v>
      </c>
      <c r="F92">
        <v>0.48186224216565898</v>
      </c>
      <c r="G92">
        <v>0.53058181365031498</v>
      </c>
      <c r="H92">
        <v>0.46806664062480402</v>
      </c>
      <c r="I92">
        <v>0.370729248050291</v>
      </c>
      <c r="J92">
        <v>0.352613634714466</v>
      </c>
      <c r="K92">
        <v>0.34278899394537199</v>
      </c>
      <c r="L92">
        <v>0.31259810196879501</v>
      </c>
      <c r="M92">
        <v>0.29886449404596199</v>
      </c>
      <c r="N92">
        <v>0.29127229736932397</v>
      </c>
      <c r="O92">
        <v>0.29444071032517299</v>
      </c>
      <c r="P92">
        <v>0.40170786328194802</v>
      </c>
      <c r="Q92">
        <v>0.61155423875444404</v>
      </c>
      <c r="R92">
        <v>0.65102934887344699</v>
      </c>
      <c r="S92">
        <v>0.67048052037143602</v>
      </c>
      <c r="T92">
        <v>0.66334653739321903</v>
      </c>
      <c r="U92">
        <v>0.60349372072427199</v>
      </c>
      <c r="V92">
        <v>0.47291225048561097</v>
      </c>
      <c r="W92">
        <v>0.35156985086320902</v>
      </c>
      <c r="X92">
        <v>0.30930031102750899</v>
      </c>
      <c r="Y92" t="s">
        <v>65</v>
      </c>
      <c r="Z92" t="s">
        <v>262</v>
      </c>
      <c r="AA92" t="s">
        <v>222</v>
      </c>
      <c r="AB92" s="10">
        <f>INDEX(shelf!$B$1:$B$6,MATCH(AA92,shelf!$A$1:$A$6,0))</f>
        <v>120</v>
      </c>
      <c r="AC92" s="10" cm="1">
        <f t="array" ref="AC92">SUMPRODUCT(A92:X92*AB92)</f>
        <v>1204.9532960725139</v>
      </c>
    </row>
    <row r="93" spans="1:29" x14ac:dyDescent="0.25">
      <c r="A93">
        <v>0.19011572731065199</v>
      </c>
      <c r="B93">
        <v>0.19011572731065199</v>
      </c>
      <c r="C93">
        <v>0.19011572731065199</v>
      </c>
      <c r="D93">
        <v>0.19011572731065199</v>
      </c>
      <c r="E93">
        <v>0.19926315518722601</v>
      </c>
      <c r="F93">
        <v>0.20401628000375599</v>
      </c>
      <c r="G93">
        <v>0.19829282029645201</v>
      </c>
      <c r="H93">
        <v>0.191640298623415</v>
      </c>
      <c r="I93">
        <v>0.19011572731065199</v>
      </c>
      <c r="J93">
        <v>0.19011572731065199</v>
      </c>
      <c r="K93">
        <v>0.19011572731065199</v>
      </c>
      <c r="L93">
        <v>0.19609272070035499</v>
      </c>
      <c r="M93">
        <v>0.20435657105920099</v>
      </c>
      <c r="N93">
        <v>0.22068885711139</v>
      </c>
      <c r="O93">
        <v>0.24504493671350999</v>
      </c>
      <c r="P93">
        <v>0.27823173766535397</v>
      </c>
      <c r="Q93">
        <v>0.35887482167374102</v>
      </c>
      <c r="R93">
        <v>0.41792205823024298</v>
      </c>
      <c r="S93">
        <v>0.44044022921112003</v>
      </c>
      <c r="T93">
        <v>0.413273379183206</v>
      </c>
      <c r="U93">
        <v>0.34511661845680203</v>
      </c>
      <c r="V93">
        <v>0.21136117605198099</v>
      </c>
      <c r="W93">
        <v>0.19163945631882201</v>
      </c>
      <c r="X93">
        <v>0.188082404023907</v>
      </c>
      <c r="Y93" t="s">
        <v>65</v>
      </c>
      <c r="Z93" t="s">
        <v>262</v>
      </c>
      <c r="AA93" t="s">
        <v>250</v>
      </c>
      <c r="AB93" s="10">
        <f>INDEX(shelf!$B$1:$B$6,MATCH(AA93,shelf!$A$1:$A$6,0))</f>
        <v>92</v>
      </c>
      <c r="AC93" s="10" cm="1">
        <f t="array" ref="AC93">SUMPRODUCT(A93:X93*AB93)</f>
        <v>536.83358027502413</v>
      </c>
    </row>
    <row r="94" spans="1:29" x14ac:dyDescent="0.25">
      <c r="A94">
        <v>0.43976099285124598</v>
      </c>
      <c r="B94">
        <v>0.43976099285124598</v>
      </c>
      <c r="C94">
        <v>0.43976099285124598</v>
      </c>
      <c r="D94">
        <v>0.43976099285124598</v>
      </c>
      <c r="E94">
        <v>0.43976099285124598</v>
      </c>
      <c r="F94">
        <v>0.43976099285124598</v>
      </c>
      <c r="G94">
        <v>0.43976099285124598</v>
      </c>
      <c r="H94">
        <v>0.46292754473525299</v>
      </c>
      <c r="I94">
        <v>0.53604705762348404</v>
      </c>
      <c r="J94">
        <v>0.64619350587324997</v>
      </c>
      <c r="K94">
        <v>0.76706770032206195</v>
      </c>
      <c r="L94">
        <v>0.81457387298281403</v>
      </c>
      <c r="M94">
        <v>0.86519754080270395</v>
      </c>
      <c r="N94">
        <v>0.88999944157590505</v>
      </c>
      <c r="O94">
        <v>0.90620863497761805</v>
      </c>
      <c r="P94">
        <v>0.90076192557815205</v>
      </c>
      <c r="Q94">
        <v>0.92266455585335405</v>
      </c>
      <c r="R94">
        <v>0.90642240607424496</v>
      </c>
      <c r="S94">
        <v>0.93998981252203895</v>
      </c>
      <c r="T94">
        <v>0.91967443263928905</v>
      </c>
      <c r="U94">
        <v>0.86782247172669802</v>
      </c>
      <c r="V94">
        <v>0.73987957968276696</v>
      </c>
      <c r="W94">
        <v>0.56704030378273296</v>
      </c>
      <c r="X94">
        <v>0.46682530439707798</v>
      </c>
      <c r="Y94" t="s">
        <v>65</v>
      </c>
      <c r="Z94" t="s">
        <v>262</v>
      </c>
      <c r="AA94" t="s">
        <v>251</v>
      </c>
      <c r="AB94" s="10">
        <f>INDEX(shelf!$B$1:$B$6,MATCH(AA94,shelf!$A$1:$A$6,0))</f>
        <v>92</v>
      </c>
      <c r="AC94" s="10" cm="1">
        <f t="array" ref="AC94">SUMPRODUCT(A94:X94*AB94)</f>
        <v>1490.1813197819513</v>
      </c>
    </row>
    <row r="95" spans="1:29" x14ac:dyDescent="0.25">
      <c r="A95">
        <v>0.28047665891239898</v>
      </c>
      <c r="B95">
        <v>0.28047665891239898</v>
      </c>
      <c r="C95">
        <v>0.28047665891239898</v>
      </c>
      <c r="D95">
        <v>0.28047665891239898</v>
      </c>
      <c r="E95">
        <v>0.28047665891239898</v>
      </c>
      <c r="F95">
        <v>0.28737471927834002</v>
      </c>
      <c r="G95">
        <v>0.29197342618896799</v>
      </c>
      <c r="H95">
        <v>0.28047665891239898</v>
      </c>
      <c r="I95">
        <v>0.28047665891239898</v>
      </c>
      <c r="J95">
        <v>0.29407460332437602</v>
      </c>
      <c r="K95">
        <v>0.31823178857644502</v>
      </c>
      <c r="L95">
        <v>0.36669733204256399</v>
      </c>
      <c r="M95">
        <v>0.38602968612154998</v>
      </c>
      <c r="N95">
        <v>0.39784150293232701</v>
      </c>
      <c r="O95">
        <v>0.44592847881298497</v>
      </c>
      <c r="P95">
        <v>0.49733998949615998</v>
      </c>
      <c r="Q95">
        <v>0.551195674791503</v>
      </c>
      <c r="R95">
        <v>0.63607357631820605</v>
      </c>
      <c r="S95">
        <v>0.62129292579192097</v>
      </c>
      <c r="T95">
        <v>0.58233476423716601</v>
      </c>
      <c r="U95">
        <v>0.46599129048136601</v>
      </c>
      <c r="V95">
        <v>0.32963073805408599</v>
      </c>
      <c r="W95">
        <v>0.27675704183109601</v>
      </c>
      <c r="X95">
        <v>0.27844027018926798</v>
      </c>
      <c r="Y95" t="s">
        <v>65</v>
      </c>
      <c r="Z95" t="s">
        <v>262</v>
      </c>
      <c r="AA95" t="s">
        <v>252</v>
      </c>
      <c r="AB95" s="10">
        <f>INDEX(shelf!$B$1:$B$6,MATCH(AA95,shelf!$A$1:$A$6,0))</f>
        <v>61</v>
      </c>
      <c r="AC95" s="10" cm="1">
        <f t="array" ref="AC95">SUMPRODUCT(A95:X95*AB95)</f>
        <v>548.42320967216222</v>
      </c>
    </row>
    <row r="96" spans="1:29" x14ac:dyDescent="0.25">
      <c r="A96">
        <v>0.53632228791039105</v>
      </c>
      <c r="B96">
        <v>0.53632228791039105</v>
      </c>
      <c r="C96">
        <v>0.53632228791039105</v>
      </c>
      <c r="D96">
        <v>0.53632228791039105</v>
      </c>
      <c r="E96">
        <v>0.53632228791039105</v>
      </c>
      <c r="F96">
        <v>0.53632228791039105</v>
      </c>
      <c r="G96">
        <v>0.53632228791039105</v>
      </c>
      <c r="H96">
        <v>0.53632228791039105</v>
      </c>
      <c r="I96">
        <v>0.53632228791039105</v>
      </c>
      <c r="J96">
        <v>0.53632228791039105</v>
      </c>
      <c r="K96">
        <v>0.95718146225533196</v>
      </c>
      <c r="L96">
        <v>0.95718146225533196</v>
      </c>
      <c r="M96">
        <v>0.95718146225533196</v>
      </c>
      <c r="N96">
        <v>0.95718146225533196</v>
      </c>
      <c r="O96">
        <v>0.95718146225533196</v>
      </c>
      <c r="P96">
        <v>0.95718146225533196</v>
      </c>
      <c r="Q96">
        <v>0.95718146225533196</v>
      </c>
      <c r="R96">
        <v>0.95718146225533196</v>
      </c>
      <c r="S96">
        <v>0.95718146225533196</v>
      </c>
      <c r="T96">
        <v>0.95718146225533196</v>
      </c>
      <c r="U96">
        <v>0.95718146225533196</v>
      </c>
      <c r="V96">
        <v>0.95718146225533196</v>
      </c>
      <c r="W96">
        <v>0.53632228791039105</v>
      </c>
      <c r="X96">
        <v>0.53632228791039105</v>
      </c>
      <c r="Y96" t="s">
        <v>65</v>
      </c>
      <c r="Z96" t="s">
        <v>262</v>
      </c>
      <c r="AA96" t="s">
        <v>253</v>
      </c>
      <c r="AB96" s="10">
        <f>INDEX(shelf!$B$1:$B$6,MATCH(AA96,shelf!$A$1:$A$6,0))</f>
        <v>0</v>
      </c>
      <c r="AC96" s="10" cm="1">
        <f t="array" ref="AC96">SUMPRODUCT(A96:X96*AB96)</f>
        <v>0</v>
      </c>
    </row>
    <row r="97" spans="1:29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9.3532871190267597E-2</v>
      </c>
      <c r="R97">
        <v>0.59273648031015502</v>
      </c>
      <c r="S97">
        <v>0.70138029589321604</v>
      </c>
      <c r="T97">
        <v>0.70138029589321604</v>
      </c>
      <c r="U97">
        <v>0.70138029589321604</v>
      </c>
      <c r="V97">
        <v>0.28059861357080301</v>
      </c>
      <c r="W97">
        <v>0.28059861357080301</v>
      </c>
      <c r="X97">
        <v>0.28059861357080301</v>
      </c>
      <c r="Y97" t="s">
        <v>65</v>
      </c>
      <c r="Z97" t="s">
        <v>262</v>
      </c>
      <c r="AA97" t="s">
        <v>254</v>
      </c>
      <c r="AB97" s="10">
        <f>INDEX(shelf!$B$1:$B$6,MATCH(AA97,shelf!$A$1:$A$6,0))</f>
        <v>0</v>
      </c>
      <c r="AC97" s="10" cm="1">
        <f t="array" ref="AC97">SUMPRODUCT(A97:X97*AB97)</f>
        <v>0</v>
      </c>
    </row>
    <row r="98" spans="1:29" x14ac:dyDescent="0.25">
      <c r="A98">
        <v>0.36208428692751399</v>
      </c>
      <c r="B98">
        <v>0.34588564317426901</v>
      </c>
      <c r="C98">
        <v>0.34200769159545202</v>
      </c>
      <c r="D98">
        <v>0.34294065257617901</v>
      </c>
      <c r="E98">
        <v>0.35641700093275902</v>
      </c>
      <c r="F98">
        <v>0.39575663500130498</v>
      </c>
      <c r="G98">
        <v>0.44543490524678703</v>
      </c>
      <c r="H98">
        <v>0.45473703770907098</v>
      </c>
      <c r="I98">
        <v>0.422806347491128</v>
      </c>
      <c r="J98">
        <v>0.39929339847740503</v>
      </c>
      <c r="K98">
        <v>0.39013317351677701</v>
      </c>
      <c r="L98">
        <v>0.38633626613569699</v>
      </c>
      <c r="M98">
        <v>0.37949854326329402</v>
      </c>
      <c r="N98">
        <v>0.36669829607253701</v>
      </c>
      <c r="O98">
        <v>0.35984383212729998</v>
      </c>
      <c r="P98">
        <v>0.37287621914114699</v>
      </c>
      <c r="Q98">
        <v>0.42882249362608199</v>
      </c>
      <c r="R98">
        <v>0.49098661325645998</v>
      </c>
      <c r="S98">
        <v>0.51392198380659604</v>
      </c>
      <c r="T98">
        <v>0.515859835127227</v>
      </c>
      <c r="U98">
        <v>0.509916397006</v>
      </c>
      <c r="V98">
        <v>0.48754723656301502</v>
      </c>
      <c r="W98">
        <v>0.44219992537283098</v>
      </c>
      <c r="X98">
        <v>0.395139157362489</v>
      </c>
      <c r="Y98" t="s">
        <v>66</v>
      </c>
      <c r="Z98" t="s">
        <v>262</v>
      </c>
      <c r="AA98" t="s">
        <v>222</v>
      </c>
      <c r="AB98" s="10">
        <f>INDEX(shelf!$B$1:$B$6,MATCH(AA98,shelf!$A$1:$A$6,0))</f>
        <v>120</v>
      </c>
      <c r="AC98" s="10" cm="1">
        <f t="array" ref="AC98">SUMPRODUCT(A98:X98*AB98)</f>
        <v>1188.8572285811183</v>
      </c>
    </row>
    <row r="99" spans="1:29" x14ac:dyDescent="0.25">
      <c r="A99">
        <v>0.191864214188812</v>
      </c>
      <c r="B99">
        <v>0.18024202209441401</v>
      </c>
      <c r="C99">
        <v>0.17701522610879999</v>
      </c>
      <c r="D99">
        <v>0.17766450377043999</v>
      </c>
      <c r="E99">
        <v>0.18235914373924</v>
      </c>
      <c r="F99">
        <v>0.199305214560208</v>
      </c>
      <c r="G99">
        <v>0.21357309732955099</v>
      </c>
      <c r="H99">
        <v>0.21064472642579199</v>
      </c>
      <c r="I99">
        <v>0.205401833497869</v>
      </c>
      <c r="J99">
        <v>0.204661052475751</v>
      </c>
      <c r="K99">
        <v>0.213490880569667</v>
      </c>
      <c r="L99">
        <v>0.22451754506801</v>
      </c>
      <c r="M99">
        <v>0.23416808650888599</v>
      </c>
      <c r="N99">
        <v>0.23940079394824099</v>
      </c>
      <c r="O99">
        <v>0.24596735953409701</v>
      </c>
      <c r="P99">
        <v>0.253688389273593</v>
      </c>
      <c r="Q99">
        <v>0.276847585219332</v>
      </c>
      <c r="R99">
        <v>0.31680912151666801</v>
      </c>
      <c r="S99">
        <v>0.33577841167891997</v>
      </c>
      <c r="T99">
        <v>0.35077339748713898</v>
      </c>
      <c r="U99">
        <v>0.349968337386802</v>
      </c>
      <c r="V99">
        <v>0.335057222979387</v>
      </c>
      <c r="W99">
        <v>0.27795598279567302</v>
      </c>
      <c r="X99">
        <v>0.22105077462043199</v>
      </c>
      <c r="Y99" t="s">
        <v>66</v>
      </c>
      <c r="Z99" t="s">
        <v>262</v>
      </c>
      <c r="AA99" t="s">
        <v>250</v>
      </c>
      <c r="AB99" s="10">
        <f>INDEX(shelf!$B$1:$B$6,MATCH(AA99,shelf!$A$1:$A$6,0))</f>
        <v>92</v>
      </c>
      <c r="AC99" s="10" cm="1">
        <f t="array" ref="AC99">SUMPRODUCT(A99:X99*AB99)</f>
        <v>535.27485289555057</v>
      </c>
    </row>
    <row r="100" spans="1:29" x14ac:dyDescent="0.25">
      <c r="A100">
        <v>0.45993324596645002</v>
      </c>
      <c r="B100">
        <v>0.426952008401489</v>
      </c>
      <c r="C100">
        <v>0.40785329120382602</v>
      </c>
      <c r="D100">
        <v>0.40064788760005998</v>
      </c>
      <c r="E100">
        <v>0.40405375024353202</v>
      </c>
      <c r="F100">
        <v>0.41419009354768599</v>
      </c>
      <c r="G100">
        <v>0.41492585418274502</v>
      </c>
      <c r="H100">
        <v>0.42950920102506301</v>
      </c>
      <c r="I100">
        <v>0.45211937042443801</v>
      </c>
      <c r="J100">
        <v>0.474975404867994</v>
      </c>
      <c r="K100">
        <v>0.52203179109067099</v>
      </c>
      <c r="L100">
        <v>0.57081615285570697</v>
      </c>
      <c r="M100">
        <v>0.61010228582806403</v>
      </c>
      <c r="N100">
        <v>0.63482512428705296</v>
      </c>
      <c r="O100">
        <v>0.64930454654409797</v>
      </c>
      <c r="P100">
        <v>0.65992374411709698</v>
      </c>
      <c r="Q100">
        <v>0.66810149193262802</v>
      </c>
      <c r="R100">
        <v>0.67612660108114098</v>
      </c>
      <c r="S100">
        <v>0.68900899337871702</v>
      </c>
      <c r="T100">
        <v>0.69893277715244395</v>
      </c>
      <c r="U100">
        <v>0.69487876777857305</v>
      </c>
      <c r="V100">
        <v>0.67193494990583702</v>
      </c>
      <c r="W100">
        <v>0.60186798947618403</v>
      </c>
      <c r="X100">
        <v>0.51676236961543698</v>
      </c>
      <c r="Y100" t="s">
        <v>66</v>
      </c>
      <c r="Z100" t="s">
        <v>262</v>
      </c>
      <c r="AA100" t="s">
        <v>251</v>
      </c>
      <c r="AB100" s="10">
        <f>INDEX(shelf!$B$1:$B$6,MATCH(AA100,shelf!$A$1:$A$6,0))</f>
        <v>92</v>
      </c>
      <c r="AC100" s="10" cm="1">
        <f t="array" ref="AC100">SUMPRODUCT(A100:X100*AB100)</f>
        <v>1209.7795477106381</v>
      </c>
    </row>
    <row r="101" spans="1:29" x14ac:dyDescent="0.25">
      <c r="A101">
        <v>0.29718971787807402</v>
      </c>
      <c r="B101">
        <v>0.28464093653613798</v>
      </c>
      <c r="C101">
        <v>0.28068006500554998</v>
      </c>
      <c r="D101">
        <v>0.28023727787688302</v>
      </c>
      <c r="E101">
        <v>0.28441317031879598</v>
      </c>
      <c r="F101">
        <v>0.308426863889397</v>
      </c>
      <c r="G101">
        <v>0.33730249449385002</v>
      </c>
      <c r="H101">
        <v>0.32794646411923001</v>
      </c>
      <c r="I101">
        <v>0.32421860026990801</v>
      </c>
      <c r="J101">
        <v>0.32747613124111002</v>
      </c>
      <c r="K101">
        <v>0.33749322506247598</v>
      </c>
      <c r="L101">
        <v>0.35770366232655298</v>
      </c>
      <c r="M101">
        <v>0.37943133501355503</v>
      </c>
      <c r="N101">
        <v>0.39505991247998701</v>
      </c>
      <c r="O101">
        <v>0.402662487518817</v>
      </c>
      <c r="P101">
        <v>0.41976062640105</v>
      </c>
      <c r="Q101">
        <v>0.459992816862965</v>
      </c>
      <c r="R101">
        <v>0.48958457650797799</v>
      </c>
      <c r="S101">
        <v>0.50422702477902503</v>
      </c>
      <c r="T101">
        <v>0.50402550042142802</v>
      </c>
      <c r="U101">
        <v>0.49327265013363802</v>
      </c>
      <c r="V101">
        <v>0.44870681384524602</v>
      </c>
      <c r="W101">
        <v>0.38129694213426402</v>
      </c>
      <c r="X101">
        <v>0.32245771017227598</v>
      </c>
      <c r="Y101" t="s">
        <v>66</v>
      </c>
      <c r="Z101" t="s">
        <v>262</v>
      </c>
      <c r="AA101" t="s">
        <v>252</v>
      </c>
      <c r="AB101" s="10">
        <f>INDEX(shelf!$B$1:$B$6,MATCH(AA101,shelf!$A$1:$A$6,0))</f>
        <v>61</v>
      </c>
      <c r="AC101" s="10" cm="1">
        <f t="array" ref="AC101">SUMPRODUCT(A101:X101*AB101)</f>
        <v>545.84062732257985</v>
      </c>
    </row>
    <row r="102" spans="1:29" x14ac:dyDescent="0.25">
      <c r="A102">
        <v>0.59705627815079498</v>
      </c>
      <c r="B102">
        <v>0.52923995552233505</v>
      </c>
      <c r="C102">
        <v>0.48299087533665003</v>
      </c>
      <c r="D102">
        <v>0.458716731955705</v>
      </c>
      <c r="E102">
        <v>0.45600561712232002</v>
      </c>
      <c r="F102">
        <v>0.45930720402258401</v>
      </c>
      <c r="G102">
        <v>0.45212619984081998</v>
      </c>
      <c r="H102">
        <v>0.50901483870525899</v>
      </c>
      <c r="I102">
        <v>0.55926501239675297</v>
      </c>
      <c r="J102">
        <v>0.62426171239006301</v>
      </c>
      <c r="K102">
        <v>0.67257244080925704</v>
      </c>
      <c r="L102">
        <v>0.71066763375561803</v>
      </c>
      <c r="M102">
        <v>0.729146617743343</v>
      </c>
      <c r="N102">
        <v>0.73937953553393398</v>
      </c>
      <c r="O102">
        <v>0.74432875546291999</v>
      </c>
      <c r="P102">
        <v>0.74642990896406103</v>
      </c>
      <c r="Q102">
        <v>0.748149704948324</v>
      </c>
      <c r="R102">
        <v>0.75305204529305203</v>
      </c>
      <c r="S102">
        <v>0.76069394426386105</v>
      </c>
      <c r="T102">
        <v>0.76378799682483001</v>
      </c>
      <c r="U102">
        <v>0.76995029183857999</v>
      </c>
      <c r="V102">
        <v>0.76877145465242902</v>
      </c>
      <c r="W102">
        <v>0.76000760608086104</v>
      </c>
      <c r="X102">
        <v>0.70072073410268498</v>
      </c>
      <c r="Y102" t="s">
        <v>66</v>
      </c>
      <c r="Z102" t="s">
        <v>262</v>
      </c>
      <c r="AA102" t="s">
        <v>253</v>
      </c>
      <c r="AB102" s="10">
        <f>INDEX(shelf!$B$1:$B$6,MATCH(AA102,shelf!$A$1:$A$6,0))</f>
        <v>0</v>
      </c>
      <c r="AC102" s="10" cm="1">
        <f t="array" ref="AC102">SUMPRODUCT(A102:X102*AB102)</f>
        <v>0</v>
      </c>
    </row>
    <row r="103" spans="1:29" x14ac:dyDescent="0.25">
      <c r="A103">
        <v>0.51453662164646297</v>
      </c>
      <c r="B103">
        <v>0.49710742430395599</v>
      </c>
      <c r="C103">
        <v>0.48204274891347298</v>
      </c>
      <c r="D103">
        <v>0.48072590665906001</v>
      </c>
      <c r="E103">
        <v>0.49895574409225002</v>
      </c>
      <c r="F103">
        <v>0.54310683119820502</v>
      </c>
      <c r="G103">
        <v>0.60579484335107903</v>
      </c>
      <c r="H103">
        <v>0.62303494214585198</v>
      </c>
      <c r="I103">
        <v>0.54853485497089505</v>
      </c>
      <c r="J103">
        <v>0.51210362389720998</v>
      </c>
      <c r="K103">
        <v>0.50275878452299405</v>
      </c>
      <c r="L103">
        <v>0.49832049938872103</v>
      </c>
      <c r="M103">
        <v>0.48439778960126501</v>
      </c>
      <c r="N103">
        <v>0.45659029508327897</v>
      </c>
      <c r="O103">
        <v>0.44245320337680399</v>
      </c>
      <c r="P103">
        <v>0.469816658686602</v>
      </c>
      <c r="Q103">
        <v>0.570217979532057</v>
      </c>
      <c r="R103">
        <v>0.58174403641648198</v>
      </c>
      <c r="S103">
        <v>0.62318874932116697</v>
      </c>
      <c r="T103">
        <v>0.62270573158224896</v>
      </c>
      <c r="U103">
        <v>0.62518929607407103</v>
      </c>
      <c r="V103">
        <v>0.61189287646281398</v>
      </c>
      <c r="W103">
        <v>0.589704611212859</v>
      </c>
      <c r="X103">
        <v>0.54610817806446299</v>
      </c>
      <c r="Y103" t="s">
        <v>66</v>
      </c>
      <c r="Z103" t="s">
        <v>262</v>
      </c>
      <c r="AA103" t="s">
        <v>254</v>
      </c>
      <c r="AB103" s="10">
        <f>INDEX(shelf!$B$1:$B$6,MATCH(AA103,shelf!$A$1:$A$6,0))</f>
        <v>0</v>
      </c>
      <c r="AC103" s="10" cm="1">
        <f t="array" ref="AC103">SUMPRODUCT(A103:X103*AB103)</f>
        <v>0</v>
      </c>
    </row>
    <row r="104" spans="1:29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67</v>
      </c>
      <c r="Z104" t="s">
        <v>262</v>
      </c>
      <c r="AA104" t="s">
        <v>222</v>
      </c>
      <c r="AB104" s="10">
        <f>INDEX(shelf!$B$1:$B$6,MATCH(AA104,shelf!$A$1:$A$6,0))</f>
        <v>120</v>
      </c>
      <c r="AC104" s="10" cm="1">
        <f t="array" ref="AC104">SUMPRODUCT(A104:X104*AB104)</f>
        <v>0</v>
      </c>
    </row>
    <row r="105" spans="1:29" x14ac:dyDescent="0.25">
      <c r="A105">
        <v>2.2388370460598001E-3</v>
      </c>
      <c r="B105">
        <v>2.2388370460598001E-3</v>
      </c>
      <c r="C105">
        <v>2.2388370460598001E-3</v>
      </c>
      <c r="D105">
        <v>2.2388370460598001E-3</v>
      </c>
      <c r="E105">
        <v>2.2388370460598001E-3</v>
      </c>
      <c r="F105">
        <v>2.2388370460598001E-3</v>
      </c>
      <c r="G105">
        <v>2.2388370460598001E-3</v>
      </c>
      <c r="H105">
        <v>2.2388370460598001E-3</v>
      </c>
      <c r="I105">
        <v>2.2388370460598001E-3</v>
      </c>
      <c r="J105">
        <v>2.2388370460598001E-3</v>
      </c>
      <c r="K105">
        <v>2.2388370460598001E-3</v>
      </c>
      <c r="L105">
        <v>2.2388370460598001E-3</v>
      </c>
      <c r="M105">
        <v>2.2388370460598001E-3</v>
      </c>
      <c r="N105">
        <v>2.2388370460598001E-3</v>
      </c>
      <c r="O105">
        <v>2.2388370460598001E-3</v>
      </c>
      <c r="P105">
        <v>2.2388370460598001E-3</v>
      </c>
      <c r="Q105">
        <v>2.2388370460598001E-3</v>
      </c>
      <c r="R105">
        <v>3.3582555690898001E-3</v>
      </c>
      <c r="S105">
        <v>3.3582555690898001E-3</v>
      </c>
      <c r="T105">
        <v>2.2388370460598001E-3</v>
      </c>
      <c r="U105">
        <v>2.2388370460598001E-3</v>
      </c>
      <c r="V105">
        <v>2.2388370460598001E-3</v>
      </c>
      <c r="W105">
        <v>2.2388370460598001E-3</v>
      </c>
      <c r="X105">
        <v>2.2388370460598001E-3</v>
      </c>
      <c r="Y105" t="s">
        <v>67</v>
      </c>
      <c r="Z105" t="s">
        <v>262</v>
      </c>
      <c r="AA105" t="s">
        <v>250</v>
      </c>
      <c r="AB105" s="10">
        <f>INDEX(shelf!$B$1:$B$6,MATCH(AA105,shelf!$A$1:$A$6,0))</f>
        <v>92</v>
      </c>
      <c r="AC105" s="10" cm="1">
        <f t="array" ref="AC105">SUMPRODUCT(A105:X105*AB105)</f>
        <v>5.1493252059375578</v>
      </c>
    </row>
    <row r="106" spans="1:29" x14ac:dyDescent="0.25">
      <c r="A106">
        <v>0.52859542523317105</v>
      </c>
      <c r="B106">
        <v>0.52859542523317105</v>
      </c>
      <c r="C106">
        <v>0.52859542523317105</v>
      </c>
      <c r="D106">
        <v>0.52859542523317105</v>
      </c>
      <c r="E106">
        <v>0.52859542523317105</v>
      </c>
      <c r="F106">
        <v>0.52859542523317105</v>
      </c>
      <c r="G106">
        <v>0.52859542523317105</v>
      </c>
      <c r="H106">
        <v>0.52859542523317105</v>
      </c>
      <c r="I106">
        <v>0.52859542523317105</v>
      </c>
      <c r="J106">
        <v>0.52859542523317105</v>
      </c>
      <c r="K106">
        <v>0.54692633667387802</v>
      </c>
      <c r="L106">
        <v>0.64590066965762605</v>
      </c>
      <c r="M106">
        <v>0.69108835620092901</v>
      </c>
      <c r="N106">
        <v>0.75135823261813295</v>
      </c>
      <c r="O106">
        <v>0.83090114973041695</v>
      </c>
      <c r="P106">
        <v>0.91161969795969</v>
      </c>
      <c r="Q106">
        <v>0.99029155160187499</v>
      </c>
      <c r="R106">
        <v>1</v>
      </c>
      <c r="S106">
        <v>1</v>
      </c>
      <c r="T106">
        <v>1</v>
      </c>
      <c r="U106">
        <v>0.95468150232771398</v>
      </c>
      <c r="V106">
        <v>0.78029621997446397</v>
      </c>
      <c r="W106">
        <v>0.59312112690289098</v>
      </c>
      <c r="X106">
        <v>0.53112739760430105</v>
      </c>
      <c r="Y106" t="s">
        <v>67</v>
      </c>
      <c r="Z106" t="s">
        <v>262</v>
      </c>
      <c r="AA106" t="s">
        <v>251</v>
      </c>
      <c r="AB106" s="10">
        <f>INDEX(shelf!$B$1:$B$6,MATCH(AA106,shelf!$A$1:$A$6,0))</f>
        <v>92</v>
      </c>
      <c r="AC106" s="10" cm="1">
        <f t="array" ref="AC106">SUMPRODUCT(A106:X106*AB106)</f>
        <v>1519.2205174096939</v>
      </c>
    </row>
    <row r="107" spans="1:29" x14ac:dyDescent="0.25">
      <c r="A107">
        <v>3.9326173999175498E-2</v>
      </c>
      <c r="B107">
        <v>3.9326173999175498E-2</v>
      </c>
      <c r="C107">
        <v>3.9326173999175498E-2</v>
      </c>
      <c r="D107">
        <v>3.9326173999175498E-2</v>
      </c>
      <c r="E107">
        <v>3.9326173999175498E-2</v>
      </c>
      <c r="F107">
        <v>3.9326173999175498E-2</v>
      </c>
      <c r="G107">
        <v>3.9326173999175498E-2</v>
      </c>
      <c r="H107">
        <v>3.9326173999175498E-2</v>
      </c>
      <c r="I107">
        <v>3.9326173999175498E-2</v>
      </c>
      <c r="J107">
        <v>3.9326173999175498E-2</v>
      </c>
      <c r="K107">
        <v>3.9326173999175498E-2</v>
      </c>
      <c r="L107">
        <v>4.18571810739383E-2</v>
      </c>
      <c r="M107">
        <v>4.4388188148701102E-2</v>
      </c>
      <c r="N107">
        <v>4.9450202298226803E-2</v>
      </c>
      <c r="O107">
        <v>4.9450202298226803E-2</v>
      </c>
      <c r="P107">
        <v>5.1981209372989702E-2</v>
      </c>
      <c r="Q107">
        <v>6.2113925339345698E-2</v>
      </c>
      <c r="R107">
        <v>7.2200307080076798E-2</v>
      </c>
      <c r="S107">
        <v>8.18378260100662E-2</v>
      </c>
      <c r="T107">
        <v>7.3465810617458202E-2</v>
      </c>
      <c r="U107">
        <v>5.6472733369508199E-2</v>
      </c>
      <c r="V107">
        <v>4.2989473712648003E-2</v>
      </c>
      <c r="W107">
        <v>3.3708149142150402E-2</v>
      </c>
      <c r="X107">
        <v>3.3708149142150402E-2</v>
      </c>
      <c r="Y107" t="s">
        <v>67</v>
      </c>
      <c r="Z107" t="s">
        <v>262</v>
      </c>
      <c r="AA107" t="s">
        <v>252</v>
      </c>
      <c r="AB107" s="10">
        <f>INDEX(shelf!$B$1:$B$6,MATCH(AA107,shelf!$A$1:$A$6,0))</f>
        <v>61</v>
      </c>
      <c r="AC107" s="10" cm="1">
        <f t="array" ref="AC107">SUMPRODUCT(A107:X107*AB107)</f>
        <v>68.698887567381448</v>
      </c>
    </row>
    <row r="108" spans="1:29" x14ac:dyDescent="0.25">
      <c r="A108">
        <v>0.99771488038202805</v>
      </c>
      <c r="B108">
        <v>0.99771488038202805</v>
      </c>
      <c r="C108">
        <v>0.99771488038202805</v>
      </c>
      <c r="D108">
        <v>0.99771488038202805</v>
      </c>
      <c r="E108">
        <v>0.99771488038202805</v>
      </c>
      <c r="F108">
        <v>0.99771488038202805</v>
      </c>
      <c r="G108">
        <v>0.99771488038202805</v>
      </c>
      <c r="H108">
        <v>0.99771488038202805</v>
      </c>
      <c r="I108">
        <v>0.99771488038202805</v>
      </c>
      <c r="J108">
        <v>0.99771488038202805</v>
      </c>
      <c r="K108">
        <v>0.99771488038202805</v>
      </c>
      <c r="L108">
        <v>0.99771488038202805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0.99771488038202805</v>
      </c>
      <c r="Y108" t="s">
        <v>67</v>
      </c>
      <c r="Z108" t="s">
        <v>262</v>
      </c>
      <c r="AA108" t="s">
        <v>253</v>
      </c>
      <c r="AB108" s="10">
        <f>INDEX(shelf!$B$1:$B$6,MATCH(AA108,shelf!$A$1:$A$6,0))</f>
        <v>0</v>
      </c>
      <c r="AC108" s="10" cm="1">
        <f t="array" ref="AC108">SUMPRODUCT(A108:X108*AB108)</f>
        <v>0</v>
      </c>
    </row>
    <row r="109" spans="1:29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67</v>
      </c>
      <c r="Z109" t="s">
        <v>262</v>
      </c>
      <c r="AA109" t="s">
        <v>254</v>
      </c>
      <c r="AB109" s="10">
        <f>INDEX(shelf!$B$1:$B$6,MATCH(AA109,shelf!$A$1:$A$6,0))</f>
        <v>0</v>
      </c>
      <c r="AC109" s="10" cm="1">
        <f t="array" ref="AC109">SUMPRODUCT(A109:X109*AB109)</f>
        <v>0</v>
      </c>
    </row>
    <row r="110" spans="1:29" x14ac:dyDescent="0.25">
      <c r="A110">
        <v>0.36208428692751399</v>
      </c>
      <c r="B110">
        <v>0.34588564317426901</v>
      </c>
      <c r="C110">
        <v>0.34200769159545202</v>
      </c>
      <c r="D110">
        <v>0.34294065257617901</v>
      </c>
      <c r="E110">
        <v>0.35641700093275902</v>
      </c>
      <c r="F110">
        <v>0.39575663500130498</v>
      </c>
      <c r="G110">
        <v>0.44543490524678703</v>
      </c>
      <c r="H110">
        <v>0.45473703770907098</v>
      </c>
      <c r="I110">
        <v>0.422806347491128</v>
      </c>
      <c r="J110">
        <v>0.39929339847740503</v>
      </c>
      <c r="K110">
        <v>0.39013317351677701</v>
      </c>
      <c r="L110">
        <v>0.38633626613569699</v>
      </c>
      <c r="M110">
        <v>0.37949854326329402</v>
      </c>
      <c r="N110">
        <v>0.36669829607253701</v>
      </c>
      <c r="O110">
        <v>0.35984383212729998</v>
      </c>
      <c r="P110">
        <v>0.37287621914114699</v>
      </c>
      <c r="Q110">
        <v>0.42882249362608199</v>
      </c>
      <c r="R110">
        <v>0.49098661325645998</v>
      </c>
      <c r="S110">
        <v>0.51392198380659604</v>
      </c>
      <c r="T110">
        <v>0.515859835127227</v>
      </c>
      <c r="U110">
        <v>0.509916397006</v>
      </c>
      <c r="V110">
        <v>0.48754723656301502</v>
      </c>
      <c r="W110">
        <v>0.44219992537283098</v>
      </c>
      <c r="X110">
        <v>0.395139157362489</v>
      </c>
      <c r="Y110" t="s">
        <v>68</v>
      </c>
      <c r="Z110" t="s">
        <v>262</v>
      </c>
      <c r="AA110" t="s">
        <v>222</v>
      </c>
      <c r="AB110" s="10">
        <f>INDEX(shelf!$B$1:$B$6,MATCH(AA110,shelf!$A$1:$A$6,0))</f>
        <v>120</v>
      </c>
      <c r="AC110" s="10" cm="1">
        <f t="array" ref="AC110">SUMPRODUCT(A110:X110*AB110)</f>
        <v>1188.8572285811183</v>
      </c>
    </row>
    <row r="111" spans="1:29" x14ac:dyDescent="0.25">
      <c r="A111">
        <v>0.191864214188812</v>
      </c>
      <c r="B111">
        <v>0.18024202209441401</v>
      </c>
      <c r="C111">
        <v>0.17701522610879999</v>
      </c>
      <c r="D111">
        <v>0.17766450377043999</v>
      </c>
      <c r="E111">
        <v>0.18235914373924</v>
      </c>
      <c r="F111">
        <v>0.199305214560208</v>
      </c>
      <c r="G111">
        <v>0.21357309732955099</v>
      </c>
      <c r="H111">
        <v>0.21064472642579199</v>
      </c>
      <c r="I111">
        <v>0.205401833497869</v>
      </c>
      <c r="J111">
        <v>0.204661052475751</v>
      </c>
      <c r="K111">
        <v>0.213490880569667</v>
      </c>
      <c r="L111">
        <v>0.22451754506801</v>
      </c>
      <c r="M111">
        <v>0.23416808650888599</v>
      </c>
      <c r="N111">
        <v>0.23940079394824099</v>
      </c>
      <c r="O111">
        <v>0.24596735953409701</v>
      </c>
      <c r="P111">
        <v>0.253688389273593</v>
      </c>
      <c r="Q111">
        <v>0.276847585219332</v>
      </c>
      <c r="R111">
        <v>0.31680912151666801</v>
      </c>
      <c r="S111">
        <v>0.33577841167891997</v>
      </c>
      <c r="T111">
        <v>0.35077339748713898</v>
      </c>
      <c r="U111">
        <v>0.349968337386802</v>
      </c>
      <c r="V111">
        <v>0.335057222979387</v>
      </c>
      <c r="W111">
        <v>0.27795598279567302</v>
      </c>
      <c r="X111">
        <v>0.22105077462043199</v>
      </c>
      <c r="Y111" t="s">
        <v>68</v>
      </c>
      <c r="Z111" t="s">
        <v>262</v>
      </c>
      <c r="AA111" t="s">
        <v>250</v>
      </c>
      <c r="AB111" s="10">
        <f>INDEX(shelf!$B$1:$B$6,MATCH(AA111,shelf!$A$1:$A$6,0))</f>
        <v>92</v>
      </c>
      <c r="AC111" s="10" cm="1">
        <f t="array" ref="AC111">SUMPRODUCT(A111:X111*AB111)</f>
        <v>535.27485289555057</v>
      </c>
    </row>
    <row r="112" spans="1:29" x14ac:dyDescent="0.25">
      <c r="A112">
        <v>0.45993324596645002</v>
      </c>
      <c r="B112">
        <v>0.426952008401489</v>
      </c>
      <c r="C112">
        <v>0.40785329120382602</v>
      </c>
      <c r="D112">
        <v>0.40064788760005998</v>
      </c>
      <c r="E112">
        <v>0.40405375024353202</v>
      </c>
      <c r="F112">
        <v>0.41419009354768599</v>
      </c>
      <c r="G112">
        <v>0.41492585418274502</v>
      </c>
      <c r="H112">
        <v>0.42950920102506301</v>
      </c>
      <c r="I112">
        <v>0.45211937042443801</v>
      </c>
      <c r="J112">
        <v>0.474975404867994</v>
      </c>
      <c r="K112">
        <v>0.52203179109067099</v>
      </c>
      <c r="L112">
        <v>0.57081615285570697</v>
      </c>
      <c r="M112">
        <v>0.61010228582806403</v>
      </c>
      <c r="N112">
        <v>0.63482512428705296</v>
      </c>
      <c r="O112">
        <v>0.64930454654409797</v>
      </c>
      <c r="P112">
        <v>0.65992374411709698</v>
      </c>
      <c r="Q112">
        <v>0.66810149193262802</v>
      </c>
      <c r="R112">
        <v>0.67612660108114098</v>
      </c>
      <c r="S112">
        <v>0.68900899337871702</v>
      </c>
      <c r="T112">
        <v>0.69893277715244395</v>
      </c>
      <c r="U112">
        <v>0.69487876777857305</v>
      </c>
      <c r="V112">
        <v>0.67193494990583702</v>
      </c>
      <c r="W112">
        <v>0.60186798947618403</v>
      </c>
      <c r="X112">
        <v>0.51676236961543698</v>
      </c>
      <c r="Y112" t="s">
        <v>68</v>
      </c>
      <c r="Z112" t="s">
        <v>262</v>
      </c>
      <c r="AA112" t="s">
        <v>251</v>
      </c>
      <c r="AB112" s="10">
        <f>INDEX(shelf!$B$1:$B$6,MATCH(AA112,shelf!$A$1:$A$6,0))</f>
        <v>92</v>
      </c>
      <c r="AC112" s="10" cm="1">
        <f t="array" ref="AC112">SUMPRODUCT(A112:X112*AB112)</f>
        <v>1209.7795477106381</v>
      </c>
    </row>
    <row r="113" spans="1:29" x14ac:dyDescent="0.25">
      <c r="A113">
        <v>0.29718971787807402</v>
      </c>
      <c r="B113">
        <v>0.28464093653613798</v>
      </c>
      <c r="C113">
        <v>0.28068006500554998</v>
      </c>
      <c r="D113">
        <v>0.28023727787688302</v>
      </c>
      <c r="E113">
        <v>0.28441317031879598</v>
      </c>
      <c r="F113">
        <v>0.308426863889397</v>
      </c>
      <c r="G113">
        <v>0.33730249449385002</v>
      </c>
      <c r="H113">
        <v>0.32794646411923001</v>
      </c>
      <c r="I113">
        <v>0.32421860026990801</v>
      </c>
      <c r="J113">
        <v>0.32747613124111002</v>
      </c>
      <c r="K113">
        <v>0.33749322506247598</v>
      </c>
      <c r="L113">
        <v>0.35770366232655298</v>
      </c>
      <c r="M113">
        <v>0.37943133501355503</v>
      </c>
      <c r="N113">
        <v>0.39505991247998701</v>
      </c>
      <c r="O113">
        <v>0.402662487518817</v>
      </c>
      <c r="P113">
        <v>0.41976062640105</v>
      </c>
      <c r="Q113">
        <v>0.459992816862965</v>
      </c>
      <c r="R113">
        <v>0.48958457650797799</v>
      </c>
      <c r="S113">
        <v>0.50422702477902503</v>
      </c>
      <c r="T113">
        <v>0.50402550042142802</v>
      </c>
      <c r="U113">
        <v>0.49327265013363802</v>
      </c>
      <c r="V113">
        <v>0.44870681384524602</v>
      </c>
      <c r="W113">
        <v>0.38129694213426402</v>
      </c>
      <c r="X113">
        <v>0.32245771017227598</v>
      </c>
      <c r="Y113" t="s">
        <v>68</v>
      </c>
      <c r="Z113" t="s">
        <v>262</v>
      </c>
      <c r="AA113" t="s">
        <v>252</v>
      </c>
      <c r="AB113" s="10">
        <f>INDEX(shelf!$B$1:$B$6,MATCH(AA113,shelf!$A$1:$A$6,0))</f>
        <v>61</v>
      </c>
      <c r="AC113" s="10" cm="1">
        <f t="array" ref="AC113">SUMPRODUCT(A113:X113*AB113)</f>
        <v>545.84062732257985</v>
      </c>
    </row>
    <row r="114" spans="1:29" x14ac:dyDescent="0.25">
      <c r="A114">
        <v>0.59705627815079498</v>
      </c>
      <c r="B114">
        <v>0.52923995552233505</v>
      </c>
      <c r="C114">
        <v>0.48299087533665003</v>
      </c>
      <c r="D114">
        <v>0.458716731955705</v>
      </c>
      <c r="E114">
        <v>0.45600561712232002</v>
      </c>
      <c r="F114">
        <v>0.45930720402258401</v>
      </c>
      <c r="G114">
        <v>0.45212619984081998</v>
      </c>
      <c r="H114">
        <v>0.50901483870525899</v>
      </c>
      <c r="I114">
        <v>0.55926501239675297</v>
      </c>
      <c r="J114">
        <v>0.62426171239006301</v>
      </c>
      <c r="K114">
        <v>0.67257244080925704</v>
      </c>
      <c r="L114">
        <v>0.71066763375561803</v>
      </c>
      <c r="M114">
        <v>0.729146617743343</v>
      </c>
      <c r="N114">
        <v>0.73937953553393398</v>
      </c>
      <c r="O114">
        <v>0.74432875546291999</v>
      </c>
      <c r="P114">
        <v>0.74642990896406103</v>
      </c>
      <c r="Q114">
        <v>0.748149704948324</v>
      </c>
      <c r="R114">
        <v>0.75305204529305203</v>
      </c>
      <c r="S114">
        <v>0.76069394426386105</v>
      </c>
      <c r="T114">
        <v>0.76378799682483001</v>
      </c>
      <c r="U114">
        <v>0.76995029183857999</v>
      </c>
      <c r="V114">
        <v>0.76877145465242902</v>
      </c>
      <c r="W114">
        <v>0.76000760608086104</v>
      </c>
      <c r="X114">
        <v>0.70072073410268498</v>
      </c>
      <c r="Y114" t="s">
        <v>68</v>
      </c>
      <c r="Z114" t="s">
        <v>262</v>
      </c>
      <c r="AA114" t="s">
        <v>253</v>
      </c>
      <c r="AB114" s="10">
        <f>INDEX(shelf!$B$1:$B$6,MATCH(AA114,shelf!$A$1:$A$6,0))</f>
        <v>0</v>
      </c>
      <c r="AC114" s="10" cm="1">
        <f t="array" ref="AC114">SUMPRODUCT(A114:X114*AB114)</f>
        <v>0</v>
      </c>
    </row>
    <row r="115" spans="1:29" x14ac:dyDescent="0.25">
      <c r="A115">
        <v>0.51453662164646297</v>
      </c>
      <c r="B115">
        <v>0.49710742430395599</v>
      </c>
      <c r="C115">
        <v>0.48204274891347298</v>
      </c>
      <c r="D115">
        <v>0.48072590665906001</v>
      </c>
      <c r="E115">
        <v>0.49895574409225002</v>
      </c>
      <c r="F115">
        <v>0.54310683119820502</v>
      </c>
      <c r="G115">
        <v>0.60579484335107903</v>
      </c>
      <c r="H115">
        <v>0.62303494214585198</v>
      </c>
      <c r="I115">
        <v>0.54853485497089505</v>
      </c>
      <c r="J115">
        <v>0.51210362389720998</v>
      </c>
      <c r="K115">
        <v>0.50275878452299405</v>
      </c>
      <c r="L115">
        <v>0.49832049938872103</v>
      </c>
      <c r="M115">
        <v>0.48439778960126501</v>
      </c>
      <c r="N115">
        <v>0.45659029508327897</v>
      </c>
      <c r="O115">
        <v>0.44245320337680399</v>
      </c>
      <c r="P115">
        <v>0.469816658686602</v>
      </c>
      <c r="Q115">
        <v>0.570217979532057</v>
      </c>
      <c r="R115">
        <v>0.58174403641648198</v>
      </c>
      <c r="S115">
        <v>0.62318874932116697</v>
      </c>
      <c r="T115">
        <v>0.62270573158224896</v>
      </c>
      <c r="U115">
        <v>0.62518929607407103</v>
      </c>
      <c r="V115">
        <v>0.61189287646281398</v>
      </c>
      <c r="W115">
        <v>0.589704611212859</v>
      </c>
      <c r="X115">
        <v>0.54610817806446299</v>
      </c>
      <c r="Y115" t="s">
        <v>68</v>
      </c>
      <c r="Z115" t="s">
        <v>262</v>
      </c>
      <c r="AA115" t="s">
        <v>254</v>
      </c>
      <c r="AB115" s="10">
        <f>INDEX(shelf!$B$1:$B$6,MATCH(AA115,shelf!$A$1:$A$6,0))</f>
        <v>0</v>
      </c>
      <c r="AC115" s="10" cm="1">
        <f t="array" ref="AC115">SUMPRODUCT(A115:X115*AB115)</f>
        <v>0</v>
      </c>
    </row>
    <row r="116" spans="1:29" x14ac:dyDescent="0.25">
      <c r="A116">
        <v>0.49467822281080298</v>
      </c>
      <c r="B116">
        <v>0.454360249619229</v>
      </c>
      <c r="C116">
        <v>0.44355202569365498</v>
      </c>
      <c r="D116">
        <v>0.44608634115620099</v>
      </c>
      <c r="E116">
        <v>0.47803846012612899</v>
      </c>
      <c r="F116">
        <v>0.555309675668895</v>
      </c>
      <c r="G116">
        <v>0.60395357926587401</v>
      </c>
      <c r="H116">
        <v>0.60390881619917802</v>
      </c>
      <c r="I116">
        <v>0.58612469176349102</v>
      </c>
      <c r="J116">
        <v>0.58206129413887098</v>
      </c>
      <c r="K116">
        <v>0.591033869386137</v>
      </c>
      <c r="L116">
        <v>0.59339881108280701</v>
      </c>
      <c r="M116">
        <v>0.58724255861827102</v>
      </c>
      <c r="N116">
        <v>0.56481106000947701</v>
      </c>
      <c r="O116">
        <v>0.55327065749027504</v>
      </c>
      <c r="P116">
        <v>0.58004731908134799</v>
      </c>
      <c r="Q116">
        <v>0.62595704617204695</v>
      </c>
      <c r="R116">
        <v>0.63954941186483405</v>
      </c>
      <c r="S116">
        <v>0.64113608110730502</v>
      </c>
      <c r="T116">
        <v>0.64061017556426103</v>
      </c>
      <c r="U116">
        <v>0.64037341523581903</v>
      </c>
      <c r="V116">
        <v>0.63671094951128004</v>
      </c>
      <c r="W116">
        <v>0.62442348770330403</v>
      </c>
      <c r="X116">
        <v>0.57435515073531096</v>
      </c>
      <c r="Y116" t="s">
        <v>69</v>
      </c>
      <c r="Z116" t="s">
        <v>262</v>
      </c>
      <c r="AA116" t="s">
        <v>222</v>
      </c>
      <c r="AB116" s="10">
        <f>INDEX(shelf!$B$1:$B$6,MATCH(AA116,shelf!$A$1:$A$6,0))</f>
        <v>120</v>
      </c>
      <c r="AC116" s="10" cm="1">
        <f t="array" ref="AC116">SUMPRODUCT(A116:X116*AB116)</f>
        <v>1648.9192020005764</v>
      </c>
    </row>
    <row r="117" spans="1:29" x14ac:dyDescent="0.25">
      <c r="A117">
        <v>0.28337667683482798</v>
      </c>
      <c r="B117">
        <v>0.27354377359285997</v>
      </c>
      <c r="C117">
        <v>0.270808387273968</v>
      </c>
      <c r="D117">
        <v>0.27272775498512303</v>
      </c>
      <c r="E117">
        <v>0.28025747746433499</v>
      </c>
      <c r="F117">
        <v>0.32269195733241801</v>
      </c>
      <c r="G117">
        <v>0.35934307922872899</v>
      </c>
      <c r="H117">
        <v>0.35152617748041198</v>
      </c>
      <c r="I117">
        <v>0.35095257507508498</v>
      </c>
      <c r="J117">
        <v>0.37289419031139798</v>
      </c>
      <c r="K117">
        <v>0.40644849437056402</v>
      </c>
      <c r="L117">
        <v>0.43153093437783502</v>
      </c>
      <c r="M117">
        <v>0.44924213735825003</v>
      </c>
      <c r="N117">
        <v>0.44996424426187198</v>
      </c>
      <c r="O117">
        <v>0.45517732681300299</v>
      </c>
      <c r="P117">
        <v>0.46684128144534798</v>
      </c>
      <c r="Q117">
        <v>0.51947629636329495</v>
      </c>
      <c r="R117">
        <v>0.59735722721789897</v>
      </c>
      <c r="S117">
        <v>0.61615816890983099</v>
      </c>
      <c r="T117">
        <v>0.61912795642257001</v>
      </c>
      <c r="U117">
        <v>0.61887404700033299</v>
      </c>
      <c r="V117">
        <v>0.60516913848918497</v>
      </c>
      <c r="W117">
        <v>0.51481594694990995</v>
      </c>
      <c r="X117">
        <v>0.35191210770408599</v>
      </c>
      <c r="Y117" t="s">
        <v>69</v>
      </c>
      <c r="Z117" t="s">
        <v>262</v>
      </c>
      <c r="AA117" t="s">
        <v>250</v>
      </c>
      <c r="AB117" s="10">
        <f>INDEX(shelf!$B$1:$B$6,MATCH(AA117,shelf!$A$1:$A$6,0))</f>
        <v>92</v>
      </c>
      <c r="AC117" s="10" cm="1">
        <f t="array" ref="AC117">SUMPRODUCT(A117:X117*AB117)</f>
        <v>942.09999686820856</v>
      </c>
    </row>
    <row r="118" spans="1:29" x14ac:dyDescent="0.25">
      <c r="A118">
        <v>0.53625302165581401</v>
      </c>
      <c r="B118">
        <v>0.49696602574277199</v>
      </c>
      <c r="C118">
        <v>0.46058633469275301</v>
      </c>
      <c r="D118">
        <v>0.43985507613786601</v>
      </c>
      <c r="E118">
        <v>0.44513731964339698</v>
      </c>
      <c r="F118">
        <v>0.467489504605964</v>
      </c>
      <c r="G118">
        <v>0.46060488515282499</v>
      </c>
      <c r="H118">
        <v>0.49474093004067499</v>
      </c>
      <c r="I118">
        <v>0.56583348933612898</v>
      </c>
      <c r="J118">
        <v>0.602838778660303</v>
      </c>
      <c r="K118">
        <v>0.63036478288763398</v>
      </c>
      <c r="L118">
        <v>0.64344957378435297</v>
      </c>
      <c r="M118">
        <v>0.64807167677973199</v>
      </c>
      <c r="N118">
        <v>0.65036201892759904</v>
      </c>
      <c r="O118">
        <v>0.651361824758381</v>
      </c>
      <c r="P118">
        <v>0.65382104006000896</v>
      </c>
      <c r="Q118">
        <v>0.65536008857495598</v>
      </c>
      <c r="R118">
        <v>0.65697381868346905</v>
      </c>
      <c r="S118">
        <v>0.659341720944569</v>
      </c>
      <c r="T118">
        <v>0.657998571684694</v>
      </c>
      <c r="U118">
        <v>0.65763571828897305</v>
      </c>
      <c r="V118">
        <v>0.65695590789443403</v>
      </c>
      <c r="W118">
        <v>0.65401006285143304</v>
      </c>
      <c r="X118">
        <v>0.61515708373697398</v>
      </c>
      <c r="Y118" t="s">
        <v>69</v>
      </c>
      <c r="Z118" t="s">
        <v>262</v>
      </c>
      <c r="AA118" t="s">
        <v>251</v>
      </c>
      <c r="AB118" s="10">
        <f>INDEX(shelf!$B$1:$B$6,MATCH(AA118,shelf!$A$1:$A$6,0))</f>
        <v>92</v>
      </c>
      <c r="AC118" s="10" cm="1">
        <f t="array" ref="AC118">SUMPRODUCT(A118:X118*AB118)</f>
        <v>1293.6275715083652</v>
      </c>
    </row>
    <row r="119" spans="1:29" x14ac:dyDescent="0.25">
      <c r="A119">
        <v>0.32114085112670698</v>
      </c>
      <c r="B119">
        <v>0.29325289533495402</v>
      </c>
      <c r="C119">
        <v>0.28452155870610002</v>
      </c>
      <c r="D119">
        <v>0.28224076443494001</v>
      </c>
      <c r="E119">
        <v>0.28899123123929199</v>
      </c>
      <c r="F119">
        <v>0.35858214180264097</v>
      </c>
      <c r="G119">
        <v>0.45787766079472197</v>
      </c>
      <c r="H119">
        <v>0.43002802234672399</v>
      </c>
      <c r="I119">
        <v>0.43262493470386598</v>
      </c>
      <c r="J119">
        <v>0.49173970102092401</v>
      </c>
      <c r="K119">
        <v>0.53138925671019399</v>
      </c>
      <c r="L119">
        <v>0.55026146082747995</v>
      </c>
      <c r="M119">
        <v>0.56070156852428699</v>
      </c>
      <c r="N119">
        <v>0.56235331973546099</v>
      </c>
      <c r="O119">
        <v>0.56406688047138298</v>
      </c>
      <c r="P119">
        <v>0.58663032203711396</v>
      </c>
      <c r="Q119">
        <v>0.63839021106796201</v>
      </c>
      <c r="R119">
        <v>0.64648999576313204</v>
      </c>
      <c r="S119">
        <v>0.64644460795713599</v>
      </c>
      <c r="T119">
        <v>0.64637823684384499</v>
      </c>
      <c r="U119">
        <v>0.64644688875140699</v>
      </c>
      <c r="V119">
        <v>0.63553944630843895</v>
      </c>
      <c r="W119">
        <v>0.543540416269225</v>
      </c>
      <c r="X119">
        <v>0.38348020438433</v>
      </c>
      <c r="Y119" t="s">
        <v>69</v>
      </c>
      <c r="Z119" t="s">
        <v>262</v>
      </c>
      <c r="AA119" t="s">
        <v>252</v>
      </c>
      <c r="AB119" s="10">
        <f>INDEX(shelf!$B$1:$B$6,MATCH(AA119,shelf!$A$1:$A$6,0))</f>
        <v>61</v>
      </c>
      <c r="AC119" s="10" cm="1">
        <f t="array" ref="AC119">SUMPRODUCT(A119:X119*AB119)</f>
        <v>718.7698672068982</v>
      </c>
    </row>
    <row r="120" spans="1:29" x14ac:dyDescent="0.25">
      <c r="A120">
        <v>0.53162372236126898</v>
      </c>
      <c r="B120">
        <v>0.35426277361191799</v>
      </c>
      <c r="C120">
        <v>0.26264668893083198</v>
      </c>
      <c r="D120">
        <v>0.26264668893083198</v>
      </c>
      <c r="E120">
        <v>0.26264668893083198</v>
      </c>
      <c r="F120">
        <v>0.26264668893083198</v>
      </c>
      <c r="G120">
        <v>0.26264668893083198</v>
      </c>
      <c r="H120">
        <v>0.50870926655720705</v>
      </c>
      <c r="I120">
        <v>0.58417253813051195</v>
      </c>
      <c r="J120">
        <v>0.64979942825058501</v>
      </c>
      <c r="K120">
        <v>0.64979942825058501</v>
      </c>
      <c r="L120">
        <v>0.65661672232708101</v>
      </c>
      <c r="M120">
        <v>0.65661672232708101</v>
      </c>
      <c r="N120">
        <v>0.65661672232708101</v>
      </c>
      <c r="O120">
        <v>0.66351749347390299</v>
      </c>
      <c r="P120">
        <v>0.66351749347390299</v>
      </c>
      <c r="Q120">
        <v>0.66351749347390299</v>
      </c>
      <c r="R120">
        <v>0.66351749347390299</v>
      </c>
      <c r="S120">
        <v>0.66351749347390299</v>
      </c>
      <c r="T120">
        <v>0.66351749347390299</v>
      </c>
      <c r="U120">
        <v>0.66351749347390299</v>
      </c>
      <c r="V120">
        <v>0.66351749347390299</v>
      </c>
      <c r="W120">
        <v>0.66351749347390299</v>
      </c>
      <c r="X120">
        <v>0.65668628655235195</v>
      </c>
      <c r="Y120" t="s">
        <v>69</v>
      </c>
      <c r="Z120" t="s">
        <v>262</v>
      </c>
      <c r="AA120" t="s">
        <v>253</v>
      </c>
      <c r="AB120" s="10">
        <f>INDEX(shelf!$B$1:$B$6,MATCH(AA120,shelf!$A$1:$A$6,0))</f>
        <v>0</v>
      </c>
      <c r="AC120" s="10" cm="1">
        <f t="array" ref="AC120">SUMPRODUCT(A120:X120*AB120)</f>
        <v>0</v>
      </c>
    </row>
    <row r="121" spans="1:29" x14ac:dyDescent="0.25">
      <c r="A121">
        <v>0.43543031165739299</v>
      </c>
      <c r="B121">
        <v>0.39246744613040901</v>
      </c>
      <c r="C121">
        <v>0.39246744613040901</v>
      </c>
      <c r="D121">
        <v>0.36493392576839401</v>
      </c>
      <c r="E121">
        <v>0.41404626880927897</v>
      </c>
      <c r="F121">
        <v>0.60957739319925297</v>
      </c>
      <c r="G121">
        <v>0.645236015072848</v>
      </c>
      <c r="H121">
        <v>0.645236015072848</v>
      </c>
      <c r="I121">
        <v>0.64097868448630102</v>
      </c>
      <c r="J121">
        <v>0.645236015072848</v>
      </c>
      <c r="K121">
        <v>0.645236015072848</v>
      </c>
      <c r="L121">
        <v>0.645236015072848</v>
      </c>
      <c r="M121">
        <v>0.645236015072848</v>
      </c>
      <c r="N121">
        <v>0.64282909287849299</v>
      </c>
      <c r="O121">
        <v>0.62130592157983799</v>
      </c>
      <c r="P121">
        <v>0.645236015072848</v>
      </c>
      <c r="Q121">
        <v>0.645236015072848</v>
      </c>
      <c r="R121">
        <v>0.645236015072848</v>
      </c>
      <c r="S121">
        <v>0.645236015072848</v>
      </c>
      <c r="T121">
        <v>0.645236015072848</v>
      </c>
      <c r="U121">
        <v>0.645236015072848</v>
      </c>
      <c r="V121">
        <v>0.645236015072848</v>
      </c>
      <c r="W121">
        <v>0.645236015072848</v>
      </c>
      <c r="X121">
        <v>0.61675642124715602</v>
      </c>
      <c r="Y121" t="s">
        <v>69</v>
      </c>
      <c r="Z121" t="s">
        <v>262</v>
      </c>
      <c r="AA121" t="s">
        <v>254</v>
      </c>
      <c r="AB121" s="10">
        <f>INDEX(shelf!$B$1:$B$6,MATCH(AA121,shelf!$A$1:$A$6,0))</f>
        <v>0</v>
      </c>
      <c r="AC121" s="10" cm="1">
        <f t="array" ref="AC121">SUMPRODUCT(A121:X121*AB121)</f>
        <v>0</v>
      </c>
    </row>
    <row r="122" spans="1:29" x14ac:dyDescent="0.25">
      <c r="A122">
        <v>0.43997695230305001</v>
      </c>
      <c r="B122">
        <v>0.43279817915483199</v>
      </c>
      <c r="C122">
        <v>0.42859757688104</v>
      </c>
      <c r="D122">
        <v>0.43192716086792199</v>
      </c>
      <c r="E122">
        <v>0.44449073217454599</v>
      </c>
      <c r="F122">
        <v>0.46351367431426799</v>
      </c>
      <c r="G122">
        <v>0.50231498627822202</v>
      </c>
      <c r="H122">
        <v>0.52232365324910801</v>
      </c>
      <c r="I122">
        <v>0.51414280019405101</v>
      </c>
      <c r="J122">
        <v>0.53095338682705595</v>
      </c>
      <c r="K122">
        <v>0.54881202439041499</v>
      </c>
      <c r="L122">
        <v>0.55102902120239095</v>
      </c>
      <c r="M122">
        <v>0.54719176682600601</v>
      </c>
      <c r="N122">
        <v>0.54093462429347305</v>
      </c>
      <c r="O122">
        <v>0.53643454732321705</v>
      </c>
      <c r="P122">
        <v>0.53967263129213905</v>
      </c>
      <c r="Q122">
        <v>0.54747842267937297</v>
      </c>
      <c r="R122">
        <v>0.52141329437476602</v>
      </c>
      <c r="S122">
        <v>0.52480719359166295</v>
      </c>
      <c r="T122">
        <v>0.53164759348505697</v>
      </c>
      <c r="U122">
        <v>0.52194395027602702</v>
      </c>
      <c r="V122">
        <v>0.50042818518323295</v>
      </c>
      <c r="W122">
        <v>0.46875105577707099</v>
      </c>
      <c r="X122">
        <v>0.44612933394545501</v>
      </c>
      <c r="Y122" t="s">
        <v>70</v>
      </c>
      <c r="Z122" t="s">
        <v>262</v>
      </c>
      <c r="AA122" t="s">
        <v>222</v>
      </c>
      <c r="AB122" s="10">
        <f>INDEX(shelf!$B$1:$B$6,MATCH(AA122,shelf!$A$1:$A$6,0))</f>
        <v>120</v>
      </c>
      <c r="AC122" s="10" cm="1">
        <f t="array" ref="AC122">SUMPRODUCT(A122:X122*AB122)</f>
        <v>1444.5255296261257</v>
      </c>
    </row>
    <row r="123" spans="1:29" x14ac:dyDescent="0.25">
      <c r="A123">
        <v>0.21916464446808001</v>
      </c>
      <c r="B123">
        <v>0.21425425401148901</v>
      </c>
      <c r="C123">
        <v>0.21639671367115201</v>
      </c>
      <c r="D123">
        <v>0.22726206453574499</v>
      </c>
      <c r="E123">
        <v>0.26283684054029099</v>
      </c>
      <c r="F123">
        <v>0.285089689111097</v>
      </c>
      <c r="G123">
        <v>0.309343548038441</v>
      </c>
      <c r="H123">
        <v>0.32946084365383799</v>
      </c>
      <c r="I123">
        <v>0.341502544387012</v>
      </c>
      <c r="J123">
        <v>0.358975401077547</v>
      </c>
      <c r="K123">
        <v>0.36971366858386201</v>
      </c>
      <c r="L123">
        <v>0.367837531440242</v>
      </c>
      <c r="M123">
        <v>0.36350537026381502</v>
      </c>
      <c r="N123">
        <v>0.36448777987693798</v>
      </c>
      <c r="O123">
        <v>0.36657443336622703</v>
      </c>
      <c r="P123">
        <v>0.37446879632881802</v>
      </c>
      <c r="Q123">
        <v>0.38839271210535697</v>
      </c>
      <c r="R123">
        <v>0.39526433030198099</v>
      </c>
      <c r="S123">
        <v>0.42489105260277898</v>
      </c>
      <c r="T123">
        <v>0.42299170893286397</v>
      </c>
      <c r="U123">
        <v>0.40201052274934801</v>
      </c>
      <c r="V123">
        <v>0.34988424440178201</v>
      </c>
      <c r="W123">
        <v>0.28641135603718798</v>
      </c>
      <c r="X123">
        <v>0.24228829031126001</v>
      </c>
      <c r="Y123" t="s">
        <v>70</v>
      </c>
      <c r="Z123" t="s">
        <v>262</v>
      </c>
      <c r="AA123" t="s">
        <v>250</v>
      </c>
      <c r="AB123" s="10">
        <f>INDEX(shelf!$B$1:$B$6,MATCH(AA123,shelf!$A$1:$A$6,0))</f>
        <v>92</v>
      </c>
      <c r="AC123" s="10" cm="1">
        <f t="array" ref="AC123">SUMPRODUCT(A123:X123*AB123)</f>
        <v>725.236767353338</v>
      </c>
    </row>
    <row r="124" spans="1:29" x14ac:dyDescent="0.25">
      <c r="A124">
        <v>0.457313993020733</v>
      </c>
      <c r="B124">
        <v>0.438193352294452</v>
      </c>
      <c r="C124">
        <v>0.429335788295306</v>
      </c>
      <c r="D124">
        <v>0.43723423812151802</v>
      </c>
      <c r="E124">
        <v>0.454894734883033</v>
      </c>
      <c r="F124">
        <v>0.47567038072343898</v>
      </c>
      <c r="G124">
        <v>0.522350289311308</v>
      </c>
      <c r="H124">
        <v>0.56550049414121295</v>
      </c>
      <c r="I124">
        <v>0.57506855636411103</v>
      </c>
      <c r="J124">
        <v>0.58469329484334398</v>
      </c>
      <c r="K124">
        <v>0.58842750055715698</v>
      </c>
      <c r="L124">
        <v>0.58796386540868095</v>
      </c>
      <c r="M124">
        <v>0.58979532649613897</v>
      </c>
      <c r="N124">
        <v>0.58728988539133098</v>
      </c>
      <c r="O124">
        <v>0.58478006210175504</v>
      </c>
      <c r="P124">
        <v>0.58484170483416098</v>
      </c>
      <c r="Q124">
        <v>0.58632434401406996</v>
      </c>
      <c r="R124">
        <v>0.57961317411438995</v>
      </c>
      <c r="S124">
        <v>0.60783561260423202</v>
      </c>
      <c r="T124">
        <v>0.60465882079293598</v>
      </c>
      <c r="U124">
        <v>0.59169281250077199</v>
      </c>
      <c r="V124">
        <v>0.56435645177106097</v>
      </c>
      <c r="W124">
        <v>0.51846650502407399</v>
      </c>
      <c r="X124">
        <v>0.480119466845772</v>
      </c>
      <c r="Y124" t="s">
        <v>70</v>
      </c>
      <c r="Z124" t="s">
        <v>262</v>
      </c>
      <c r="AA124" t="s">
        <v>251</v>
      </c>
      <c r="AB124" s="10">
        <f>INDEX(shelf!$B$1:$B$6,MATCH(AA124,shelf!$A$1:$A$6,0))</f>
        <v>92</v>
      </c>
      <c r="AC124" s="10" cm="1">
        <f t="array" ref="AC124">SUMPRODUCT(A124:X124*AB124)</f>
        <v>1195.670700209859</v>
      </c>
    </row>
    <row r="125" spans="1:29" x14ac:dyDescent="0.25">
      <c r="A125">
        <v>0.30721172696782201</v>
      </c>
      <c r="B125">
        <v>0.304885893177961</v>
      </c>
      <c r="C125">
        <v>0.30614964342601703</v>
      </c>
      <c r="D125">
        <v>0.32830006444048698</v>
      </c>
      <c r="E125">
        <v>0.37929257444956799</v>
      </c>
      <c r="F125">
        <v>0.417315915246326</v>
      </c>
      <c r="G125">
        <v>0.42492800007379999</v>
      </c>
      <c r="H125">
        <v>0.44400717048542798</v>
      </c>
      <c r="I125">
        <v>0.48948551274549201</v>
      </c>
      <c r="J125">
        <v>0.506513849421239</v>
      </c>
      <c r="K125">
        <v>0.50702301618784695</v>
      </c>
      <c r="L125">
        <v>0.50444218234793403</v>
      </c>
      <c r="M125">
        <v>0.50691718283373999</v>
      </c>
      <c r="N125">
        <v>0.50030426486905499</v>
      </c>
      <c r="O125">
        <v>0.49633134742256302</v>
      </c>
      <c r="P125">
        <v>0.49439968037673798</v>
      </c>
      <c r="Q125">
        <v>0.51038010018012703</v>
      </c>
      <c r="R125">
        <v>0.52671677005344197</v>
      </c>
      <c r="S125">
        <v>0.53288302126378695</v>
      </c>
      <c r="T125">
        <v>0.50880759987146795</v>
      </c>
      <c r="U125">
        <v>0.46669717493914298</v>
      </c>
      <c r="V125">
        <v>0.42357174980758799</v>
      </c>
      <c r="W125">
        <v>0.38959174313781098</v>
      </c>
      <c r="X125">
        <v>0.33972465001629798</v>
      </c>
      <c r="Y125" t="s">
        <v>70</v>
      </c>
      <c r="Z125" t="s">
        <v>262</v>
      </c>
      <c r="AA125" t="s">
        <v>252</v>
      </c>
      <c r="AB125" s="10">
        <f>INDEX(shelf!$B$1:$B$6,MATCH(AA125,shelf!$A$1:$A$6,0))</f>
        <v>61</v>
      </c>
      <c r="AC125" s="10" cm="1">
        <f t="array" ref="AC125">SUMPRODUCT(A125:X125*AB125)</f>
        <v>647.56873085824247</v>
      </c>
    </row>
    <row r="126" spans="1:29" x14ac:dyDescent="0.25">
      <c r="A126">
        <v>0.24366963116210699</v>
      </c>
      <c r="B126">
        <v>0.24366963116210699</v>
      </c>
      <c r="C126">
        <v>0.24366963116210699</v>
      </c>
      <c r="D126">
        <v>0.24366963116210699</v>
      </c>
      <c r="E126">
        <v>0.24366963116210699</v>
      </c>
      <c r="F126">
        <v>0.24366963116210699</v>
      </c>
      <c r="G126">
        <v>0.24402546456528501</v>
      </c>
      <c r="H126">
        <v>0.40603132969799299</v>
      </c>
      <c r="I126">
        <v>0.28258255546680999</v>
      </c>
      <c r="J126">
        <v>0.276202970881258</v>
      </c>
      <c r="K126">
        <v>0.35779048689568999</v>
      </c>
      <c r="L126">
        <v>0.50121676504816504</v>
      </c>
      <c r="M126">
        <v>0.57093469539943897</v>
      </c>
      <c r="N126">
        <v>0.57093469539943897</v>
      </c>
      <c r="O126">
        <v>0.57037552862301599</v>
      </c>
      <c r="P126">
        <v>0.60918678624109601</v>
      </c>
      <c r="Q126">
        <v>0.60918678624109601</v>
      </c>
      <c r="R126">
        <v>0.60918678624109601</v>
      </c>
      <c r="S126">
        <v>0.60918678624109601</v>
      </c>
      <c r="T126">
        <v>0.60918678624109601</v>
      </c>
      <c r="U126">
        <v>0.60918678624109601</v>
      </c>
      <c r="V126">
        <v>0.51794093499754101</v>
      </c>
      <c r="W126">
        <v>0.32116506303998998</v>
      </c>
      <c r="X126">
        <v>0.24366963116210699</v>
      </c>
      <c r="Y126" t="s">
        <v>70</v>
      </c>
      <c r="Z126" t="s">
        <v>262</v>
      </c>
      <c r="AA126" t="s">
        <v>253</v>
      </c>
      <c r="AB126" s="10">
        <f>INDEX(shelf!$B$1:$B$6,MATCH(AA126,shelf!$A$1:$A$6,0))</f>
        <v>0</v>
      </c>
      <c r="AC126" s="10" cm="1">
        <f t="array" ref="AC126">SUMPRODUCT(A126:X126*AB126)</f>
        <v>0</v>
      </c>
    </row>
    <row r="127" spans="1:29" x14ac:dyDescent="0.25">
      <c r="A127">
        <v>0.13409835965487399</v>
      </c>
      <c r="B127">
        <v>0.13409835965487399</v>
      </c>
      <c r="C127">
        <v>0.13409835965487399</v>
      </c>
      <c r="D127">
        <v>0.13445419305805201</v>
      </c>
      <c r="E127">
        <v>0.13445419305805201</v>
      </c>
      <c r="F127">
        <v>0.24366963116210699</v>
      </c>
      <c r="G127">
        <v>0.43053300117397902</v>
      </c>
      <c r="H127">
        <v>0.44380050377819502</v>
      </c>
      <c r="I127">
        <v>0.28258255546680999</v>
      </c>
      <c r="J127">
        <v>0.24402546456528501</v>
      </c>
      <c r="K127">
        <v>0.24402546456528501</v>
      </c>
      <c r="L127">
        <v>0.24402546456528501</v>
      </c>
      <c r="M127">
        <v>0.24402546456528501</v>
      </c>
      <c r="N127">
        <v>0.24366963116210699</v>
      </c>
      <c r="O127">
        <v>0.24366963116210699</v>
      </c>
      <c r="P127">
        <v>0.24402546456528501</v>
      </c>
      <c r="Q127">
        <v>0.57093469539943897</v>
      </c>
      <c r="R127">
        <v>0.40155799548660998</v>
      </c>
      <c r="S127">
        <v>0.35563006980496598</v>
      </c>
      <c r="T127">
        <v>0.45406883912705198</v>
      </c>
      <c r="U127">
        <v>0.42077299925823403</v>
      </c>
      <c r="V127">
        <v>0.375378823681356</v>
      </c>
      <c r="W127">
        <v>0.317555895664897</v>
      </c>
      <c r="X127">
        <v>0.24402546456528501</v>
      </c>
      <c r="Y127" t="s">
        <v>70</v>
      </c>
      <c r="Z127" t="s">
        <v>262</v>
      </c>
      <c r="AA127" t="s">
        <v>254</v>
      </c>
      <c r="AB127" s="10">
        <f>INDEX(shelf!$B$1:$B$6,MATCH(AA127,shelf!$A$1:$A$6,0))</f>
        <v>0</v>
      </c>
      <c r="AC127" s="10" cm="1">
        <f t="array" ref="AC127">SUMPRODUCT(A127:X127*AB127)</f>
        <v>0</v>
      </c>
    </row>
    <row r="128" spans="1:29" x14ac:dyDescent="0.25">
      <c r="A128">
        <v>0.60255018834053298</v>
      </c>
      <c r="B128">
        <v>0.58962816119793604</v>
      </c>
      <c r="C128">
        <v>0.58576411524207606</v>
      </c>
      <c r="D128">
        <v>0.59539101472299805</v>
      </c>
      <c r="E128">
        <v>0.62397655348580106</v>
      </c>
      <c r="F128">
        <v>0.65733309786797001</v>
      </c>
      <c r="G128">
        <v>0.67872931058232</v>
      </c>
      <c r="H128">
        <v>0.67153067626363605</v>
      </c>
      <c r="I128">
        <v>0.67214653369830302</v>
      </c>
      <c r="J128">
        <v>0.68213573969743702</v>
      </c>
      <c r="K128">
        <v>0.688148802708615</v>
      </c>
      <c r="L128">
        <v>0.68619868031634701</v>
      </c>
      <c r="M128">
        <v>0.67994224979546103</v>
      </c>
      <c r="N128">
        <v>0.67013817494869399</v>
      </c>
      <c r="O128">
        <v>0.67208185315387903</v>
      </c>
      <c r="P128">
        <v>0.68987083270129801</v>
      </c>
      <c r="Q128">
        <v>0.70466764093779899</v>
      </c>
      <c r="R128">
        <v>0.71322870369837199</v>
      </c>
      <c r="S128">
        <v>0.70735327579402396</v>
      </c>
      <c r="T128">
        <v>0.69879006497109097</v>
      </c>
      <c r="U128">
        <v>0.69192883555880402</v>
      </c>
      <c r="V128">
        <v>0.68049159685480398</v>
      </c>
      <c r="W128">
        <v>0.65664532012314503</v>
      </c>
      <c r="X128">
        <v>0.62348862509840797</v>
      </c>
      <c r="Y128" t="s">
        <v>71</v>
      </c>
      <c r="Z128" t="s">
        <v>262</v>
      </c>
      <c r="AA128" t="s">
        <v>222</v>
      </c>
      <c r="AB128" s="10">
        <f>INDEX(shelf!$B$1:$B$6,MATCH(AA128,shelf!$A$1:$A$6,0))</f>
        <v>120</v>
      </c>
      <c r="AC128" s="10" cm="1">
        <f t="array" ref="AC128">SUMPRODUCT(A128:X128*AB128)</f>
        <v>1910.6592057311702</v>
      </c>
    </row>
    <row r="129" spans="1:29" x14ac:dyDescent="0.25">
      <c r="A129">
        <v>0.43183323054723599</v>
      </c>
      <c r="B129">
        <v>0.41549840966030499</v>
      </c>
      <c r="C129">
        <v>0.41919655757771601</v>
      </c>
      <c r="D129">
        <v>0.43815072172967701</v>
      </c>
      <c r="E129">
        <v>0.487819592012387</v>
      </c>
      <c r="F129">
        <v>0.52481310431361305</v>
      </c>
      <c r="G129">
        <v>0.54214021067449703</v>
      </c>
      <c r="H129">
        <v>0.56513869890490798</v>
      </c>
      <c r="I129">
        <v>0.58564861711124305</v>
      </c>
      <c r="J129">
        <v>0.60754801343364195</v>
      </c>
      <c r="K129">
        <v>0.61850840218297898</v>
      </c>
      <c r="L129">
        <v>0.62478432438084397</v>
      </c>
      <c r="M129">
        <v>0.62361392873612898</v>
      </c>
      <c r="N129">
        <v>0.62629274150541203</v>
      </c>
      <c r="O129">
        <v>0.62762046282859896</v>
      </c>
      <c r="P129">
        <v>0.64260200442814097</v>
      </c>
      <c r="Q129">
        <v>0.66876689569429904</v>
      </c>
      <c r="R129">
        <v>0.68430454677172803</v>
      </c>
      <c r="S129">
        <v>0.67571478351127601</v>
      </c>
      <c r="T129">
        <v>0.66997647358763501</v>
      </c>
      <c r="U129">
        <v>0.66193516236054295</v>
      </c>
      <c r="V129">
        <v>0.62661942598946996</v>
      </c>
      <c r="W129">
        <v>0.55110936550471601</v>
      </c>
      <c r="X129">
        <v>0.479383275984478</v>
      </c>
      <c r="Y129" t="s">
        <v>71</v>
      </c>
      <c r="Z129" t="s">
        <v>262</v>
      </c>
      <c r="AA129" t="s">
        <v>250</v>
      </c>
      <c r="AB129" s="10">
        <f>INDEX(shelf!$B$1:$B$6,MATCH(AA129,shelf!$A$1:$A$6,0))</f>
        <v>92</v>
      </c>
      <c r="AC129" s="10" cm="1">
        <f t="array" ref="AC129">SUMPRODUCT(A129:X129*AB129)</f>
        <v>1269.5097433476956</v>
      </c>
    </row>
    <row r="130" spans="1:29" x14ac:dyDescent="0.25">
      <c r="A130">
        <v>0.63398540296197803</v>
      </c>
      <c r="B130">
        <v>0.60813294206236002</v>
      </c>
      <c r="C130">
        <v>0.60113541631007905</v>
      </c>
      <c r="D130">
        <v>0.60575132249951202</v>
      </c>
      <c r="E130">
        <v>0.61653365365943702</v>
      </c>
      <c r="F130">
        <v>0.61425845874433904</v>
      </c>
      <c r="G130">
        <v>0.65039467446496502</v>
      </c>
      <c r="H130">
        <v>0.69155682572441102</v>
      </c>
      <c r="I130">
        <v>0.71352320954071002</v>
      </c>
      <c r="J130">
        <v>0.725569175648628</v>
      </c>
      <c r="K130">
        <v>0.73427801394324199</v>
      </c>
      <c r="L130">
        <v>0.73758496006296304</v>
      </c>
      <c r="M130">
        <v>0.74003209598504904</v>
      </c>
      <c r="N130">
        <v>0.74124335991072898</v>
      </c>
      <c r="O130">
        <v>0.74152298751781198</v>
      </c>
      <c r="P130">
        <v>0.74162341789192499</v>
      </c>
      <c r="Q130">
        <v>0.74291271253759605</v>
      </c>
      <c r="R130">
        <v>0.74425174913819303</v>
      </c>
      <c r="S130">
        <v>0.74241518782563298</v>
      </c>
      <c r="T130">
        <v>0.73980284130906504</v>
      </c>
      <c r="U130">
        <v>0.73906028751680697</v>
      </c>
      <c r="V130">
        <v>0.73243861323790505</v>
      </c>
      <c r="W130">
        <v>0.70427635889640094</v>
      </c>
      <c r="X130">
        <v>0.66573170712559804</v>
      </c>
      <c r="Y130" t="s">
        <v>71</v>
      </c>
      <c r="Z130" t="s">
        <v>262</v>
      </c>
      <c r="AA130" t="s">
        <v>251</v>
      </c>
      <c r="AB130" s="10">
        <f>INDEX(shelf!$B$1:$B$6,MATCH(AA130,shelf!$A$1:$A$6,0))</f>
        <v>92</v>
      </c>
      <c r="AC130" s="10" cm="1">
        <f t="array" ref="AC130">SUMPRODUCT(A130:X130*AB130)</f>
        <v>1537.1374144554111</v>
      </c>
    </row>
    <row r="131" spans="1:29" x14ac:dyDescent="0.25">
      <c r="A131">
        <v>0.51682973827511802</v>
      </c>
      <c r="B131">
        <v>0.50179857734799704</v>
      </c>
      <c r="C131">
        <v>0.50329453910186195</v>
      </c>
      <c r="D131">
        <v>0.51511869639742602</v>
      </c>
      <c r="E131">
        <v>0.56507937938679598</v>
      </c>
      <c r="F131">
        <v>0.60777413384155099</v>
      </c>
      <c r="G131">
        <v>0.59362759116430996</v>
      </c>
      <c r="H131">
        <v>0.61015291401162297</v>
      </c>
      <c r="I131">
        <v>0.65129291214588902</v>
      </c>
      <c r="J131">
        <v>0.66849617234305803</v>
      </c>
      <c r="K131">
        <v>0.67718426945097798</v>
      </c>
      <c r="L131">
        <v>0.68114735321099096</v>
      </c>
      <c r="M131">
        <v>0.686187487437669</v>
      </c>
      <c r="N131">
        <v>0.68615239068106104</v>
      </c>
      <c r="O131">
        <v>0.69031825570147498</v>
      </c>
      <c r="P131">
        <v>0.70668909282525905</v>
      </c>
      <c r="Q131">
        <v>0.71581499947393801</v>
      </c>
      <c r="R131">
        <v>0.71547723068812397</v>
      </c>
      <c r="S131">
        <v>0.71147875019922402</v>
      </c>
      <c r="T131">
        <v>0.70278945320219</v>
      </c>
      <c r="U131">
        <v>0.690557933552154</v>
      </c>
      <c r="V131">
        <v>0.65675330753502204</v>
      </c>
      <c r="W131">
        <v>0.60310731511571203</v>
      </c>
      <c r="X131">
        <v>0.549731147761092</v>
      </c>
      <c r="Y131" t="s">
        <v>71</v>
      </c>
      <c r="Z131" t="s">
        <v>262</v>
      </c>
      <c r="AA131" t="s">
        <v>252</v>
      </c>
      <c r="AB131" s="10">
        <f>INDEX(shelf!$B$1:$B$6,MATCH(AA131,shelf!$A$1:$A$6,0))</f>
        <v>61</v>
      </c>
      <c r="AC131" s="10" cm="1">
        <f t="array" ref="AC131">SUMPRODUCT(A131:X131*AB131)</f>
        <v>927.61807209188157</v>
      </c>
    </row>
    <row r="132" spans="1:29" x14ac:dyDescent="0.25">
      <c r="A132">
        <v>0.56221554404206897</v>
      </c>
      <c r="B132">
        <v>0.51038558379799603</v>
      </c>
      <c r="C132">
        <v>0.43037622769306599</v>
      </c>
      <c r="D132">
        <v>0.51038558379799603</v>
      </c>
      <c r="E132">
        <v>0.51038558379799603</v>
      </c>
      <c r="F132">
        <v>0.32799718883495799</v>
      </c>
      <c r="G132">
        <v>0.60376185462783105</v>
      </c>
      <c r="H132">
        <v>0.60376185462783105</v>
      </c>
      <c r="I132">
        <v>0.70032203122376202</v>
      </c>
      <c r="J132">
        <v>0.74171280618301905</v>
      </c>
      <c r="K132">
        <v>0.74171280618301905</v>
      </c>
      <c r="L132">
        <v>0.74171280618301905</v>
      </c>
      <c r="M132">
        <v>0.74171280618301905</v>
      </c>
      <c r="N132">
        <v>0.74171280618301905</v>
      </c>
      <c r="O132">
        <v>0.74171280618301905</v>
      </c>
      <c r="P132">
        <v>0.74171280618301905</v>
      </c>
      <c r="Q132">
        <v>0.74171280618301905</v>
      </c>
      <c r="R132">
        <v>0.74413733212559297</v>
      </c>
      <c r="S132">
        <v>0.74268261656004897</v>
      </c>
      <c r="T132">
        <v>0.74268261656004897</v>
      </c>
      <c r="U132">
        <v>0.74268261656004897</v>
      </c>
      <c r="V132">
        <v>0.74268261656004897</v>
      </c>
      <c r="W132">
        <v>0.74514373912062304</v>
      </c>
      <c r="X132">
        <v>0.66186813485909501</v>
      </c>
      <c r="Y132" t="s">
        <v>71</v>
      </c>
      <c r="Z132" t="s">
        <v>262</v>
      </c>
      <c r="AA132" t="s">
        <v>253</v>
      </c>
      <c r="AB132" s="10">
        <f>INDEX(shelf!$B$1:$B$6,MATCH(AA132,shelf!$A$1:$A$6,0))</f>
        <v>0</v>
      </c>
      <c r="AC132" s="10" cm="1">
        <f t="array" ref="AC132">SUMPRODUCT(A132:X132*AB132)</f>
        <v>0</v>
      </c>
    </row>
    <row r="133" spans="1:29" x14ac:dyDescent="0.25">
      <c r="A133">
        <v>0.29668878213500699</v>
      </c>
      <c r="B133">
        <v>0.49912297460815402</v>
      </c>
      <c r="C133">
        <v>0.47027569046877798</v>
      </c>
      <c r="D133">
        <v>0.51038558379799603</v>
      </c>
      <c r="E133">
        <v>0.52754024848601699</v>
      </c>
      <c r="F133">
        <v>0.57251749200938196</v>
      </c>
      <c r="G133">
        <v>0.59571974782208603</v>
      </c>
      <c r="H133">
        <v>0.62171249575737597</v>
      </c>
      <c r="I133">
        <v>0.59571974782208603</v>
      </c>
      <c r="J133">
        <v>0.62696411044053502</v>
      </c>
      <c r="K133">
        <v>0.62696411044053502</v>
      </c>
      <c r="L133">
        <v>0.61455785693815901</v>
      </c>
      <c r="M133">
        <v>0.60376185462783105</v>
      </c>
      <c r="N133">
        <v>0.58247177210568402</v>
      </c>
      <c r="O133">
        <v>0.59571974782208603</v>
      </c>
      <c r="P133">
        <v>0.65016636625323998</v>
      </c>
      <c r="Q133">
        <v>0.65016636625323998</v>
      </c>
      <c r="R133">
        <v>0.72608605029654505</v>
      </c>
      <c r="S133">
        <v>0.67522590042950004</v>
      </c>
      <c r="T133">
        <v>0.65016636625323998</v>
      </c>
      <c r="U133">
        <v>0.65016636625323998</v>
      </c>
      <c r="V133">
        <v>0.65016636625323998</v>
      </c>
      <c r="W133">
        <v>0.60376185462783105</v>
      </c>
      <c r="X133">
        <v>0.54469491317403695</v>
      </c>
      <c r="Y133" t="s">
        <v>71</v>
      </c>
      <c r="Z133" t="s">
        <v>262</v>
      </c>
      <c r="AA133" t="s">
        <v>254</v>
      </c>
      <c r="AB133" s="10">
        <f>INDEX(shelf!$B$1:$B$6,MATCH(AA133,shelf!$A$1:$A$6,0))</f>
        <v>0</v>
      </c>
      <c r="AC133" s="10" cm="1">
        <f t="array" ref="AC133">SUMPRODUCT(A133:X133*AB133)</f>
        <v>0</v>
      </c>
    </row>
    <row r="134" spans="1:29" x14ac:dyDescent="0.25">
      <c r="A134">
        <v>0.30483632008091999</v>
      </c>
      <c r="B134">
        <v>0.30334885786805699</v>
      </c>
      <c r="C134">
        <v>0.30624455063822398</v>
      </c>
      <c r="D134">
        <v>0.32798616540483699</v>
      </c>
      <c r="E134">
        <v>0.399378371874692</v>
      </c>
      <c r="F134">
        <v>0.529159076212803</v>
      </c>
      <c r="G134">
        <v>0.53212353608024898</v>
      </c>
      <c r="H134">
        <v>0.44328317361296998</v>
      </c>
      <c r="I134">
        <v>0.38390129017642599</v>
      </c>
      <c r="J134">
        <v>0.37810467235695</v>
      </c>
      <c r="K134">
        <v>0.35789312550477598</v>
      </c>
      <c r="L134">
        <v>0.33558717205941402</v>
      </c>
      <c r="M134">
        <v>0.326798438039892</v>
      </c>
      <c r="N134">
        <v>0.324911080206987</v>
      </c>
      <c r="O134">
        <v>0.341255225305717</v>
      </c>
      <c r="P134">
        <v>0.49836188119049202</v>
      </c>
      <c r="Q134">
        <v>0.65388614636942299</v>
      </c>
      <c r="R134">
        <v>0.67860044315641599</v>
      </c>
      <c r="S134">
        <v>0.68235647211100803</v>
      </c>
      <c r="T134">
        <v>0.66703561131851496</v>
      </c>
      <c r="U134">
        <v>0.60556604850482099</v>
      </c>
      <c r="V134">
        <v>0.46042187767264198</v>
      </c>
      <c r="W134">
        <v>0.35361685850990598</v>
      </c>
      <c r="X134">
        <v>0.31174143360978102</v>
      </c>
      <c r="Y134" t="s">
        <v>72</v>
      </c>
      <c r="Z134" t="s">
        <v>262</v>
      </c>
      <c r="AA134" t="s">
        <v>222</v>
      </c>
      <c r="AB134" s="10">
        <f>INDEX(shelf!$B$1:$B$6,MATCH(AA134,shelf!$A$1:$A$6,0))</f>
        <v>120</v>
      </c>
      <c r="AC134" s="10" cm="1">
        <f t="array" ref="AC134">SUMPRODUCT(A134:X134*AB134)</f>
        <v>1260.7677393439103</v>
      </c>
    </row>
    <row r="135" spans="1:29" x14ac:dyDescent="0.25">
      <c r="A135">
        <v>0.18788158934676699</v>
      </c>
      <c r="B135">
        <v>0.18593700142959599</v>
      </c>
      <c r="C135">
        <v>0.18593700142959599</v>
      </c>
      <c r="D135">
        <v>0.18863958735097999</v>
      </c>
      <c r="E135">
        <v>0.198152325809614</v>
      </c>
      <c r="F135">
        <v>0.21592751550264599</v>
      </c>
      <c r="G135">
        <v>0.20397244013728</v>
      </c>
      <c r="H135">
        <v>0.189826177263937</v>
      </c>
      <c r="I135">
        <v>0.18788158934676699</v>
      </c>
      <c r="J135">
        <v>0.19008460635541</v>
      </c>
      <c r="K135">
        <v>0.20149643465173001</v>
      </c>
      <c r="L135">
        <v>0.228998203776974</v>
      </c>
      <c r="M135">
        <v>0.243825117919406</v>
      </c>
      <c r="N135">
        <v>0.26891821871673599</v>
      </c>
      <c r="O135">
        <v>0.28731036236757901</v>
      </c>
      <c r="P135">
        <v>0.33503693778530402</v>
      </c>
      <c r="Q135">
        <v>0.42274995533884002</v>
      </c>
      <c r="R135">
        <v>0.44893501004379999</v>
      </c>
      <c r="S135">
        <v>0.45914386911854799</v>
      </c>
      <c r="T135">
        <v>0.43194056739472297</v>
      </c>
      <c r="U135">
        <v>0.39233812904976301</v>
      </c>
      <c r="V135">
        <v>0.237467216292232</v>
      </c>
      <c r="W135">
        <v>0.18955045890226099</v>
      </c>
      <c r="X135">
        <v>0.18730740358367101</v>
      </c>
      <c r="Y135" t="s">
        <v>72</v>
      </c>
      <c r="Z135" t="s">
        <v>262</v>
      </c>
      <c r="AA135" t="s">
        <v>250</v>
      </c>
      <c r="AB135" s="10">
        <f>INDEX(shelf!$B$1:$B$6,MATCH(AA135,shelf!$A$1:$A$6,0))</f>
        <v>92</v>
      </c>
      <c r="AC135" s="10" cm="1">
        <f t="array" ref="AC135">SUMPRODUCT(A135:X135*AB135)</f>
        <v>576.77171014010287</v>
      </c>
    </row>
    <row r="136" spans="1:29" x14ac:dyDescent="0.25">
      <c r="A136">
        <v>0.39992991767390101</v>
      </c>
      <c r="B136">
        <v>0.37112760425041602</v>
      </c>
      <c r="C136">
        <v>0.37112760425041602</v>
      </c>
      <c r="D136">
        <v>0.37112760425041602</v>
      </c>
      <c r="E136">
        <v>0.39133021584757199</v>
      </c>
      <c r="F136">
        <v>0.38469063404140902</v>
      </c>
      <c r="G136">
        <v>0.39505319295018698</v>
      </c>
      <c r="H136">
        <v>0.43634754275158499</v>
      </c>
      <c r="I136">
        <v>0.51442132672619001</v>
      </c>
      <c r="J136">
        <v>0.64430405621174902</v>
      </c>
      <c r="K136">
        <v>0.75359927080704203</v>
      </c>
      <c r="L136">
        <v>0.83003144223653003</v>
      </c>
      <c r="M136">
        <v>0.85893383051622496</v>
      </c>
      <c r="N136">
        <v>0.88861757248093398</v>
      </c>
      <c r="O136">
        <v>0.89226068215022802</v>
      </c>
      <c r="P136">
        <v>0.89781483666981798</v>
      </c>
      <c r="Q136">
        <v>0.912236200804449</v>
      </c>
      <c r="R136">
        <v>0.92092443038819405</v>
      </c>
      <c r="S136">
        <v>0.90770107775336994</v>
      </c>
      <c r="T136">
        <v>0.90801958522841997</v>
      </c>
      <c r="U136">
        <v>0.89346446719943295</v>
      </c>
      <c r="V136">
        <v>0.73259798487668004</v>
      </c>
      <c r="W136">
        <v>0.53194886043622602</v>
      </c>
      <c r="X136">
        <v>0.43770721363449899</v>
      </c>
      <c r="Y136" t="s">
        <v>72</v>
      </c>
      <c r="Z136" t="s">
        <v>262</v>
      </c>
      <c r="AA136" t="s">
        <v>251</v>
      </c>
      <c r="AB136" s="10">
        <f>INDEX(shelf!$B$1:$B$6,MATCH(AA136,shelf!$A$1:$A$6,0))</f>
        <v>92</v>
      </c>
      <c r="AC136" s="10" cm="1">
        <f t="array" ref="AC136">SUMPRODUCT(A136:X136*AB136)</f>
        <v>1439.3691781805021</v>
      </c>
    </row>
    <row r="137" spans="1:29" x14ac:dyDescent="0.25">
      <c r="A137">
        <v>0.228622807327718</v>
      </c>
      <c r="B137">
        <v>0.228622807327718</v>
      </c>
      <c r="C137">
        <v>0.228622807327718</v>
      </c>
      <c r="D137">
        <v>0.228622807327718</v>
      </c>
      <c r="E137">
        <v>0.23155562844869701</v>
      </c>
      <c r="F137">
        <v>0.24076718453854601</v>
      </c>
      <c r="G137">
        <v>0.237834363417568</v>
      </c>
      <c r="H137">
        <v>0.23448982197076099</v>
      </c>
      <c r="I137">
        <v>0.23742538789391199</v>
      </c>
      <c r="J137">
        <v>0.25094079378974599</v>
      </c>
      <c r="K137">
        <v>0.30320182714812799</v>
      </c>
      <c r="L137">
        <v>0.33277844295449699</v>
      </c>
      <c r="M137">
        <v>0.37461060045966599</v>
      </c>
      <c r="N137">
        <v>0.40490086483080201</v>
      </c>
      <c r="O137">
        <v>0.42618268847283097</v>
      </c>
      <c r="P137">
        <v>0.51332192303315505</v>
      </c>
      <c r="Q137">
        <v>0.55424966822258903</v>
      </c>
      <c r="R137">
        <v>0.56157280041797597</v>
      </c>
      <c r="S137">
        <v>0.56056408561969795</v>
      </c>
      <c r="T137">
        <v>0.53172033199330304</v>
      </c>
      <c r="U137">
        <v>0.43820080478373802</v>
      </c>
      <c r="V137">
        <v>0.27316133977466101</v>
      </c>
      <c r="W137">
        <v>0.23002814603987601</v>
      </c>
      <c r="X137">
        <v>0.22639265556281901</v>
      </c>
      <c r="Y137" t="s">
        <v>72</v>
      </c>
      <c r="Z137" t="s">
        <v>262</v>
      </c>
      <c r="AA137" t="s">
        <v>252</v>
      </c>
      <c r="AB137" s="10">
        <f>INDEX(shelf!$B$1:$B$6,MATCH(AA137,shelf!$A$1:$A$6,0))</f>
        <v>61</v>
      </c>
      <c r="AC137" s="10" cm="1">
        <f t="array" ref="AC137">SUMPRODUCT(A137:X137*AB137)</f>
        <v>492.78182590971426</v>
      </c>
    </row>
    <row r="138" spans="1:29" x14ac:dyDescent="0.25">
      <c r="A138">
        <v>0.39145819619253103</v>
      </c>
      <c r="B138">
        <v>0.39145819619253103</v>
      </c>
      <c r="C138">
        <v>0.39145819619253103</v>
      </c>
      <c r="D138">
        <v>0.39145819619253103</v>
      </c>
      <c r="E138">
        <v>0.39145819619253103</v>
      </c>
      <c r="F138">
        <v>0.39145819619253103</v>
      </c>
      <c r="G138">
        <v>0.39145819619253103</v>
      </c>
      <c r="H138">
        <v>0.39145819619253103</v>
      </c>
      <c r="I138">
        <v>0.57044400103847503</v>
      </c>
      <c r="J138">
        <v>0.97872920694758103</v>
      </c>
      <c r="K138">
        <v>0.97872920694758103</v>
      </c>
      <c r="L138">
        <v>0.97872920694758103</v>
      </c>
      <c r="M138">
        <v>0.97872920694758103</v>
      </c>
      <c r="N138">
        <v>0.97872920694758103</v>
      </c>
      <c r="O138">
        <v>0.97872920694758103</v>
      </c>
      <c r="P138">
        <v>0.97872920694758103</v>
      </c>
      <c r="Q138">
        <v>0.97872920694758103</v>
      </c>
      <c r="R138">
        <v>0.97872920694758103</v>
      </c>
      <c r="S138">
        <v>0.97872920694758103</v>
      </c>
      <c r="T138">
        <v>0.97872920694758103</v>
      </c>
      <c r="U138">
        <v>0.97872920694758103</v>
      </c>
      <c r="V138">
        <v>0.97872920694758103</v>
      </c>
      <c r="W138">
        <v>0.57044400103847503</v>
      </c>
      <c r="X138">
        <v>0.57044400103847503</v>
      </c>
      <c r="Y138" t="s">
        <v>72</v>
      </c>
      <c r="Z138" t="s">
        <v>262</v>
      </c>
      <c r="AA138" t="s">
        <v>253</v>
      </c>
      <c r="AB138" s="10">
        <f>INDEX(shelf!$B$1:$B$6,MATCH(AA138,shelf!$A$1:$A$6,0))</f>
        <v>0</v>
      </c>
      <c r="AC138" s="10" cm="1">
        <f t="array" ref="AC138">SUMPRODUCT(A138:X138*AB138)</f>
        <v>0</v>
      </c>
    </row>
    <row r="139" spans="1:29" x14ac:dyDescent="0.25">
      <c r="A139">
        <v>0.39145819619253103</v>
      </c>
      <c r="B139">
        <v>0.39145819619253103</v>
      </c>
      <c r="C139">
        <v>0.39145819619253103</v>
      </c>
      <c r="D139">
        <v>0.39145819619253103</v>
      </c>
      <c r="E139">
        <v>0.39145819619253103</v>
      </c>
      <c r="F139">
        <v>0.39145819619253103</v>
      </c>
      <c r="G139">
        <v>0.39145819619253103</v>
      </c>
      <c r="H139">
        <v>0.39145819619253103</v>
      </c>
      <c r="I139">
        <v>0.39145819619253103</v>
      </c>
      <c r="J139">
        <v>0.39145819619253103</v>
      </c>
      <c r="K139">
        <v>0.39145819619253103</v>
      </c>
      <c r="L139">
        <v>0.39145819619253103</v>
      </c>
      <c r="M139">
        <v>0.39145819619253103</v>
      </c>
      <c r="N139">
        <v>0.39145819619253103</v>
      </c>
      <c r="O139">
        <v>0.39145819619253103</v>
      </c>
      <c r="P139">
        <v>0.57044400103847503</v>
      </c>
      <c r="Q139">
        <v>0.77454474575990195</v>
      </c>
      <c r="R139">
        <v>0.77454474575990195</v>
      </c>
      <c r="S139">
        <v>0.57044400103847503</v>
      </c>
      <c r="T139">
        <v>0.77454474575990195</v>
      </c>
      <c r="U139">
        <v>0.434321026913356</v>
      </c>
      <c r="V139">
        <v>0.434321026913356</v>
      </c>
      <c r="W139">
        <v>0.25541893853366399</v>
      </c>
      <c r="X139">
        <v>0.25541893853366399</v>
      </c>
      <c r="Y139" t="s">
        <v>72</v>
      </c>
      <c r="Z139" t="s">
        <v>262</v>
      </c>
      <c r="AA139" t="s">
        <v>254</v>
      </c>
      <c r="AB139" s="10">
        <f>INDEX(shelf!$B$1:$B$6,MATCH(AA139,shelf!$A$1:$A$6,0))</f>
        <v>0</v>
      </c>
      <c r="AC139" s="10" cm="1">
        <f t="array" ref="AC139">SUMPRODUCT(A139:X139*AB139)</f>
        <v>0</v>
      </c>
    </row>
    <row r="140" spans="1:29" x14ac:dyDescent="0.25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0.93011030437207198</v>
      </c>
      <c r="J140">
        <v>0.86684116734035299</v>
      </c>
      <c r="K140">
        <v>0.86198298345573399</v>
      </c>
      <c r="L140">
        <v>0.85738787481165901</v>
      </c>
      <c r="M140">
        <v>0.84171427363371298</v>
      </c>
      <c r="N140">
        <v>0.82594075886266805</v>
      </c>
      <c r="O140">
        <v>0.79134773968876904</v>
      </c>
      <c r="P140">
        <v>0.91113955462186602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 t="s">
        <v>73</v>
      </c>
      <c r="Z140" t="s">
        <v>262</v>
      </c>
      <c r="AA140" t="s">
        <v>222</v>
      </c>
      <c r="AB140" s="10">
        <f>INDEX(shelf!$B$1:$B$6,MATCH(AA140,shelf!$A$1:$A$6,0))</f>
        <v>120</v>
      </c>
      <c r="AC140" s="10" cm="1">
        <f t="array" ref="AC140">SUMPRODUCT(A140:X140*AB140)</f>
        <v>2746.3757588144199</v>
      </c>
    </row>
    <row r="141" spans="1:29" x14ac:dyDescent="0.25">
      <c r="A141">
        <v>5.0243246070889999E-3</v>
      </c>
      <c r="B141">
        <v>5.0243246070889999E-3</v>
      </c>
      <c r="C141">
        <v>5.0243246070889999E-3</v>
      </c>
      <c r="D141">
        <v>5.0243246070889999E-3</v>
      </c>
      <c r="E141">
        <v>5.0243246070889999E-3</v>
      </c>
      <c r="F141">
        <v>5.0243246070889999E-3</v>
      </c>
      <c r="G141">
        <v>5.0243246070889999E-3</v>
      </c>
      <c r="H141">
        <v>5.0243246070889999E-3</v>
      </c>
      <c r="I141">
        <v>5.0243246070889999E-3</v>
      </c>
      <c r="J141">
        <v>5.0243246070889999E-3</v>
      </c>
      <c r="K141">
        <v>5.0243246070889999E-3</v>
      </c>
      <c r="L141">
        <v>5.0243246070889999E-3</v>
      </c>
      <c r="M141">
        <v>5.0243246070889999E-3</v>
      </c>
      <c r="N141">
        <v>5.0243246070889999E-3</v>
      </c>
      <c r="O141">
        <v>5.0243246070889999E-3</v>
      </c>
      <c r="P141">
        <v>5.0243246070889999E-3</v>
      </c>
      <c r="Q141">
        <v>5.0243246070889999E-3</v>
      </c>
      <c r="R141">
        <v>5.0243246070889999E-3</v>
      </c>
      <c r="S141">
        <v>5.3921257926933999E-3</v>
      </c>
      <c r="T141">
        <v>1.1294131733654801E-2</v>
      </c>
      <c r="U141">
        <v>1.1137157395873501E-2</v>
      </c>
      <c r="V141">
        <v>1.0048649214178E-2</v>
      </c>
      <c r="W141">
        <v>1.08255003164828E-2</v>
      </c>
      <c r="X141">
        <v>1.0048649214178E-2</v>
      </c>
      <c r="Y141" t="s">
        <v>73</v>
      </c>
      <c r="Z141" t="s">
        <v>262</v>
      </c>
      <c r="AA141" t="s">
        <v>250</v>
      </c>
      <c r="AB141" s="10">
        <f>INDEX(shelf!$B$1:$B$6,MATCH(AA141,shelf!$A$1:$A$6,0))</f>
        <v>92</v>
      </c>
      <c r="AC141" s="10" cm="1">
        <f t="array" ref="AC141">SUMPRODUCT(A141:X141*AB141)</f>
        <v>13.72493320670895</v>
      </c>
    </row>
    <row r="142" spans="1:29" x14ac:dyDescent="0.25">
      <c r="A142">
        <v>0.885418236672322</v>
      </c>
      <c r="B142">
        <v>0.87375611937176201</v>
      </c>
      <c r="C142">
        <v>0.87084695120151301</v>
      </c>
      <c r="D142">
        <v>0.870823929879049</v>
      </c>
      <c r="E142">
        <v>0.871627252868169</v>
      </c>
      <c r="F142">
        <v>0.86518128257840399</v>
      </c>
      <c r="G142">
        <v>0.79810805375688398</v>
      </c>
      <c r="H142">
        <v>0.63723868732798805</v>
      </c>
      <c r="I142">
        <v>0.64587168325178002</v>
      </c>
      <c r="J142">
        <v>0.70495408988138297</v>
      </c>
      <c r="K142">
        <v>0.76841175942759199</v>
      </c>
      <c r="L142">
        <v>0.80962477323135995</v>
      </c>
      <c r="M142">
        <v>0.82269119120219103</v>
      </c>
      <c r="N142">
        <v>0.83622045891939201</v>
      </c>
      <c r="O142">
        <v>0.84100768234323697</v>
      </c>
      <c r="P142">
        <v>0.85834637310386297</v>
      </c>
      <c r="Q142">
        <v>0.88344688448032105</v>
      </c>
      <c r="R142">
        <v>0.91223080745092999</v>
      </c>
      <c r="S142">
        <v>1</v>
      </c>
      <c r="T142">
        <v>0.98943947639912</v>
      </c>
      <c r="U142">
        <v>1</v>
      </c>
      <c r="V142">
        <v>1</v>
      </c>
      <c r="W142">
        <v>0.97990137900794905</v>
      </c>
      <c r="X142">
        <v>0.92260615399064005</v>
      </c>
      <c r="Y142" t="s">
        <v>73</v>
      </c>
      <c r="Z142" t="s">
        <v>262</v>
      </c>
      <c r="AA142" t="s">
        <v>251</v>
      </c>
      <c r="AB142" s="10">
        <f>INDEX(shelf!$B$1:$B$6,MATCH(AA142,shelf!$A$1:$A$6,0))</f>
        <v>92</v>
      </c>
      <c r="AC142" s="10" cm="1">
        <f t="array" ref="AC142">SUMPRODUCT(A142:X142*AB142)</f>
        <v>1899.593296823818</v>
      </c>
    </row>
    <row r="143" spans="1:29" x14ac:dyDescent="0.25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0.87364917648984397</v>
      </c>
      <c r="I143">
        <v>0.69808225492068199</v>
      </c>
      <c r="J143">
        <v>0.708851705048827</v>
      </c>
      <c r="K143">
        <v>0.824910156686538</v>
      </c>
      <c r="L143">
        <v>0.91051104116947501</v>
      </c>
      <c r="M143">
        <v>0.930060911082778</v>
      </c>
      <c r="N143">
        <v>0.96616587281694599</v>
      </c>
      <c r="O143">
        <v>0.96170740341216099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 t="s">
        <v>73</v>
      </c>
      <c r="Z143" t="s">
        <v>262</v>
      </c>
      <c r="AA143" t="s">
        <v>252</v>
      </c>
      <c r="AB143" s="10">
        <f>INDEX(shelf!$B$1:$B$6,MATCH(AA143,shelf!$A$1:$A$6,0))</f>
        <v>61</v>
      </c>
      <c r="AC143" s="10" cm="1">
        <f t="array" ref="AC143">SUMPRODUCT(A143:X143*AB143)</f>
        <v>1395.3102498192623</v>
      </c>
    </row>
    <row r="144" spans="1:29" x14ac:dyDescent="0.25">
      <c r="A144">
        <v>0.94882622862795196</v>
      </c>
      <c r="B144">
        <v>0.85416497395537105</v>
      </c>
      <c r="C144">
        <v>0.85416497395537105</v>
      </c>
      <c r="D144">
        <v>0.82960364618397697</v>
      </c>
      <c r="E144">
        <v>0.85416497395537105</v>
      </c>
      <c r="F144">
        <v>0.79892833982571299</v>
      </c>
      <c r="G144">
        <v>0.51821239194922897</v>
      </c>
      <c r="H144">
        <v>0.51821239194922897</v>
      </c>
      <c r="I144">
        <v>0.51821239194922897</v>
      </c>
      <c r="J144">
        <v>0.51821239194922897</v>
      </c>
      <c r="K144">
        <v>0.51821239194922897</v>
      </c>
      <c r="L144">
        <v>0.51821239194922897</v>
      </c>
      <c r="M144">
        <v>0.51821239194922897</v>
      </c>
      <c r="N144">
        <v>0.51821239194922897</v>
      </c>
      <c r="O144">
        <v>0.51821239194922897</v>
      </c>
      <c r="P144">
        <v>0.71818165710945803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0.85416497395537105</v>
      </c>
      <c r="Y144" t="s">
        <v>73</v>
      </c>
      <c r="Z144" t="s">
        <v>262</v>
      </c>
      <c r="AA144" t="s">
        <v>253</v>
      </c>
      <c r="AB144" s="10">
        <f>INDEX(shelf!$B$1:$B$6,MATCH(AA144,shelf!$A$1:$A$6,0))</f>
        <v>0</v>
      </c>
      <c r="AC144" s="10" cm="1">
        <f t="array" ref="AC144">SUMPRODUCT(A144:X144*AB144)</f>
        <v>0</v>
      </c>
    </row>
    <row r="145" spans="1:29" x14ac:dyDescent="0.25">
      <c r="A145">
        <v>1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0.85416497395537105</v>
      </c>
      <c r="J145">
        <v>0.51821239194922897</v>
      </c>
      <c r="K145">
        <v>0.59231802895905605</v>
      </c>
      <c r="L145">
        <v>0.51821239194922897</v>
      </c>
      <c r="M145">
        <v>0.51821239194922897</v>
      </c>
      <c r="N145">
        <v>0.51821239194922897</v>
      </c>
      <c r="O145">
        <v>0.51821239194922897</v>
      </c>
      <c r="P145">
        <v>0.51821239194922897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 t="s">
        <v>73</v>
      </c>
      <c r="Z145" t="s">
        <v>262</v>
      </c>
      <c r="AA145" t="s">
        <v>254</v>
      </c>
      <c r="AB145" s="10">
        <f>INDEX(shelf!$B$1:$B$6,MATCH(AA145,shelf!$A$1:$A$6,0))</f>
        <v>0</v>
      </c>
      <c r="AC145" s="10" cm="1">
        <f t="array" ref="AC145">SUMPRODUCT(A145:X145*AB145)</f>
        <v>0</v>
      </c>
    </row>
    <row r="146" spans="1:29" x14ac:dyDescent="0.25">
      <c r="A146">
        <v>0.189591625129479</v>
      </c>
      <c r="B146">
        <v>0.17909682994395101</v>
      </c>
      <c r="C146">
        <v>0.17850545710864399</v>
      </c>
      <c r="D146">
        <v>0.183245104366213</v>
      </c>
      <c r="E146">
        <v>0.20229937773318399</v>
      </c>
      <c r="F146">
        <v>0.249970872649913</v>
      </c>
      <c r="G146">
        <v>0.28975236806667898</v>
      </c>
      <c r="H146">
        <v>0.28282320137829298</v>
      </c>
      <c r="I146">
        <v>0.242954686199949</v>
      </c>
      <c r="J146">
        <v>0.21328612131296201</v>
      </c>
      <c r="K146">
        <v>0.207898438638943</v>
      </c>
      <c r="L146">
        <v>0.201259067703834</v>
      </c>
      <c r="M146">
        <v>0.191523451369492</v>
      </c>
      <c r="N146">
        <v>0.18081434820380199</v>
      </c>
      <c r="O146">
        <v>0.17885521920191899</v>
      </c>
      <c r="P146">
        <v>0.206172442809196</v>
      </c>
      <c r="Q146">
        <v>0.293863054440066</v>
      </c>
      <c r="R146">
        <v>0.32583290554333399</v>
      </c>
      <c r="S146">
        <v>0.32730014848604</v>
      </c>
      <c r="T146">
        <v>0.32730949874695497</v>
      </c>
      <c r="U146">
        <v>0.32408690015522901</v>
      </c>
      <c r="V146">
        <v>0.31426295502278101</v>
      </c>
      <c r="W146">
        <v>0.27278046014044499</v>
      </c>
      <c r="X146">
        <v>0.21984726173175201</v>
      </c>
      <c r="Y146" t="s">
        <v>74</v>
      </c>
      <c r="Z146" t="s">
        <v>262</v>
      </c>
      <c r="AA146" t="s">
        <v>222</v>
      </c>
      <c r="AB146" s="10">
        <f>INDEX(shelf!$B$1:$B$6,MATCH(AA146,shelf!$A$1:$A$6,0))</f>
        <v>120</v>
      </c>
      <c r="AC146" s="10" cm="1">
        <f t="array" ref="AC146">SUMPRODUCT(A146:X146*AB146)</f>
        <v>693.99981552996678</v>
      </c>
    </row>
    <row r="147" spans="1:29" x14ac:dyDescent="0.25">
      <c r="A147">
        <v>0.108498947194099</v>
      </c>
      <c r="B147">
        <v>0.10721975358215199</v>
      </c>
      <c r="C147">
        <v>0.106849794925301</v>
      </c>
      <c r="D147">
        <v>0.107370448620557</v>
      </c>
      <c r="E147">
        <v>0.10993436808215901</v>
      </c>
      <c r="F147">
        <v>0.123758417168912</v>
      </c>
      <c r="G147">
        <v>0.12827887872687699</v>
      </c>
      <c r="H147">
        <v>0.115735269953527</v>
      </c>
      <c r="I147">
        <v>0.108779377102693</v>
      </c>
      <c r="J147">
        <v>0.108588943455401</v>
      </c>
      <c r="K147">
        <v>0.11333123995356301</v>
      </c>
      <c r="L147">
        <v>0.12819885607721701</v>
      </c>
      <c r="M147">
        <v>0.141954336583929</v>
      </c>
      <c r="N147">
        <v>0.149685833577622</v>
      </c>
      <c r="O147">
        <v>0.158212648180936</v>
      </c>
      <c r="P147">
        <v>0.16517282656802201</v>
      </c>
      <c r="Q147">
        <v>0.19374644473438199</v>
      </c>
      <c r="R147">
        <v>0.247555092488733</v>
      </c>
      <c r="S147">
        <v>0.258515780008096</v>
      </c>
      <c r="T147">
        <v>0.258182676963016</v>
      </c>
      <c r="U147">
        <v>0.25808597968139202</v>
      </c>
      <c r="V147">
        <v>0.24330259382481001</v>
      </c>
      <c r="W147">
        <v>0.17746413413436199</v>
      </c>
      <c r="X147">
        <v>0.11854993224532</v>
      </c>
      <c r="Y147" t="s">
        <v>74</v>
      </c>
      <c r="Z147" t="s">
        <v>262</v>
      </c>
      <c r="AA147" t="s">
        <v>250</v>
      </c>
      <c r="AB147" s="10">
        <f>INDEX(shelf!$B$1:$B$6,MATCH(AA147,shelf!$A$1:$A$6,0))</f>
        <v>92</v>
      </c>
      <c r="AC147" s="10" cm="1">
        <f t="array" ref="AC147">SUMPRODUCT(A147:X147*AB147)</f>
        <v>343.80147679264309</v>
      </c>
    </row>
    <row r="148" spans="1:29" x14ac:dyDescent="0.25">
      <c r="A148">
        <v>0.29276183158070501</v>
      </c>
      <c r="B148">
        <v>0.267533373148302</v>
      </c>
      <c r="C148">
        <v>0.24666667888093</v>
      </c>
      <c r="D148">
        <v>0.23942744894267701</v>
      </c>
      <c r="E148">
        <v>0.24921538088245601</v>
      </c>
      <c r="F148">
        <v>0.25917741754644302</v>
      </c>
      <c r="G148">
        <v>0.24808052789309201</v>
      </c>
      <c r="H148">
        <v>0.25433247775303403</v>
      </c>
      <c r="I148">
        <v>0.28279864135962401</v>
      </c>
      <c r="J148">
        <v>0.31878088860694798</v>
      </c>
      <c r="K148">
        <v>0.36343425973350701</v>
      </c>
      <c r="L148">
        <v>0.40252353061569102</v>
      </c>
      <c r="M148">
        <v>0.43122106481649702</v>
      </c>
      <c r="N148">
        <v>0.45010965585903301</v>
      </c>
      <c r="O148">
        <v>0.46268936075935901</v>
      </c>
      <c r="P148">
        <v>0.47345311960344599</v>
      </c>
      <c r="Q148">
        <v>0.48084132320065298</v>
      </c>
      <c r="R148">
        <v>0.48650306381331299</v>
      </c>
      <c r="S148">
        <v>0.49437081757374501</v>
      </c>
      <c r="T148">
        <v>0.49218878193413601</v>
      </c>
      <c r="U148">
        <v>0.48386397237380502</v>
      </c>
      <c r="V148">
        <v>0.46027397699908801</v>
      </c>
      <c r="W148">
        <v>0.40334329772461303</v>
      </c>
      <c r="X148">
        <v>0.33903636240854501</v>
      </c>
      <c r="Y148" t="s">
        <v>74</v>
      </c>
      <c r="Z148" t="s">
        <v>262</v>
      </c>
      <c r="AA148" t="s">
        <v>251</v>
      </c>
      <c r="AB148" s="10">
        <f>INDEX(shelf!$B$1:$B$6,MATCH(AA148,shelf!$A$1:$A$6,0))</f>
        <v>92</v>
      </c>
      <c r="AC148" s="10" cm="1">
        <f t="array" ref="AC148">SUMPRODUCT(A148:X148*AB148)</f>
        <v>817.20170736888724</v>
      </c>
    </row>
    <row r="149" spans="1:29" x14ac:dyDescent="0.25">
      <c r="A149">
        <v>0.14215565970858501</v>
      </c>
      <c r="B149">
        <v>0.13552793930076401</v>
      </c>
      <c r="C149">
        <v>0.13299345144595601</v>
      </c>
      <c r="D149">
        <v>0.13263138175241199</v>
      </c>
      <c r="E149">
        <v>0.13611646413856601</v>
      </c>
      <c r="F149">
        <v>0.15537184986611399</v>
      </c>
      <c r="G149">
        <v>0.17849941878167699</v>
      </c>
      <c r="H149">
        <v>0.15758610405817999</v>
      </c>
      <c r="I149">
        <v>0.155036103967232</v>
      </c>
      <c r="J149">
        <v>0.16793817134292299</v>
      </c>
      <c r="K149">
        <v>0.19350151388331199</v>
      </c>
      <c r="L149">
        <v>0.21368128786448401</v>
      </c>
      <c r="M149">
        <v>0.22784513462984801</v>
      </c>
      <c r="N149">
        <v>0.23459413252021899</v>
      </c>
      <c r="O149">
        <v>0.24350708735214099</v>
      </c>
      <c r="P149">
        <v>0.26422814436105202</v>
      </c>
      <c r="Q149">
        <v>0.31360370951209898</v>
      </c>
      <c r="R149">
        <v>0.32750702122047198</v>
      </c>
      <c r="S149">
        <v>0.32776015271021403</v>
      </c>
      <c r="T149">
        <v>0.32558209373580799</v>
      </c>
      <c r="U149">
        <v>0.320303115253597</v>
      </c>
      <c r="V149">
        <v>0.28749285554612702</v>
      </c>
      <c r="W149">
        <v>0.21542324147285899</v>
      </c>
      <c r="X149">
        <v>0.15627919816337199</v>
      </c>
      <c r="Y149" t="s">
        <v>74</v>
      </c>
      <c r="Z149" t="s">
        <v>262</v>
      </c>
      <c r="AA149" t="s">
        <v>252</v>
      </c>
      <c r="AB149" s="10">
        <f>INDEX(shelf!$B$1:$B$6,MATCH(AA149,shelf!$A$1:$A$6,0))</f>
        <v>61</v>
      </c>
      <c r="AC149" s="10" cm="1">
        <f t="array" ref="AC149">SUMPRODUCT(A149:X149*AB149)</f>
        <v>313.8550791878688</v>
      </c>
    </row>
    <row r="150" spans="1:29" x14ac:dyDescent="0.25">
      <c r="A150">
        <v>0.216840965842516</v>
      </c>
      <c r="B150">
        <v>0.216840965842516</v>
      </c>
      <c r="C150">
        <v>0.216840965842516</v>
      </c>
      <c r="D150">
        <v>0.216840965842516</v>
      </c>
      <c r="E150">
        <v>0.216840965842516</v>
      </c>
      <c r="F150">
        <v>0.216840965842516</v>
      </c>
      <c r="G150">
        <v>0.216840965842516</v>
      </c>
      <c r="H150">
        <v>0.216840965842516</v>
      </c>
      <c r="I150">
        <v>0.216840965842516</v>
      </c>
      <c r="J150">
        <v>0.26101346845488699</v>
      </c>
      <c r="K150">
        <v>0.38474952291644499</v>
      </c>
      <c r="L150">
        <v>0.41414050972441602</v>
      </c>
      <c r="M150">
        <v>0.48424159752811102</v>
      </c>
      <c r="N150">
        <v>0.54209883033960804</v>
      </c>
      <c r="O150">
        <v>0.54209883033960804</v>
      </c>
      <c r="P150">
        <v>0.54209883033960804</v>
      </c>
      <c r="Q150">
        <v>0.54209883033960804</v>
      </c>
      <c r="R150">
        <v>0.54209883033960804</v>
      </c>
      <c r="S150">
        <v>0.54209883033960804</v>
      </c>
      <c r="T150">
        <v>0.54209883033960804</v>
      </c>
      <c r="U150">
        <v>0.54209883033960804</v>
      </c>
      <c r="V150">
        <v>0.54209883033960804</v>
      </c>
      <c r="W150">
        <v>0.462456424623374</v>
      </c>
      <c r="X150">
        <v>0.41414050972441602</v>
      </c>
      <c r="Y150" t="s">
        <v>74</v>
      </c>
      <c r="Z150" t="s">
        <v>262</v>
      </c>
      <c r="AA150" t="s">
        <v>253</v>
      </c>
      <c r="AB150" s="10">
        <f>INDEX(shelf!$B$1:$B$6,MATCH(AA150,shelf!$A$1:$A$6,0))</f>
        <v>0</v>
      </c>
      <c r="AC150" s="10" cm="1">
        <f t="array" ref="AC150">SUMPRODUCT(A150:X150*AB150)</f>
        <v>0</v>
      </c>
    </row>
    <row r="151" spans="1:29" x14ac:dyDescent="0.25">
      <c r="A151">
        <v>0.228733562699693</v>
      </c>
      <c r="B151">
        <v>0.228733562699693</v>
      </c>
      <c r="C151">
        <v>0.228733562699693</v>
      </c>
      <c r="D151">
        <v>0.228733562699693</v>
      </c>
      <c r="E151">
        <v>0.31933665593528998</v>
      </c>
      <c r="F151">
        <v>0.34872764274326101</v>
      </c>
      <c r="G151">
        <v>0.37857024715340298</v>
      </c>
      <c r="H151">
        <v>0.34872764274326101</v>
      </c>
      <c r="I151">
        <v>0.31933665593528998</v>
      </c>
      <c r="J151">
        <v>0.27433260345225502</v>
      </c>
      <c r="K151">
        <v>0.228733562699693</v>
      </c>
      <c r="L151">
        <v>0.228733562699693</v>
      </c>
      <c r="M151">
        <v>0.19560060147373101</v>
      </c>
      <c r="N151">
        <v>0.15142809886136099</v>
      </c>
      <c r="O151">
        <v>0.15142809886136099</v>
      </c>
      <c r="P151">
        <v>0.15142809886136099</v>
      </c>
      <c r="Q151">
        <v>0.228733562699693</v>
      </c>
      <c r="R151">
        <v>0.34872764274326101</v>
      </c>
      <c r="S151">
        <v>0.37857024715340298</v>
      </c>
      <c r="T151">
        <v>0.37857024715340298</v>
      </c>
      <c r="U151">
        <v>0.37857024715340298</v>
      </c>
      <c r="V151">
        <v>0.37857024715340298</v>
      </c>
      <c r="W151">
        <v>0.34872764274326101</v>
      </c>
      <c r="X151">
        <v>0.31933665593528998</v>
      </c>
      <c r="Y151" t="s">
        <v>74</v>
      </c>
      <c r="Z151" t="s">
        <v>262</v>
      </c>
      <c r="AA151" t="s">
        <v>254</v>
      </c>
      <c r="AB151" s="10">
        <f>INDEX(shelf!$B$1:$B$6,MATCH(AA151,shelf!$A$1:$A$6,0))</f>
        <v>0</v>
      </c>
      <c r="AC151" s="10" cm="1">
        <f t="array" ref="AC151">SUMPRODUCT(A151:X151*AB151)</f>
        <v>0</v>
      </c>
    </row>
    <row r="152" spans="1:29" x14ac:dyDescent="0.25">
      <c r="A152">
        <v>0.48603019276727899</v>
      </c>
      <c r="B152">
        <v>0.478396537943171</v>
      </c>
      <c r="C152">
        <v>0.48262226464126501</v>
      </c>
      <c r="D152">
        <v>0.50477575080089099</v>
      </c>
      <c r="E152">
        <v>0.55543238209700097</v>
      </c>
      <c r="F152">
        <v>0.62791108277471896</v>
      </c>
      <c r="G152">
        <v>0.66492102595598102</v>
      </c>
      <c r="H152">
        <v>0.645052948226296</v>
      </c>
      <c r="I152">
        <v>0.67537074672296404</v>
      </c>
      <c r="J152">
        <v>0.73113731686755601</v>
      </c>
      <c r="K152">
        <v>0.75907269102087604</v>
      </c>
      <c r="L152">
        <v>0.75643633240753505</v>
      </c>
      <c r="M152">
        <v>0.74805519927072905</v>
      </c>
      <c r="N152">
        <v>0.72082367882474896</v>
      </c>
      <c r="O152">
        <v>0.72032036807935196</v>
      </c>
      <c r="P152">
        <v>0.76737503942263396</v>
      </c>
      <c r="Q152">
        <v>0.77299805571920399</v>
      </c>
      <c r="R152">
        <v>0.77047954865168</v>
      </c>
      <c r="S152">
        <v>0.74298237389247701</v>
      </c>
      <c r="T152">
        <v>0.71740858845009503</v>
      </c>
      <c r="U152">
        <v>0.68604314831132596</v>
      </c>
      <c r="V152">
        <v>0.65206153407811296</v>
      </c>
      <c r="W152">
        <v>0.610760101733963</v>
      </c>
      <c r="X152">
        <v>0.544766491643767</v>
      </c>
      <c r="Y152" t="s">
        <v>75</v>
      </c>
      <c r="Z152" t="s">
        <v>262</v>
      </c>
      <c r="AA152" t="s">
        <v>222</v>
      </c>
      <c r="AB152" s="10">
        <f>INDEX(shelf!$B$1:$B$6,MATCH(AA152,shelf!$A$1:$A$6,0))</f>
        <v>120</v>
      </c>
      <c r="AC152" s="10" cm="1">
        <f t="array" ref="AC152">SUMPRODUCT(A152:X152*AB152)</f>
        <v>1898.5480080364346</v>
      </c>
    </row>
    <row r="153" spans="1:29" x14ac:dyDescent="0.25">
      <c r="A153">
        <v>0.212006664614869</v>
      </c>
      <c r="B153">
        <v>0.20847927131389701</v>
      </c>
      <c r="C153">
        <v>0.206768017610476</v>
      </c>
      <c r="D153">
        <v>0.21181383593258801</v>
      </c>
      <c r="E153">
        <v>0.236890439589378</v>
      </c>
      <c r="F153">
        <v>0.2629602319821</v>
      </c>
      <c r="G153">
        <v>0.25794426579908603</v>
      </c>
      <c r="H153">
        <v>0.29066382387950401</v>
      </c>
      <c r="I153">
        <v>0.30944646707406298</v>
      </c>
      <c r="J153">
        <v>0.32410951507311397</v>
      </c>
      <c r="K153">
        <v>0.33900089159553498</v>
      </c>
      <c r="L153">
        <v>0.34602582605838</v>
      </c>
      <c r="M153">
        <v>0.35765525127343001</v>
      </c>
      <c r="N153">
        <v>0.35504924021164203</v>
      </c>
      <c r="O153">
        <v>0.35894373414205999</v>
      </c>
      <c r="P153">
        <v>0.36584280553195098</v>
      </c>
      <c r="Q153">
        <v>0.39265728777297998</v>
      </c>
      <c r="R153">
        <v>0.411982917173292</v>
      </c>
      <c r="S153">
        <v>0.35811513557845098</v>
      </c>
      <c r="T153">
        <v>0.35173968684462797</v>
      </c>
      <c r="U153">
        <v>0.33697901428258098</v>
      </c>
      <c r="V153">
        <v>0.295891175479914</v>
      </c>
      <c r="W153">
        <v>0.24657786213392499</v>
      </c>
      <c r="X153">
        <v>0.230856273418755</v>
      </c>
      <c r="Y153" t="s">
        <v>75</v>
      </c>
      <c r="Z153" t="s">
        <v>262</v>
      </c>
      <c r="AA153" t="s">
        <v>250</v>
      </c>
      <c r="AB153" s="10">
        <f>INDEX(shelf!$B$1:$B$6,MATCH(AA153,shelf!$A$1:$A$6,0))</f>
        <v>92</v>
      </c>
      <c r="AC153" s="10" cm="1">
        <f t="array" ref="AC153">SUMPRODUCT(A153:X153*AB153)</f>
        <v>668.69276636172719</v>
      </c>
    </row>
    <row r="154" spans="1:29" x14ac:dyDescent="0.25">
      <c r="A154">
        <v>0.75142917968531497</v>
      </c>
      <c r="B154">
        <v>0.71359732918118401</v>
      </c>
      <c r="C154">
        <v>0.69921180684682505</v>
      </c>
      <c r="D154">
        <v>0.70958992757959005</v>
      </c>
      <c r="E154">
        <v>0.75357493549285504</v>
      </c>
      <c r="F154">
        <v>0.78551214310462503</v>
      </c>
      <c r="G154">
        <v>0.87251720870517901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0.93601878285997597</v>
      </c>
      <c r="X154">
        <v>0.82014711606965196</v>
      </c>
      <c r="Y154" t="s">
        <v>75</v>
      </c>
      <c r="Z154" t="s">
        <v>262</v>
      </c>
      <c r="AA154" t="s">
        <v>251</v>
      </c>
      <c r="AB154" s="10">
        <f>INDEX(shelf!$B$1:$B$6,MATCH(AA154,shelf!$A$1:$A$6,0))</f>
        <v>92</v>
      </c>
      <c r="AC154" s="10" cm="1">
        <f t="array" ref="AC154">SUMPRODUCT(A154:X154*AB154)</f>
        <v>2027.8270555163185</v>
      </c>
    </row>
    <row r="155" spans="1:29" x14ac:dyDescent="0.25">
      <c r="A155">
        <v>0.31419412111984202</v>
      </c>
      <c r="B155">
        <v>0.31522599727573902</v>
      </c>
      <c r="C155">
        <v>0.31576140471511999</v>
      </c>
      <c r="D155">
        <v>0.32386309274102099</v>
      </c>
      <c r="E155">
        <v>0.37855496267375899</v>
      </c>
      <c r="F155">
        <v>0.43592021929813102</v>
      </c>
      <c r="G155">
        <v>0.43007941086852403</v>
      </c>
      <c r="H155">
        <v>0.454163010959939</v>
      </c>
      <c r="I155">
        <v>0.53081023641255298</v>
      </c>
      <c r="J155">
        <v>0.58084406162267799</v>
      </c>
      <c r="K155">
        <v>0.60759009688992305</v>
      </c>
      <c r="L155">
        <v>0.62447490059184696</v>
      </c>
      <c r="M155">
        <v>0.62984479384181702</v>
      </c>
      <c r="N155">
        <v>0.62435443391798595</v>
      </c>
      <c r="O155">
        <v>0.63432031330100402</v>
      </c>
      <c r="P155">
        <v>0.67279055465559601</v>
      </c>
      <c r="Q155">
        <v>0.691365542296838</v>
      </c>
      <c r="R155">
        <v>0.61581103475459498</v>
      </c>
      <c r="S155">
        <v>0.59260720643289</v>
      </c>
      <c r="T155">
        <v>0.57126513579812199</v>
      </c>
      <c r="U155">
        <v>0.53252232338348104</v>
      </c>
      <c r="V155">
        <v>0.45118298182574901</v>
      </c>
      <c r="W155">
        <v>0.37891757953042998</v>
      </c>
      <c r="X155">
        <v>0.33944588289717798</v>
      </c>
      <c r="Y155" t="s">
        <v>75</v>
      </c>
      <c r="Z155" t="s">
        <v>262</v>
      </c>
      <c r="AA155" t="s">
        <v>252</v>
      </c>
      <c r="AB155" s="10">
        <f>INDEX(shelf!$B$1:$B$6,MATCH(AA155,shelf!$A$1:$A$6,0))</f>
        <v>61</v>
      </c>
      <c r="AC155" s="10" cm="1">
        <f t="array" ref="AC155">SUMPRODUCT(A155:X155*AB155)</f>
        <v>734.80046716609058</v>
      </c>
    </row>
    <row r="156" spans="1:29" x14ac:dyDescent="0.25">
      <c r="A156">
        <v>0.64399293542745195</v>
      </c>
      <c r="B156">
        <v>0.64399293542745195</v>
      </c>
      <c r="C156">
        <v>0.64399293542745195</v>
      </c>
      <c r="D156">
        <v>0.64399293542745195</v>
      </c>
      <c r="E156">
        <v>0.64399293542745195</v>
      </c>
      <c r="F156">
        <v>0.64399293542745195</v>
      </c>
      <c r="G156">
        <v>0.64399293542745195</v>
      </c>
      <c r="H156">
        <v>0.96843889217634505</v>
      </c>
      <c r="I156">
        <v>0.92783675574494595</v>
      </c>
      <c r="J156">
        <v>0.92583262835253699</v>
      </c>
      <c r="K156">
        <v>0.98996470490962796</v>
      </c>
      <c r="L156">
        <v>0.93370068404125395</v>
      </c>
      <c r="M156">
        <v>0.96420795657014802</v>
      </c>
      <c r="N156">
        <v>0.86140364403360803</v>
      </c>
      <c r="O156">
        <v>0.83097059844517396</v>
      </c>
      <c r="P156">
        <v>0.82926337881460299</v>
      </c>
      <c r="Q156">
        <v>0.69899509830801299</v>
      </c>
      <c r="R156">
        <v>0.76038077806809801</v>
      </c>
      <c r="S156">
        <v>0.98432345743469796</v>
      </c>
      <c r="T156">
        <v>0.94646771780030503</v>
      </c>
      <c r="U156">
        <v>0.85887992805798197</v>
      </c>
      <c r="V156">
        <v>0.79897878710708803</v>
      </c>
      <c r="W156">
        <v>0.64399293542745195</v>
      </c>
      <c r="X156">
        <v>0.64399293542745195</v>
      </c>
      <c r="Y156" t="s">
        <v>75</v>
      </c>
      <c r="Z156" t="s">
        <v>262</v>
      </c>
      <c r="AA156" t="s">
        <v>253</v>
      </c>
      <c r="AB156" s="10">
        <f>INDEX(shelf!$B$1:$B$6,MATCH(AA156,shelf!$A$1:$A$6,0))</f>
        <v>0</v>
      </c>
      <c r="AC156" s="10" cm="1">
        <f t="array" ref="AC156">SUMPRODUCT(A156:X156*AB156)</f>
        <v>0</v>
      </c>
    </row>
    <row r="157" spans="1:29" x14ac:dyDescent="0.25">
      <c r="A157">
        <v>0.72252503843370397</v>
      </c>
      <c r="B157">
        <v>0.57763405065657403</v>
      </c>
      <c r="C157">
        <v>0.41544818575235698</v>
      </c>
      <c r="D157">
        <v>0.57763405065657403</v>
      </c>
      <c r="E157">
        <v>0.67932495908622004</v>
      </c>
      <c r="F157">
        <v>0.647407374688594</v>
      </c>
      <c r="G157">
        <v>0.65007954454513905</v>
      </c>
      <c r="H157">
        <v>0.79148186612066895</v>
      </c>
      <c r="I157">
        <v>0.77522616616001705</v>
      </c>
      <c r="J157">
        <v>0.78012514423035095</v>
      </c>
      <c r="K157">
        <v>0.76787769905451697</v>
      </c>
      <c r="L157">
        <v>0.77025296114922404</v>
      </c>
      <c r="M157">
        <v>0.78947773872825999</v>
      </c>
      <c r="N157">
        <v>0.73989414250124996</v>
      </c>
      <c r="O157">
        <v>0.73989414250124996</v>
      </c>
      <c r="P157">
        <v>0.73989414250124996</v>
      </c>
      <c r="Q157">
        <v>0.73989414250124996</v>
      </c>
      <c r="R157">
        <v>0.58075158215587697</v>
      </c>
      <c r="S157">
        <v>0.41544818575235698</v>
      </c>
      <c r="T157">
        <v>0.21637153143972099</v>
      </c>
      <c r="U157">
        <v>0.21637153143972099</v>
      </c>
      <c r="V157">
        <v>0.10814865224963</v>
      </c>
      <c r="W157">
        <v>0.10814865224963</v>
      </c>
      <c r="X157">
        <v>0.10814865224963</v>
      </c>
      <c r="Y157" t="s">
        <v>75</v>
      </c>
      <c r="Z157" t="s">
        <v>262</v>
      </c>
      <c r="AA157" t="s">
        <v>254</v>
      </c>
      <c r="AB157" s="10">
        <f>INDEX(shelf!$B$1:$B$6,MATCH(AA157,shelf!$A$1:$A$6,0))</f>
        <v>0</v>
      </c>
      <c r="AC157" s="10" cm="1">
        <f t="array" ref="AC157">SUMPRODUCT(A157:X157*AB157)</f>
        <v>0</v>
      </c>
    </row>
    <row r="158" spans="1:29" x14ac:dyDescent="0.25">
      <c r="A158">
        <v>0.35668719916964198</v>
      </c>
      <c r="B158">
        <v>0.35681362435751901</v>
      </c>
      <c r="C158">
        <v>0.35911551692926003</v>
      </c>
      <c r="D158">
        <v>0.35997723578059898</v>
      </c>
      <c r="E158">
        <v>0.374913298306978</v>
      </c>
      <c r="F158">
        <v>0.40120198489766601</v>
      </c>
      <c r="G158">
        <v>0.43084451703847498</v>
      </c>
      <c r="H158">
        <v>0.42638624013009802</v>
      </c>
      <c r="I158">
        <v>0.44281018399494698</v>
      </c>
      <c r="J158">
        <v>0.45448602717166098</v>
      </c>
      <c r="K158">
        <v>0.47331801305845</v>
      </c>
      <c r="L158">
        <v>0.47575050523465001</v>
      </c>
      <c r="M158">
        <v>0.47044899617693597</v>
      </c>
      <c r="N158">
        <v>0.463006011413232</v>
      </c>
      <c r="O158">
        <v>0.45271667088659501</v>
      </c>
      <c r="P158">
        <v>0.46919309313131802</v>
      </c>
      <c r="Q158">
        <v>0.47993804141049601</v>
      </c>
      <c r="R158">
        <v>0.50880472841248803</v>
      </c>
      <c r="S158">
        <v>0.47463772504323298</v>
      </c>
      <c r="T158">
        <v>0.45880416295196602</v>
      </c>
      <c r="U158">
        <v>0.44252870904835101</v>
      </c>
      <c r="V158">
        <v>0.411824086060321</v>
      </c>
      <c r="W158">
        <v>0.39307022139811598</v>
      </c>
      <c r="X158">
        <v>0.37274319803014699</v>
      </c>
      <c r="Y158" t="s">
        <v>76</v>
      </c>
      <c r="Z158" t="s">
        <v>262</v>
      </c>
      <c r="AA158" t="s">
        <v>222</v>
      </c>
      <c r="AB158" s="10">
        <f>INDEX(shelf!$B$1:$B$6,MATCH(AA158,shelf!$A$1:$A$6,0))</f>
        <v>120</v>
      </c>
      <c r="AC158" s="10" cm="1">
        <f t="array" ref="AC158">SUMPRODUCT(A158:X158*AB158)</f>
        <v>1237.2023988039773</v>
      </c>
    </row>
    <row r="159" spans="1:29" x14ac:dyDescent="0.25">
      <c r="A159">
        <v>0.17856588726775199</v>
      </c>
      <c r="B159">
        <v>0.172664305826537</v>
      </c>
      <c r="C159">
        <v>0.174845438490045</v>
      </c>
      <c r="D159">
        <v>0.19073282073794501</v>
      </c>
      <c r="E159">
        <v>0.220266818047652</v>
      </c>
      <c r="F159">
        <v>0.23503530756557001</v>
      </c>
      <c r="G159">
        <v>0.243355068897564</v>
      </c>
      <c r="H159">
        <v>0.259284195311273</v>
      </c>
      <c r="I159">
        <v>0.26932515805134699</v>
      </c>
      <c r="J159">
        <v>0.290238985121543</v>
      </c>
      <c r="K159">
        <v>0.29666013234077099</v>
      </c>
      <c r="L159">
        <v>0.30022105877056598</v>
      </c>
      <c r="M159">
        <v>0.29982896178457602</v>
      </c>
      <c r="N159">
        <v>0.30495827615832899</v>
      </c>
      <c r="O159">
        <v>0.30014800648040002</v>
      </c>
      <c r="P159">
        <v>0.309915395848121</v>
      </c>
      <c r="Q159">
        <v>0.32327054718079901</v>
      </c>
      <c r="R159">
        <v>0.36124804745686301</v>
      </c>
      <c r="S159">
        <v>0.33622689264369698</v>
      </c>
      <c r="T159">
        <v>0.31097092689785699</v>
      </c>
      <c r="U159">
        <v>0.29976634553586301</v>
      </c>
      <c r="V159">
        <v>0.27596471670953898</v>
      </c>
      <c r="W159">
        <v>0.237791167940481</v>
      </c>
      <c r="X159">
        <v>0.20045026619300099</v>
      </c>
      <c r="Y159" t="s">
        <v>76</v>
      </c>
      <c r="Z159" t="s">
        <v>262</v>
      </c>
      <c r="AA159" t="s">
        <v>250</v>
      </c>
      <c r="AB159" s="10">
        <f>INDEX(shelf!$B$1:$B$6,MATCH(AA159,shelf!$A$1:$A$6,0))</f>
        <v>92</v>
      </c>
      <c r="AC159" s="10" cm="1">
        <f t="array" ref="AC159">SUMPRODUCT(A159:X159*AB159)</f>
        <v>588.03959490774423</v>
      </c>
    </row>
    <row r="160" spans="1:29" x14ac:dyDescent="0.25">
      <c r="A160">
        <v>0.774177325729692</v>
      </c>
      <c r="B160">
        <v>0.74555515397937899</v>
      </c>
      <c r="C160">
        <v>0.74589805248423702</v>
      </c>
      <c r="D160">
        <v>0.75895657347613099</v>
      </c>
      <c r="E160">
        <v>0.77456752058004696</v>
      </c>
      <c r="F160">
        <v>0.79168327974321195</v>
      </c>
      <c r="G160">
        <v>0.83073271913090097</v>
      </c>
      <c r="H160">
        <v>0.90539078877132695</v>
      </c>
      <c r="I160">
        <v>0.98677124565181495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0.87585185619078498</v>
      </c>
      <c r="X160">
        <v>0.80965352621503495</v>
      </c>
      <c r="Y160" t="s">
        <v>76</v>
      </c>
      <c r="Z160" t="s">
        <v>262</v>
      </c>
      <c r="AA160" t="s">
        <v>251</v>
      </c>
      <c r="AB160" s="10">
        <f>INDEX(shelf!$B$1:$B$6,MATCH(AA160,shelf!$A$1:$A$6,0))</f>
        <v>92</v>
      </c>
      <c r="AC160" s="10" cm="1">
        <f t="array" ref="AC160">SUMPRODUCT(A160:X160*AB160)</f>
        <v>2023.9298998596357</v>
      </c>
    </row>
    <row r="161" spans="1:29" x14ac:dyDescent="0.25">
      <c r="A161">
        <v>0.30578339554345002</v>
      </c>
      <c r="B161">
        <v>0.28849231683947402</v>
      </c>
      <c r="C161">
        <v>0.29370212559852699</v>
      </c>
      <c r="D161">
        <v>0.30896616822296602</v>
      </c>
      <c r="E161">
        <v>0.36038520434813098</v>
      </c>
      <c r="F161">
        <v>0.39829516363929302</v>
      </c>
      <c r="G161">
        <v>0.39106281583027602</v>
      </c>
      <c r="H161">
        <v>0.41753570466269002</v>
      </c>
      <c r="I161">
        <v>0.45264064175837598</v>
      </c>
      <c r="J161">
        <v>0.47303017383739399</v>
      </c>
      <c r="K161">
        <v>0.487492620940642</v>
      </c>
      <c r="L161">
        <v>0.52080211897974404</v>
      </c>
      <c r="M161">
        <v>0.52050419077060595</v>
      </c>
      <c r="N161">
        <v>0.51586550476718496</v>
      </c>
      <c r="O161">
        <v>0.52933860536461297</v>
      </c>
      <c r="P161">
        <v>0.54095330849145196</v>
      </c>
      <c r="Q161">
        <v>0.58800235613011798</v>
      </c>
      <c r="R161">
        <v>0.56777696563047397</v>
      </c>
      <c r="S161">
        <v>0.53587054081780605</v>
      </c>
      <c r="T161">
        <v>0.50898392526477698</v>
      </c>
      <c r="U161">
        <v>0.449324082449095</v>
      </c>
      <c r="V161">
        <v>0.39702475278522897</v>
      </c>
      <c r="W161">
        <v>0.36313851070352998</v>
      </c>
      <c r="X161">
        <v>0.32787505331543498</v>
      </c>
      <c r="Y161" t="s">
        <v>76</v>
      </c>
      <c r="Z161" t="s">
        <v>262</v>
      </c>
      <c r="AA161" t="s">
        <v>252</v>
      </c>
      <c r="AB161" s="10">
        <f>INDEX(shelf!$B$1:$B$6,MATCH(AA161,shelf!$A$1:$A$6,0))</f>
        <v>61</v>
      </c>
      <c r="AC161" s="10" cm="1">
        <f t="array" ref="AC161">SUMPRODUCT(A161:X161*AB161)</f>
        <v>643.11362104816817</v>
      </c>
    </row>
    <row r="162" spans="1:29" x14ac:dyDescent="0.25">
      <c r="A162">
        <v>0.75101630533950503</v>
      </c>
      <c r="B162">
        <v>0.75101630533950503</v>
      </c>
      <c r="C162">
        <v>0.75101630533950503</v>
      </c>
      <c r="D162">
        <v>0.75101630533950503</v>
      </c>
      <c r="E162">
        <v>0.75101630533950503</v>
      </c>
      <c r="F162">
        <v>0.75101630533950503</v>
      </c>
      <c r="G162">
        <v>0.75101630533950503</v>
      </c>
      <c r="H162">
        <v>0.83626087364714896</v>
      </c>
      <c r="I162">
        <v>0.83626087364714896</v>
      </c>
      <c r="J162">
        <v>0.83626087364714896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0.83626087364714896</v>
      </c>
      <c r="T162">
        <v>0.83626087364714896</v>
      </c>
      <c r="U162">
        <v>0.813423833223621</v>
      </c>
      <c r="V162">
        <v>0.66295996929202805</v>
      </c>
      <c r="W162">
        <v>0.66295996929202805</v>
      </c>
      <c r="X162">
        <v>0.35030511256270602</v>
      </c>
      <c r="Y162" t="s">
        <v>76</v>
      </c>
      <c r="Z162" t="s">
        <v>262</v>
      </c>
      <c r="AA162" t="s">
        <v>253</v>
      </c>
      <c r="AB162" s="10">
        <f>INDEX(shelf!$B$1:$B$6,MATCH(AA162,shelf!$A$1:$A$6,0))</f>
        <v>0</v>
      </c>
      <c r="AC162" s="10" cm="1">
        <f t="array" ref="AC162">SUMPRODUCT(A162:X162*AB162)</f>
        <v>0</v>
      </c>
    </row>
    <row r="163" spans="1:29" x14ac:dyDescent="0.25">
      <c r="A163">
        <v>0.15348137077434101</v>
      </c>
      <c r="B163">
        <v>0.15348137077434101</v>
      </c>
      <c r="C163">
        <v>0.15348137077434101</v>
      </c>
      <c r="D163">
        <v>0.15348137077434101</v>
      </c>
      <c r="E163">
        <v>0.15348137077434101</v>
      </c>
      <c r="F163">
        <v>0.15348137077434101</v>
      </c>
      <c r="G163">
        <v>0.15348137077434101</v>
      </c>
      <c r="H163">
        <v>0.15348137077434101</v>
      </c>
      <c r="I163">
        <v>0.15348137077434101</v>
      </c>
      <c r="J163">
        <v>0.15348137077434101</v>
      </c>
      <c r="K163">
        <v>0.15348137077434101</v>
      </c>
      <c r="L163">
        <v>0.15348137077434101</v>
      </c>
      <c r="M163">
        <v>0.15348137077434101</v>
      </c>
      <c r="N163">
        <v>0.15348137077434101</v>
      </c>
      <c r="O163">
        <v>0.15348137077434101</v>
      </c>
      <c r="P163">
        <v>0.15348137077434101</v>
      </c>
      <c r="Q163">
        <v>0.15691035582291901</v>
      </c>
      <c r="R163">
        <v>0.15691035582291901</v>
      </c>
      <c r="S163">
        <v>0.15691035582291901</v>
      </c>
      <c r="T163">
        <v>0.15691035582291901</v>
      </c>
      <c r="U163">
        <v>0.15691035582291901</v>
      </c>
      <c r="V163">
        <v>0.15691035582291901</v>
      </c>
      <c r="W163">
        <v>0.15691035582291901</v>
      </c>
      <c r="X163">
        <v>0.15691035582291901</v>
      </c>
      <c r="Y163" t="s">
        <v>76</v>
      </c>
      <c r="Z163" t="s">
        <v>262</v>
      </c>
      <c r="AA163" t="s">
        <v>254</v>
      </c>
      <c r="AB163" s="10">
        <f>INDEX(shelf!$B$1:$B$6,MATCH(AA163,shelf!$A$1:$A$6,0))</f>
        <v>0</v>
      </c>
      <c r="AC163" s="10" cm="1">
        <f t="array" ref="AC163">SUMPRODUCT(A163:X163*AB163)</f>
        <v>0</v>
      </c>
    </row>
    <row r="164" spans="1:29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77</v>
      </c>
      <c r="Z164" t="s">
        <v>262</v>
      </c>
      <c r="AA164" t="s">
        <v>222</v>
      </c>
      <c r="AB164" s="10">
        <f>INDEX(shelf!$B$1:$B$6,MATCH(AA164,shelf!$A$1:$A$6,0))</f>
        <v>120</v>
      </c>
      <c r="AC164" s="10" cm="1">
        <f t="array" ref="AC164">SUMPRODUCT(A164:X164*AB164)</f>
        <v>0</v>
      </c>
    </row>
    <row r="165" spans="1:29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77</v>
      </c>
      <c r="Z165" t="s">
        <v>262</v>
      </c>
      <c r="AA165" t="s">
        <v>250</v>
      </c>
      <c r="AB165" s="10">
        <f>INDEX(shelf!$B$1:$B$6,MATCH(AA165,shelf!$A$1:$A$6,0))</f>
        <v>92</v>
      </c>
      <c r="AC165" s="10" cm="1">
        <f t="array" ref="AC165">SUMPRODUCT(A165:X165*AB165)</f>
        <v>0</v>
      </c>
    </row>
    <row r="166" spans="1:29" x14ac:dyDescent="0.25">
      <c r="A166">
        <v>0.15484777000906799</v>
      </c>
      <c r="B166">
        <v>0.15484777000906799</v>
      </c>
      <c r="C166">
        <v>0.15484777000906799</v>
      </c>
      <c r="D166">
        <v>0.15484777000906799</v>
      </c>
      <c r="E166">
        <v>0.15484777000906799</v>
      </c>
      <c r="F166">
        <v>0.15484777000906799</v>
      </c>
      <c r="G166">
        <v>0.15484777000906799</v>
      </c>
      <c r="H166">
        <v>0.15484777000906799</v>
      </c>
      <c r="I166">
        <v>0.15484777000906799</v>
      </c>
      <c r="J166">
        <v>0.15484777000906799</v>
      </c>
      <c r="K166">
        <v>0.15484777000906799</v>
      </c>
      <c r="L166">
        <v>0.194949575338177</v>
      </c>
      <c r="M166">
        <v>0.21713384804792701</v>
      </c>
      <c r="N166">
        <v>0.26189496527871697</v>
      </c>
      <c r="O166">
        <v>0.28373425063915098</v>
      </c>
      <c r="P166">
        <v>0.295251673122924</v>
      </c>
      <c r="Q166">
        <v>0.31862952275387102</v>
      </c>
      <c r="R166">
        <v>0.35680614005892403</v>
      </c>
      <c r="S166">
        <v>0.366630348770767</v>
      </c>
      <c r="T166">
        <v>0.35225389319668499</v>
      </c>
      <c r="U166">
        <v>0.315122151369159</v>
      </c>
      <c r="V166">
        <v>0.29427817433836001</v>
      </c>
      <c r="W166">
        <v>0.212736250687106</v>
      </c>
      <c r="X166">
        <v>0.167088872852038</v>
      </c>
      <c r="Y166" t="s">
        <v>77</v>
      </c>
      <c r="Z166" t="s">
        <v>262</v>
      </c>
      <c r="AA166" t="s">
        <v>251</v>
      </c>
      <c r="AB166" s="10">
        <f>INDEX(shelf!$B$1:$B$6,MATCH(AA166,shelf!$A$1:$A$6,0))</f>
        <v>92</v>
      </c>
      <c r="AC166" s="10" cm="1">
        <f t="array" ref="AC166">SUMPRODUCT(A166:X166*AB166)</f>
        <v>491.26483256292693</v>
      </c>
    </row>
    <row r="167" spans="1:29" x14ac:dyDescent="0.25">
      <c r="A167">
        <v>1.2046279574475899E-2</v>
      </c>
      <c r="B167">
        <v>1.2046279574475899E-2</v>
      </c>
      <c r="C167">
        <v>1.2046279574475899E-2</v>
      </c>
      <c r="D167">
        <v>1.2046279574475899E-2</v>
      </c>
      <c r="E167">
        <v>1.2046279574475899E-2</v>
      </c>
      <c r="F167">
        <v>1.2046279574475899E-2</v>
      </c>
      <c r="G167">
        <v>1.2046279574475899E-2</v>
      </c>
      <c r="H167">
        <v>1.2046279574475899E-2</v>
      </c>
      <c r="I167">
        <v>1.2046279574475899E-2</v>
      </c>
      <c r="J167">
        <v>1.2046279574475899E-2</v>
      </c>
      <c r="K167">
        <v>1.2046279574475899E-2</v>
      </c>
      <c r="L167">
        <v>1.2046279574475899E-2</v>
      </c>
      <c r="M167">
        <v>1.2046279574475899E-2</v>
      </c>
      <c r="N167">
        <v>1.2046279574475899E-2</v>
      </c>
      <c r="O167">
        <v>1.2046279574475899E-2</v>
      </c>
      <c r="P167">
        <v>1.6061706099301201E-2</v>
      </c>
      <c r="Q167">
        <v>1.6061706099301201E-2</v>
      </c>
      <c r="R167">
        <v>1.90704482277619E-2</v>
      </c>
      <c r="S167">
        <v>1.7984586406964102E-2</v>
      </c>
      <c r="T167">
        <v>1.30359973798906E-2</v>
      </c>
      <c r="U167">
        <v>1.2360161507050301E-2</v>
      </c>
      <c r="V167">
        <v>1.2046279574475899E-2</v>
      </c>
      <c r="W167">
        <v>1.2046279574475899E-2</v>
      </c>
      <c r="X167">
        <v>1.2046279574475899E-2</v>
      </c>
      <c r="Y167" t="s">
        <v>77</v>
      </c>
      <c r="Z167" t="s">
        <v>262</v>
      </c>
      <c r="AA167" t="s">
        <v>252</v>
      </c>
      <c r="AB167" s="10">
        <f>INDEX(shelf!$B$1:$B$6,MATCH(AA167,shelf!$A$1:$A$6,0))</f>
        <v>61</v>
      </c>
      <c r="AC167" s="10" cm="1">
        <f t="array" ref="AC167">SUMPRODUCT(A167:X167*AB167)</f>
        <v>18.995865921710966</v>
      </c>
    </row>
    <row r="168" spans="1:29" x14ac:dyDescent="0.25">
      <c r="A168">
        <v>0.24494101801434401</v>
      </c>
      <c r="B168">
        <v>0.24494101801434401</v>
      </c>
      <c r="C168">
        <v>0.24494101801434401</v>
      </c>
      <c r="D168">
        <v>0.24494101801434401</v>
      </c>
      <c r="E168">
        <v>0.24494101801434401</v>
      </c>
      <c r="F168">
        <v>0.24494101801434401</v>
      </c>
      <c r="G168">
        <v>0.24494101801434401</v>
      </c>
      <c r="H168">
        <v>0.24494101801434401</v>
      </c>
      <c r="I168">
        <v>0.24494101801434401</v>
      </c>
      <c r="J168">
        <v>0.24494101801434401</v>
      </c>
      <c r="K168">
        <v>0.24494101801434401</v>
      </c>
      <c r="L168">
        <v>0.24494101801434401</v>
      </c>
      <c r="M168">
        <v>0.24494101801434401</v>
      </c>
      <c r="N168">
        <v>0.24494101801434401</v>
      </c>
      <c r="O168">
        <v>0.24494101801434401</v>
      </c>
      <c r="P168">
        <v>0.24494101801434401</v>
      </c>
      <c r="Q168">
        <v>0.24494101801434401</v>
      </c>
      <c r="R168">
        <v>0.61235254503586101</v>
      </c>
      <c r="S168">
        <v>0.61235254503586101</v>
      </c>
      <c r="T168">
        <v>0.61235254503586101</v>
      </c>
      <c r="U168">
        <v>0.33550019720978902</v>
      </c>
      <c r="V168">
        <v>0.33550019720978902</v>
      </c>
      <c r="W168">
        <v>0.24494101801434401</v>
      </c>
      <c r="X168">
        <v>0.24494101801434401</v>
      </c>
      <c r="Y168" t="s">
        <v>77</v>
      </c>
      <c r="Z168" t="s">
        <v>262</v>
      </c>
      <c r="AA168" t="s">
        <v>253</v>
      </c>
      <c r="AB168" s="10">
        <f>INDEX(shelf!$B$1:$B$6,MATCH(AA168,shelf!$A$1:$A$6,0))</f>
        <v>0</v>
      </c>
      <c r="AC168" s="10" cm="1">
        <f t="array" ref="AC168">SUMPRODUCT(A168:X168*AB168)</f>
        <v>0</v>
      </c>
    </row>
    <row r="169" spans="1:29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77</v>
      </c>
      <c r="Z169" t="s">
        <v>262</v>
      </c>
      <c r="AA169" t="s">
        <v>254</v>
      </c>
      <c r="AB169" s="10">
        <f>INDEX(shelf!$B$1:$B$6,MATCH(AA169,shelf!$A$1:$A$6,0))</f>
        <v>0</v>
      </c>
      <c r="AC169" s="10" cm="1">
        <f t="array" ref="AC169">SUMPRODUCT(A169:X169*AB169)</f>
        <v>0</v>
      </c>
    </row>
    <row r="170" spans="1:29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78</v>
      </c>
      <c r="Z170" t="s">
        <v>262</v>
      </c>
      <c r="AA170" t="s">
        <v>222</v>
      </c>
      <c r="AB170" s="10">
        <f>INDEX(shelf!$B$1:$B$6,MATCH(AA170,shelf!$A$1:$A$6,0))</f>
        <v>120</v>
      </c>
      <c r="AC170" s="10" cm="1">
        <f t="array" ref="AC170">SUMPRODUCT(A170:X170*AB170)</f>
        <v>0</v>
      </c>
    </row>
    <row r="171" spans="1:29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78</v>
      </c>
      <c r="Z171" t="s">
        <v>262</v>
      </c>
      <c r="AA171" t="s">
        <v>250</v>
      </c>
      <c r="AB171" s="10">
        <f>INDEX(shelf!$B$1:$B$6,MATCH(AA171,shelf!$A$1:$A$6,0))</f>
        <v>92</v>
      </c>
      <c r="AC171" s="10" cm="1">
        <f t="array" ref="AC171">SUMPRODUCT(A171:X171*AB171)</f>
        <v>0</v>
      </c>
    </row>
    <row r="172" spans="1:29" x14ac:dyDescent="0.25">
      <c r="A172">
        <v>0.713217358259157</v>
      </c>
      <c r="B172">
        <v>0.713217358259157</v>
      </c>
      <c r="C172">
        <v>0.713217358259157</v>
      </c>
      <c r="D172">
        <v>0.713217358259157</v>
      </c>
      <c r="E172">
        <v>0.713217358259157</v>
      </c>
      <c r="F172">
        <v>0.713217358259157</v>
      </c>
      <c r="G172">
        <v>0.713217358259157</v>
      </c>
      <c r="H172">
        <v>0.713217358259157</v>
      </c>
      <c r="I172">
        <v>0.713217358259157</v>
      </c>
      <c r="J172">
        <v>0.713217358259157</v>
      </c>
      <c r="K172">
        <v>0.72992933879342004</v>
      </c>
      <c r="L172">
        <v>0.83859256906557</v>
      </c>
      <c r="M172">
        <v>0.87201653013409697</v>
      </c>
      <c r="N172">
        <v>0.88264714116506005</v>
      </c>
      <c r="O172">
        <v>0.99739174094050997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0.98324902116539303</v>
      </c>
      <c r="W172">
        <v>0.704873153591838</v>
      </c>
      <c r="X172">
        <v>0.702091752036064</v>
      </c>
      <c r="Y172" t="s">
        <v>78</v>
      </c>
      <c r="Z172" t="s">
        <v>262</v>
      </c>
      <c r="AA172" t="s">
        <v>251</v>
      </c>
      <c r="AB172" s="10">
        <f>INDEX(shelf!$B$1:$B$6,MATCH(AA172,shelf!$A$1:$A$6,0))</f>
        <v>92</v>
      </c>
      <c r="AC172" s="10" cm="1">
        <f t="array" ref="AC172">SUMPRODUCT(A172:X172*AB172)</f>
        <v>1825.5527643124842</v>
      </c>
    </row>
    <row r="173" spans="1:29" x14ac:dyDescent="0.25">
      <c r="A173">
        <v>4.7703857497200297E-2</v>
      </c>
      <c r="B173">
        <v>4.7703857497200297E-2</v>
      </c>
      <c r="C173">
        <v>4.7703857497200297E-2</v>
      </c>
      <c r="D173">
        <v>4.7703857497200297E-2</v>
      </c>
      <c r="E173">
        <v>4.7703857497200297E-2</v>
      </c>
      <c r="F173">
        <v>4.7703857497200297E-2</v>
      </c>
      <c r="G173">
        <v>4.7703857497200297E-2</v>
      </c>
      <c r="H173">
        <v>4.7703857497200297E-2</v>
      </c>
      <c r="I173">
        <v>4.7703857497200297E-2</v>
      </c>
      <c r="J173">
        <v>4.7703857497200297E-2</v>
      </c>
      <c r="K173">
        <v>4.7703857497200297E-2</v>
      </c>
      <c r="L173">
        <v>4.7703857497200297E-2</v>
      </c>
      <c r="M173">
        <v>4.7703857497200297E-2</v>
      </c>
      <c r="N173">
        <v>4.7703857497200297E-2</v>
      </c>
      <c r="O173">
        <v>6.3605143329600503E-2</v>
      </c>
      <c r="P173">
        <v>6.3605143329600503E-2</v>
      </c>
      <c r="Q173">
        <v>6.3605143329600503E-2</v>
      </c>
      <c r="R173">
        <v>8.7440263107976104E-2</v>
      </c>
      <c r="S173">
        <v>8.7440263107976104E-2</v>
      </c>
      <c r="T173">
        <v>7.1538977275575996E-2</v>
      </c>
      <c r="U173">
        <v>5.9604608416163697E-2</v>
      </c>
      <c r="V173">
        <v>4.7703857497200297E-2</v>
      </c>
      <c r="W173">
        <v>4.7703857497200297E-2</v>
      </c>
      <c r="X173">
        <v>4.7703857497200297E-2</v>
      </c>
      <c r="Y173" t="s">
        <v>78</v>
      </c>
      <c r="Z173" t="s">
        <v>262</v>
      </c>
      <c r="AA173" t="s">
        <v>252</v>
      </c>
      <c r="AB173" s="10">
        <f>INDEX(shelf!$B$1:$B$6,MATCH(AA173,shelf!$A$1:$A$6,0))</f>
        <v>61</v>
      </c>
      <c r="AC173" s="10" cm="1">
        <f t="array" ref="AC173">SUMPRODUCT(A173:X173*AB173)</f>
        <v>79.776112280282831</v>
      </c>
    </row>
    <row r="174" spans="1:29" x14ac:dyDescent="0.25">
      <c r="A174">
        <v>0.96997843577640697</v>
      </c>
      <c r="B174">
        <v>0.96997843577640697</v>
      </c>
      <c r="C174">
        <v>0.96997843577640697</v>
      </c>
      <c r="D174">
        <v>0.96997843577640697</v>
      </c>
      <c r="E174">
        <v>0.96997843577640697</v>
      </c>
      <c r="F174">
        <v>0.96997843577640697</v>
      </c>
      <c r="G174">
        <v>0.96997843577640697</v>
      </c>
      <c r="H174">
        <v>0.96997843577640697</v>
      </c>
      <c r="I174">
        <v>0.96997843577640697</v>
      </c>
      <c r="J174">
        <v>0.96997843577640697</v>
      </c>
      <c r="K174">
        <v>0.96997843577640697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0.96997843577640697</v>
      </c>
      <c r="X174">
        <v>0.96997843577640697</v>
      </c>
      <c r="Y174" t="s">
        <v>78</v>
      </c>
      <c r="Z174" t="s">
        <v>262</v>
      </c>
      <c r="AA174" t="s">
        <v>253</v>
      </c>
      <c r="AB174" s="10">
        <f>INDEX(shelf!$B$1:$B$6,MATCH(AA174,shelf!$A$1:$A$6,0))</f>
        <v>0</v>
      </c>
      <c r="AC174" s="10" cm="1">
        <f t="array" ref="AC174">SUMPRODUCT(A174:X174*AB174)</f>
        <v>0</v>
      </c>
    </row>
    <row r="175" spans="1:29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78</v>
      </c>
      <c r="Z175" t="s">
        <v>262</v>
      </c>
      <c r="AA175" t="s">
        <v>254</v>
      </c>
      <c r="AB175" s="10">
        <f>INDEX(shelf!$B$1:$B$6,MATCH(AA175,shelf!$A$1:$A$6,0))</f>
        <v>0</v>
      </c>
      <c r="AC175" s="10" cm="1">
        <f t="array" ref="AC175">SUMPRODUCT(A175:X175*AB175)</f>
        <v>0</v>
      </c>
    </row>
    <row r="176" spans="1:29" x14ac:dyDescent="0.25">
      <c r="A176">
        <v>0.81458539483677095</v>
      </c>
      <c r="B176">
        <v>0.81225514573914703</v>
      </c>
      <c r="C176">
        <v>0.81458539483677095</v>
      </c>
      <c r="D176">
        <v>0.81458539483677095</v>
      </c>
      <c r="E176">
        <v>0.81458539483677095</v>
      </c>
      <c r="F176">
        <v>0.81458539483677095</v>
      </c>
      <c r="G176">
        <v>0.81458539483677095</v>
      </c>
      <c r="H176">
        <v>0.80178679108661299</v>
      </c>
      <c r="I176">
        <v>0.64369434788006497</v>
      </c>
      <c r="J176">
        <v>0.57581738959789197</v>
      </c>
      <c r="K176">
        <v>0.58425694892194802</v>
      </c>
      <c r="L176">
        <v>0.578833073501409</v>
      </c>
      <c r="M176">
        <v>0.57917636401037997</v>
      </c>
      <c r="N176">
        <v>0.56234710558644097</v>
      </c>
      <c r="O176">
        <v>0.52791088386264795</v>
      </c>
      <c r="P176">
        <v>0.61883644715199004</v>
      </c>
      <c r="Q176">
        <v>0.75473192090451002</v>
      </c>
      <c r="R176">
        <v>0.81458539483677095</v>
      </c>
      <c r="S176">
        <v>0.816163155723579</v>
      </c>
      <c r="T176">
        <v>0.816163155723579</v>
      </c>
      <c r="U176">
        <v>0.816163155723579</v>
      </c>
      <c r="V176">
        <v>0.816163155723579</v>
      </c>
      <c r="W176">
        <v>0.80901766980395795</v>
      </c>
      <c r="X176">
        <v>0.80807089865066895</v>
      </c>
      <c r="Y176" t="s">
        <v>79</v>
      </c>
      <c r="Z176" t="s">
        <v>262</v>
      </c>
      <c r="AA176" t="s">
        <v>222</v>
      </c>
      <c r="AB176" s="10">
        <f>INDEX(shelf!$B$1:$B$6,MATCH(AA176,shelf!$A$1:$A$6,0))</f>
        <v>120</v>
      </c>
      <c r="AC176" s="10" cm="1">
        <f t="array" ref="AC176">SUMPRODUCT(A176:X176*AB176)</f>
        <v>2114.8182448139255</v>
      </c>
    </row>
    <row r="177" spans="1:29" x14ac:dyDescent="0.25">
      <c r="A177">
        <v>0.24176047834838199</v>
      </c>
      <c r="B177">
        <v>0.23712476698871501</v>
      </c>
      <c r="C177">
        <v>0.233162455208415</v>
      </c>
      <c r="D177">
        <v>0.23114368923537501</v>
      </c>
      <c r="E177">
        <v>0.25577363704200801</v>
      </c>
      <c r="F177">
        <v>0.25298690899547699</v>
      </c>
      <c r="G177">
        <v>0.218857012442042</v>
      </c>
      <c r="H177">
        <v>0.168798350306441</v>
      </c>
      <c r="I177">
        <v>0.16524939124666799</v>
      </c>
      <c r="J177">
        <v>0.16524939124666799</v>
      </c>
      <c r="K177">
        <v>0.163671916912873</v>
      </c>
      <c r="L177">
        <v>0.163671916912873</v>
      </c>
      <c r="M177">
        <v>0.163671916912873</v>
      </c>
      <c r="N177">
        <v>0.163671916912873</v>
      </c>
      <c r="O177">
        <v>0.163671916912873</v>
      </c>
      <c r="P177">
        <v>0.17021392218817599</v>
      </c>
      <c r="Q177">
        <v>0.171397386129787</v>
      </c>
      <c r="R177">
        <v>0.29849797482275298</v>
      </c>
      <c r="S177">
        <v>0.36514590723432699</v>
      </c>
      <c r="T177">
        <v>0.38791111131213801</v>
      </c>
      <c r="U177">
        <v>0.37409639057966598</v>
      </c>
      <c r="V177">
        <v>0.36258340692007401</v>
      </c>
      <c r="W177">
        <v>0.30476059091087099</v>
      </c>
      <c r="X177">
        <v>0.25283217036872802</v>
      </c>
      <c r="Y177" t="s">
        <v>79</v>
      </c>
      <c r="Z177" t="s">
        <v>262</v>
      </c>
      <c r="AA177" t="s">
        <v>250</v>
      </c>
      <c r="AB177" s="10">
        <f>INDEX(shelf!$B$1:$B$6,MATCH(AA177,shelf!$A$1:$A$6,0))</f>
        <v>92</v>
      </c>
      <c r="AC177" s="10" cm="1">
        <f t="array" ref="AC177">SUMPRODUCT(A177:X177*AB177)</f>
        <v>522.18321640037891</v>
      </c>
    </row>
    <row r="178" spans="1:29" x14ac:dyDescent="0.25">
      <c r="A178">
        <v>0.81935898817562702</v>
      </c>
      <c r="B178">
        <v>0.79923660255586304</v>
      </c>
      <c r="C178">
        <v>0.79716435779386197</v>
      </c>
      <c r="D178">
        <v>0.79300454101570494</v>
      </c>
      <c r="E178">
        <v>0.79299381193779495</v>
      </c>
      <c r="F178">
        <v>0.77137242086149604</v>
      </c>
      <c r="G178">
        <v>0.57609017473774304</v>
      </c>
      <c r="H178">
        <v>0.44224109599988698</v>
      </c>
      <c r="I178">
        <v>0.44535176223101097</v>
      </c>
      <c r="J178">
        <v>0.471862547383332</v>
      </c>
      <c r="K178">
        <v>0.52347784211908699</v>
      </c>
      <c r="L178">
        <v>0.56909941411682297</v>
      </c>
      <c r="M178">
        <v>0.57673698486316005</v>
      </c>
      <c r="N178">
        <v>0.58222874002754399</v>
      </c>
      <c r="O178">
        <v>0.58565284860617395</v>
      </c>
      <c r="P178">
        <v>0.61093592070053504</v>
      </c>
      <c r="Q178">
        <v>0.68172944219999498</v>
      </c>
      <c r="R178">
        <v>0.78436073603397405</v>
      </c>
      <c r="S178">
        <v>0.821730880756393</v>
      </c>
      <c r="T178">
        <v>0.821730880756393</v>
      </c>
      <c r="U178">
        <v>0.821730880756393</v>
      </c>
      <c r="V178">
        <v>0.821730880756393</v>
      </c>
      <c r="W178">
        <v>0.821730880756393</v>
      </c>
      <c r="X178">
        <v>0.821730880756393</v>
      </c>
      <c r="Y178" t="s">
        <v>79</v>
      </c>
      <c r="Z178" t="s">
        <v>262</v>
      </c>
      <c r="AA178" t="s">
        <v>251</v>
      </c>
      <c r="AB178" s="10">
        <f>INDEX(shelf!$B$1:$B$6,MATCH(AA178,shelf!$A$1:$A$6,0))</f>
        <v>92</v>
      </c>
      <c r="AC178" s="10" cm="1">
        <f t="array" ref="AC178">SUMPRODUCT(A178:X178*AB178)</f>
        <v>1522.902083462614</v>
      </c>
    </row>
    <row r="179" spans="1:29" x14ac:dyDescent="0.25">
      <c r="A179">
        <v>0.821730880756392</v>
      </c>
      <c r="B179">
        <v>0.821730880756392</v>
      </c>
      <c r="C179">
        <v>0.821730880756392</v>
      </c>
      <c r="D179">
        <v>0.821730880756392</v>
      </c>
      <c r="E179">
        <v>0.821730880756392</v>
      </c>
      <c r="F179">
        <v>0.821730880756392</v>
      </c>
      <c r="G179">
        <v>0.81994598431986299</v>
      </c>
      <c r="H179">
        <v>0.55869095221204301</v>
      </c>
      <c r="I179">
        <v>0.44296224330796502</v>
      </c>
      <c r="J179">
        <v>0.45422913195211001</v>
      </c>
      <c r="K179">
        <v>0.51669294411014499</v>
      </c>
      <c r="L179">
        <v>0.58427698884246104</v>
      </c>
      <c r="M179">
        <v>0.59868365293730497</v>
      </c>
      <c r="N179">
        <v>0.62773143786230101</v>
      </c>
      <c r="O179">
        <v>0.63799783370969998</v>
      </c>
      <c r="P179">
        <v>0.72938301863590704</v>
      </c>
      <c r="Q179">
        <v>0.82037059951329905</v>
      </c>
      <c r="R179">
        <v>0.821730880756392</v>
      </c>
      <c r="S179">
        <v>0.821730880756392</v>
      </c>
      <c r="T179">
        <v>0.821730880756392</v>
      </c>
      <c r="U179">
        <v>0.821730880756392</v>
      </c>
      <c r="V179">
        <v>0.821730880756392</v>
      </c>
      <c r="W179">
        <v>0.821730880756392</v>
      </c>
      <c r="X179">
        <v>0.821730880756392</v>
      </c>
      <c r="Y179" t="s">
        <v>79</v>
      </c>
      <c r="Z179" t="s">
        <v>262</v>
      </c>
      <c r="AA179" t="s">
        <v>252</v>
      </c>
      <c r="AB179" s="10">
        <f>INDEX(shelf!$B$1:$B$6,MATCH(AA179,shelf!$A$1:$A$6,0))</f>
        <v>61</v>
      </c>
      <c r="AC179" s="10" cm="1">
        <f t="array" ref="AC179">SUMPRODUCT(A179:X179*AB179)</f>
        <v>1065.8814404714078</v>
      </c>
    </row>
    <row r="180" spans="1:29" x14ac:dyDescent="0.25">
      <c r="A180">
        <v>0.821730880756391</v>
      </c>
      <c r="B180">
        <v>0.821730880756391</v>
      </c>
      <c r="C180">
        <v>0.821730880756391</v>
      </c>
      <c r="D180">
        <v>0.821730880756391</v>
      </c>
      <c r="E180">
        <v>0.821730880756391</v>
      </c>
      <c r="F180">
        <v>0.821730880756391</v>
      </c>
      <c r="G180">
        <v>0.821730880756391</v>
      </c>
      <c r="H180">
        <v>0.32867917086398102</v>
      </c>
      <c r="I180">
        <v>0.32867917086398102</v>
      </c>
      <c r="J180">
        <v>0.32867917086398102</v>
      </c>
      <c r="K180">
        <v>0.55375223452961198</v>
      </c>
      <c r="L180">
        <v>0.821730880756391</v>
      </c>
      <c r="M180">
        <v>0.821730880756391</v>
      </c>
      <c r="N180">
        <v>0.821730880756391</v>
      </c>
      <c r="O180">
        <v>0.821730880756391</v>
      </c>
      <c r="P180">
        <v>0.821730880756391</v>
      </c>
      <c r="Q180">
        <v>0.821730880756391</v>
      </c>
      <c r="R180">
        <v>0.821730880756391</v>
      </c>
      <c r="S180">
        <v>0.821730880756391</v>
      </c>
      <c r="T180">
        <v>0.821730880756391</v>
      </c>
      <c r="U180">
        <v>0.821730880756391</v>
      </c>
      <c r="V180">
        <v>0.821730880756391</v>
      </c>
      <c r="W180">
        <v>0.821730880756391</v>
      </c>
      <c r="X180">
        <v>0.821730880756391</v>
      </c>
      <c r="Y180" t="s">
        <v>79</v>
      </c>
      <c r="Z180" t="s">
        <v>262</v>
      </c>
      <c r="AA180" t="s">
        <v>253</v>
      </c>
      <c r="AB180" s="10">
        <f>INDEX(shelf!$B$1:$B$6,MATCH(AA180,shelf!$A$1:$A$6,0))</f>
        <v>0</v>
      </c>
      <c r="AC180" s="10" cm="1">
        <f t="array" ref="AC180">SUMPRODUCT(A180:X180*AB180)</f>
        <v>0</v>
      </c>
    </row>
    <row r="181" spans="1:29" x14ac:dyDescent="0.25">
      <c r="A181">
        <v>0.821730880756391</v>
      </c>
      <c r="B181">
        <v>0.821730880756391</v>
      </c>
      <c r="C181">
        <v>0.821730880756391</v>
      </c>
      <c r="D181">
        <v>0.821730880756391</v>
      </c>
      <c r="E181">
        <v>0.821730880756391</v>
      </c>
      <c r="F181">
        <v>0.821730880756391</v>
      </c>
      <c r="G181">
        <v>0.821730880756391</v>
      </c>
      <c r="H181">
        <v>0.821730880756391</v>
      </c>
      <c r="I181">
        <v>0.821730880756391</v>
      </c>
      <c r="J181">
        <v>0.821730880756391</v>
      </c>
      <c r="K181">
        <v>0.821730880756391</v>
      </c>
      <c r="L181">
        <v>0.821730880756391</v>
      </c>
      <c r="M181">
        <v>0.821730880756391</v>
      </c>
      <c r="N181">
        <v>0.821730880756391</v>
      </c>
      <c r="O181">
        <v>0.821730880756391</v>
      </c>
      <c r="P181">
        <v>0.821730880756391</v>
      </c>
      <c r="Q181">
        <v>0.821730880756391</v>
      </c>
      <c r="R181">
        <v>0.821730880756391</v>
      </c>
      <c r="S181">
        <v>0.821730880756391</v>
      </c>
      <c r="T181">
        <v>0.821730880756391</v>
      </c>
      <c r="U181">
        <v>0.821730880756391</v>
      </c>
      <c r="V181">
        <v>0.821730880756391</v>
      </c>
      <c r="W181">
        <v>0.821730880756391</v>
      </c>
      <c r="X181">
        <v>0.821730880756391</v>
      </c>
      <c r="Y181" t="s">
        <v>79</v>
      </c>
      <c r="Z181" t="s">
        <v>262</v>
      </c>
      <c r="AA181" t="s">
        <v>254</v>
      </c>
      <c r="AB181" s="10">
        <f>INDEX(shelf!$B$1:$B$6,MATCH(AA181,shelf!$A$1:$A$6,0))</f>
        <v>0</v>
      </c>
      <c r="AC181" s="10" cm="1">
        <f t="array" ref="AC181">SUMPRODUCT(A181:X181*AB181)</f>
        <v>0</v>
      </c>
    </row>
    <row r="182" spans="1:29" x14ac:dyDescent="0.25">
      <c r="A182">
        <v>0.58099964523775904</v>
      </c>
      <c r="B182">
        <v>0.58054191520166398</v>
      </c>
      <c r="C182">
        <v>0.57492744620401204</v>
      </c>
      <c r="D182">
        <v>0.57995453908598105</v>
      </c>
      <c r="E182">
        <v>0.587749178891394</v>
      </c>
      <c r="F182">
        <v>0.59314404330525505</v>
      </c>
      <c r="G182">
        <v>0.57303567177737602</v>
      </c>
      <c r="H182">
        <v>0.40632404261946398</v>
      </c>
      <c r="I182">
        <v>0.31811708340940698</v>
      </c>
      <c r="J182">
        <v>0.321143922492024</v>
      </c>
      <c r="K182">
        <v>0.320924317908233</v>
      </c>
      <c r="L182">
        <v>0.320924317908233</v>
      </c>
      <c r="M182">
        <v>0.31811708340940698</v>
      </c>
      <c r="N182">
        <v>0.309695379912928</v>
      </c>
      <c r="O182">
        <v>0.348996662896496</v>
      </c>
      <c r="P182">
        <v>0.52653506261915495</v>
      </c>
      <c r="Q182">
        <v>0.59390869059098605</v>
      </c>
      <c r="R182">
        <v>0.59390869059098605</v>
      </c>
      <c r="S182">
        <v>0.59390869059098605</v>
      </c>
      <c r="T182">
        <v>0.59390869059098605</v>
      </c>
      <c r="U182">
        <v>0.59390869059098605</v>
      </c>
      <c r="V182">
        <v>0.58846620108666403</v>
      </c>
      <c r="W182">
        <v>0.58846620108666403</v>
      </c>
      <c r="X182">
        <v>0.584894319302107</v>
      </c>
      <c r="Y182" t="s">
        <v>80</v>
      </c>
      <c r="Z182" t="s">
        <v>262</v>
      </c>
      <c r="AA182" t="s">
        <v>222</v>
      </c>
      <c r="AB182" s="10">
        <f>INDEX(shelf!$B$1:$B$6,MATCH(AA182,shelf!$A$1:$A$6,0))</f>
        <v>120</v>
      </c>
      <c r="AC182" s="10" cm="1">
        <f t="array" ref="AC182">SUMPRODUCT(A182:X182*AB182)</f>
        <v>1439.1000584770984</v>
      </c>
    </row>
    <row r="183" spans="1:29" x14ac:dyDescent="0.25">
      <c r="A183">
        <v>7.0147789491170004E-3</v>
      </c>
      <c r="B183">
        <v>7.0147789491170004E-3</v>
      </c>
      <c r="C183">
        <v>7.0147789491170004E-3</v>
      </c>
      <c r="D183">
        <v>7.0147789491170004E-3</v>
      </c>
      <c r="E183">
        <v>7.0147789491170004E-3</v>
      </c>
      <c r="F183">
        <v>7.0147789491170004E-3</v>
      </c>
      <c r="G183">
        <v>7.0147789491170004E-3</v>
      </c>
      <c r="H183">
        <v>7.0147789491170004E-3</v>
      </c>
      <c r="I183">
        <v>7.0147789491170004E-3</v>
      </c>
      <c r="J183">
        <v>7.0147789491170004E-3</v>
      </c>
      <c r="K183">
        <v>7.0147789491170004E-3</v>
      </c>
      <c r="L183">
        <v>7.0147789491170004E-3</v>
      </c>
      <c r="M183">
        <v>7.0147789491170004E-3</v>
      </c>
      <c r="N183">
        <v>7.0147789491170004E-3</v>
      </c>
      <c r="O183">
        <v>7.0147789491170004E-3</v>
      </c>
      <c r="P183">
        <v>7.0147789491170004E-3</v>
      </c>
      <c r="Q183">
        <v>7.0147789491170004E-3</v>
      </c>
      <c r="R183">
        <v>1.05238220726499E-2</v>
      </c>
      <c r="S183">
        <v>1.4032865196182701E-2</v>
      </c>
      <c r="T183">
        <v>1.05238220726499E-2</v>
      </c>
      <c r="U183">
        <v>1.05238220726499E-2</v>
      </c>
      <c r="V183">
        <v>1.2862081722355499E-2</v>
      </c>
      <c r="W183">
        <v>1.2862081722355499E-2</v>
      </c>
      <c r="X183">
        <v>1.2862081722355499E-2</v>
      </c>
      <c r="Y183" t="s">
        <v>80</v>
      </c>
      <c r="Z183" t="s">
        <v>262</v>
      </c>
      <c r="AA183" t="s">
        <v>250</v>
      </c>
      <c r="AB183" s="10">
        <f>INDEX(shelf!$B$1:$B$6,MATCH(AA183,shelf!$A$1:$A$6,0))</f>
        <v>92</v>
      </c>
      <c r="AC183" s="10" cm="1">
        <f t="array" ref="AC183">SUMPRODUCT(A183:X183*AB183)</f>
        <v>18.716647321889287</v>
      </c>
    </row>
    <row r="184" spans="1:29" x14ac:dyDescent="0.25">
      <c r="A184">
        <v>0.62604017738894302</v>
      </c>
      <c r="B184">
        <v>0.62103193990677297</v>
      </c>
      <c r="C184">
        <v>0.61586981803269203</v>
      </c>
      <c r="D184">
        <v>0.61968195410501403</v>
      </c>
      <c r="E184">
        <v>0.62399771182358899</v>
      </c>
      <c r="F184">
        <v>0.45443110142864801</v>
      </c>
      <c r="G184">
        <v>0.37788760594346399</v>
      </c>
      <c r="H184">
        <v>0.37021087321066798</v>
      </c>
      <c r="I184">
        <v>0.38546291487250101</v>
      </c>
      <c r="J184">
        <v>0.40030576394675499</v>
      </c>
      <c r="K184">
        <v>0.4262807498267</v>
      </c>
      <c r="L184">
        <v>0.43370217436382702</v>
      </c>
      <c r="M184">
        <v>0.45921200969549703</v>
      </c>
      <c r="N184">
        <v>0.474439569749526</v>
      </c>
      <c r="O184">
        <v>0.517072541053757</v>
      </c>
      <c r="P184">
        <v>0.55659984553943498</v>
      </c>
      <c r="Q184">
        <v>0.612180089999389</v>
      </c>
      <c r="R184">
        <v>0.72169681382389095</v>
      </c>
      <c r="S184">
        <v>0.82671241918501803</v>
      </c>
      <c r="T184">
        <v>0.78202998757034603</v>
      </c>
      <c r="U184">
        <v>0.76682341175157698</v>
      </c>
      <c r="V184">
        <v>0.76145494489743504</v>
      </c>
      <c r="W184">
        <v>0.66416853285725497</v>
      </c>
      <c r="X184">
        <v>0.632576766672586</v>
      </c>
      <c r="Y184" t="s">
        <v>80</v>
      </c>
      <c r="Z184" t="s">
        <v>262</v>
      </c>
      <c r="AA184" t="s">
        <v>251</v>
      </c>
      <c r="AB184" s="10">
        <f>INDEX(shelf!$B$1:$B$6,MATCH(AA184,shelf!$A$1:$A$6,0))</f>
        <v>92</v>
      </c>
      <c r="AC184" s="10" cm="1">
        <f t="array" ref="AC184">SUMPRODUCT(A184:X184*AB184)</f>
        <v>1263.1480140233666</v>
      </c>
    </row>
    <row r="185" spans="1:29" x14ac:dyDescent="0.25">
      <c r="A185">
        <v>0.75548596197739404</v>
      </c>
      <c r="B185">
        <v>0.700008804006507</v>
      </c>
      <c r="C185">
        <v>0.681273665961313</v>
      </c>
      <c r="D185">
        <v>0.68014137726688795</v>
      </c>
      <c r="E185">
        <v>0.70508664493568896</v>
      </c>
      <c r="F185">
        <v>0.65837350122076799</v>
      </c>
      <c r="G185">
        <v>0.40895574092421499</v>
      </c>
      <c r="H185">
        <v>0.34518843401000698</v>
      </c>
      <c r="I185">
        <v>0.34563237098711602</v>
      </c>
      <c r="J185">
        <v>0.361284890472158</v>
      </c>
      <c r="K185">
        <v>0.38694843819381097</v>
      </c>
      <c r="L185">
        <v>0.39238541914941799</v>
      </c>
      <c r="M185">
        <v>0.41243241590224999</v>
      </c>
      <c r="N185">
        <v>0.41548510612686601</v>
      </c>
      <c r="O185">
        <v>0.46498657310250802</v>
      </c>
      <c r="P185">
        <v>0.69479628556741502</v>
      </c>
      <c r="Q185">
        <v>0.81703857206197805</v>
      </c>
      <c r="R185">
        <v>0.82319383307043703</v>
      </c>
      <c r="S185">
        <v>0.82729900309471704</v>
      </c>
      <c r="T185">
        <v>0.82114374208625796</v>
      </c>
      <c r="U185">
        <v>0.81088331105351996</v>
      </c>
      <c r="V185">
        <v>0.79241752802814502</v>
      </c>
      <c r="W185">
        <v>0.79241752802814502</v>
      </c>
      <c r="X185">
        <v>0.78626226701968605</v>
      </c>
      <c r="Y185" t="s">
        <v>80</v>
      </c>
      <c r="Z185" t="s">
        <v>262</v>
      </c>
      <c r="AA185" t="s">
        <v>252</v>
      </c>
      <c r="AB185" s="10">
        <f>INDEX(shelf!$B$1:$B$6,MATCH(AA185,shelf!$A$1:$A$6,0))</f>
        <v>61</v>
      </c>
      <c r="AC185" s="10" cm="1">
        <f t="array" ref="AC185">SUMPRODUCT(A185:X185*AB185)</f>
        <v>907.62640626907978</v>
      </c>
    </row>
    <row r="186" spans="1:29" x14ac:dyDescent="0.25">
      <c r="A186">
        <v>0.78836722661901404</v>
      </c>
      <c r="B186">
        <v>0.78836722661901404</v>
      </c>
      <c r="C186">
        <v>0.78836722661901404</v>
      </c>
      <c r="D186">
        <v>0.78836722661901404</v>
      </c>
      <c r="E186">
        <v>0.78836722661901404</v>
      </c>
      <c r="F186">
        <v>0.78836722661901404</v>
      </c>
      <c r="G186">
        <v>0.46553525925399097</v>
      </c>
      <c r="H186">
        <v>0.46553525925399097</v>
      </c>
      <c r="I186">
        <v>0.46553525925399097</v>
      </c>
      <c r="J186">
        <v>0.78836722661901404</v>
      </c>
      <c r="K186">
        <v>0.78836722661901404</v>
      </c>
      <c r="L186">
        <v>0.78836722661901404</v>
      </c>
      <c r="M186">
        <v>0.78836722661901404</v>
      </c>
      <c r="N186">
        <v>0.78836722661901404</v>
      </c>
      <c r="O186">
        <v>0.78836722661901404</v>
      </c>
      <c r="P186">
        <v>0.78836722661901404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0.78836722661901404</v>
      </c>
      <c r="X186">
        <v>0.78836722661901404</v>
      </c>
      <c r="Y186" t="s">
        <v>80</v>
      </c>
      <c r="Z186" t="s">
        <v>262</v>
      </c>
      <c r="AA186" t="s">
        <v>253</v>
      </c>
      <c r="AB186" s="10">
        <f>INDEX(shelf!$B$1:$B$6,MATCH(AA186,shelf!$A$1:$A$6,0))</f>
        <v>0</v>
      </c>
      <c r="AC186" s="10" cm="1">
        <f t="array" ref="AC186">SUMPRODUCT(A186:X186*AB186)</f>
        <v>0</v>
      </c>
    </row>
    <row r="187" spans="1:29" x14ac:dyDescent="0.25">
      <c r="A187">
        <v>0.53795185513794597</v>
      </c>
      <c r="B187">
        <v>0.53795185513794597</v>
      </c>
      <c r="C187">
        <v>0.53795185513794597</v>
      </c>
      <c r="D187">
        <v>0.53795185513794597</v>
      </c>
      <c r="E187">
        <v>0.53795185513794597</v>
      </c>
      <c r="F187">
        <v>0.53795185513794597</v>
      </c>
      <c r="G187">
        <v>0.53795185513794597</v>
      </c>
      <c r="H187">
        <v>0.53795185513794597</v>
      </c>
      <c r="I187">
        <v>0.53795185513794597</v>
      </c>
      <c r="J187">
        <v>0.53795185513794597</v>
      </c>
      <c r="K187">
        <v>0.53795185513794597</v>
      </c>
      <c r="L187">
        <v>0.53795185513794597</v>
      </c>
      <c r="M187">
        <v>0.46553525925399097</v>
      </c>
      <c r="N187">
        <v>0.46553525925399097</v>
      </c>
      <c r="O187">
        <v>0.53795185513794597</v>
      </c>
      <c r="P187">
        <v>0.53795185513794597</v>
      </c>
      <c r="Q187">
        <v>0.53795185513794597</v>
      </c>
      <c r="R187">
        <v>0.53795185513794597</v>
      </c>
      <c r="S187">
        <v>0.53795185513794597</v>
      </c>
      <c r="T187">
        <v>0.53795185513794597</v>
      </c>
      <c r="U187">
        <v>0.53795185513794597</v>
      </c>
      <c r="V187">
        <v>0.53795185513794597</v>
      </c>
      <c r="W187">
        <v>0.53795185513794597</v>
      </c>
      <c r="X187">
        <v>0.53795185513794597</v>
      </c>
      <c r="Y187" t="s">
        <v>80</v>
      </c>
      <c r="Z187" t="s">
        <v>262</v>
      </c>
      <c r="AA187" t="s">
        <v>254</v>
      </c>
      <c r="AB187" s="10">
        <f>INDEX(shelf!$B$1:$B$6,MATCH(AA187,shelf!$A$1:$A$6,0))</f>
        <v>0</v>
      </c>
      <c r="AC187" s="10" cm="1">
        <f t="array" ref="AC187">SUMPRODUCT(A187:X187*AB187)</f>
        <v>0</v>
      </c>
    </row>
    <row r="188" spans="1:29" x14ac:dyDescent="0.25">
      <c r="A188">
        <v>0.24074255007327799</v>
      </c>
      <c r="B188">
        <v>0.23234196384953501</v>
      </c>
      <c r="C188">
        <v>0.23234196384953501</v>
      </c>
      <c r="D188">
        <v>0.23220517830972101</v>
      </c>
      <c r="E188">
        <v>0.23234196384953501</v>
      </c>
      <c r="F188">
        <v>0.27994528578407402</v>
      </c>
      <c r="G188">
        <v>0.35861846604787401</v>
      </c>
      <c r="H188">
        <v>0.39775280898876297</v>
      </c>
      <c r="I188">
        <v>0.34336492427943299</v>
      </c>
      <c r="J188">
        <v>0.31683829995114698</v>
      </c>
      <c r="K188">
        <v>0.331613092330239</v>
      </c>
      <c r="L188">
        <v>0.323671714704445</v>
      </c>
      <c r="M188">
        <v>0.312613580850024</v>
      </c>
      <c r="N188">
        <v>0.294557889594528</v>
      </c>
      <c r="O188">
        <v>0.297209574987786</v>
      </c>
      <c r="P188">
        <v>0.35079824132877302</v>
      </c>
      <c r="Q188">
        <v>0.46942452369320797</v>
      </c>
      <c r="R188">
        <v>0.52822862725940301</v>
      </c>
      <c r="S188">
        <v>0.53102882266731699</v>
      </c>
      <c r="T188">
        <v>0.53102882266731699</v>
      </c>
      <c r="U188">
        <v>0.52822862725940301</v>
      </c>
      <c r="V188">
        <v>0.50998729848558699</v>
      </c>
      <c r="W188">
        <v>0.42723400097703901</v>
      </c>
      <c r="X188">
        <v>0.31827454811919798</v>
      </c>
      <c r="Y188" t="s">
        <v>81</v>
      </c>
      <c r="Z188" t="s">
        <v>262</v>
      </c>
      <c r="AA188" t="s">
        <v>222</v>
      </c>
      <c r="AB188" s="10">
        <f>INDEX(shelf!$B$1:$B$6,MATCH(AA188,shelf!$A$1:$A$6,0))</f>
        <v>120</v>
      </c>
      <c r="AC188" s="10" cm="1">
        <f t="array" ref="AC188">SUMPRODUCT(A188:X188*AB188)</f>
        <v>1034.4471323888595</v>
      </c>
    </row>
    <row r="189" spans="1:29" x14ac:dyDescent="0.25">
      <c r="A189">
        <v>0.165705911089399</v>
      </c>
      <c r="B189">
        <v>0.15870542256961401</v>
      </c>
      <c r="C189">
        <v>0.15870542256961401</v>
      </c>
      <c r="D189">
        <v>0.16220566682950599</v>
      </c>
      <c r="E189">
        <v>0.16220566682950599</v>
      </c>
      <c r="F189">
        <v>0.165705911089399</v>
      </c>
      <c r="G189">
        <v>0.17270639960918399</v>
      </c>
      <c r="H189">
        <v>0.17970688812896901</v>
      </c>
      <c r="I189">
        <v>0.176206643869076</v>
      </c>
      <c r="J189">
        <v>0.18320713238886099</v>
      </c>
      <c r="K189">
        <v>0.204208597948216</v>
      </c>
      <c r="L189">
        <v>0.21820957498778701</v>
      </c>
      <c r="M189">
        <v>0.23221055202735699</v>
      </c>
      <c r="N189">
        <v>0.243299951148021</v>
      </c>
      <c r="O189">
        <v>0.24466292134831399</v>
      </c>
      <c r="P189">
        <v>0.25499267220322402</v>
      </c>
      <c r="Q189">
        <v>0.313253541768441</v>
      </c>
      <c r="R189">
        <v>0.38634342940888999</v>
      </c>
      <c r="S189">
        <v>0.39453102100635001</v>
      </c>
      <c r="T189">
        <v>0.39453102100635001</v>
      </c>
      <c r="U189">
        <v>0.39453102100635001</v>
      </c>
      <c r="V189">
        <v>0.39103077674645698</v>
      </c>
      <c r="W189">
        <v>0.32473375671714599</v>
      </c>
      <c r="X189">
        <v>0.20770884220810901</v>
      </c>
      <c r="Y189" t="s">
        <v>81</v>
      </c>
      <c r="Z189" t="s">
        <v>262</v>
      </c>
      <c r="AA189" t="s">
        <v>250</v>
      </c>
      <c r="AB189" s="10">
        <f>INDEX(shelf!$B$1:$B$6,MATCH(AA189,shelf!$A$1:$A$6,0))</f>
        <v>92</v>
      </c>
      <c r="AC189" s="10" cm="1">
        <f t="array" ref="AC189">SUMPRODUCT(A189:X189*AB189)</f>
        <v>541.81640449438089</v>
      </c>
    </row>
    <row r="190" spans="1:29" x14ac:dyDescent="0.25">
      <c r="A190">
        <v>0.57577166472943297</v>
      </c>
      <c r="B190">
        <v>0.544584786258556</v>
      </c>
      <c r="C190">
        <v>0.53634508588402396</v>
      </c>
      <c r="D190">
        <v>0.52601317318868601</v>
      </c>
      <c r="E190">
        <v>0.522311765465581</v>
      </c>
      <c r="F190">
        <v>0.501498127340823</v>
      </c>
      <c r="G190">
        <v>0.47789487278832399</v>
      </c>
      <c r="H190">
        <v>0.48718067932325898</v>
      </c>
      <c r="I190">
        <v>0.53166214645486198</v>
      </c>
      <c r="J190">
        <v>0.59848120883378497</v>
      </c>
      <c r="K190">
        <v>0.65841405140126497</v>
      </c>
      <c r="L190">
        <v>0.70698437298204797</v>
      </c>
      <c r="M190">
        <v>0.72574970941495398</v>
      </c>
      <c r="N190">
        <v>0.74081363812475698</v>
      </c>
      <c r="O190">
        <v>0.74834560247965798</v>
      </c>
      <c r="P190">
        <v>0.75399457574583395</v>
      </c>
      <c r="Q190">
        <v>0.77451375435877401</v>
      </c>
      <c r="R190">
        <v>0.78275087175513203</v>
      </c>
      <c r="S190">
        <v>0.78235825907270895</v>
      </c>
      <c r="T190">
        <v>0.78177450600542298</v>
      </c>
      <c r="U190">
        <v>0.77953506392870797</v>
      </c>
      <c r="V190">
        <v>0.773886090662532</v>
      </c>
      <c r="W190">
        <v>0.74752421542037795</v>
      </c>
      <c r="X190">
        <v>0.68557923285548195</v>
      </c>
      <c r="Y190" t="s">
        <v>81</v>
      </c>
      <c r="Z190" t="s">
        <v>262</v>
      </c>
      <c r="AA190" t="s">
        <v>251</v>
      </c>
      <c r="AB190" s="10">
        <f>INDEX(shelf!$B$1:$B$6,MATCH(AA190,shelf!$A$1:$A$6,0))</f>
        <v>92</v>
      </c>
      <c r="AC190" s="10" cm="1">
        <f t="array" ref="AC190">SUMPRODUCT(A190:X190*AB190)</f>
        <v>1448.445005811699</v>
      </c>
    </row>
    <row r="191" spans="1:29" x14ac:dyDescent="0.25">
      <c r="A191">
        <v>0.34883403941794</v>
      </c>
      <c r="B191">
        <v>0.311880641002026</v>
      </c>
      <c r="C191">
        <v>0.30132252716890701</v>
      </c>
      <c r="D191">
        <v>0.30132252716890701</v>
      </c>
      <c r="E191">
        <v>0.30132252716890701</v>
      </c>
      <c r="F191">
        <v>0.3541130963345</v>
      </c>
      <c r="G191">
        <v>0.34770307607294099</v>
      </c>
      <c r="H191">
        <v>0.34883403941794</v>
      </c>
      <c r="I191">
        <v>0.380508380917295</v>
      </c>
      <c r="J191">
        <v>0.411865905323263</v>
      </c>
      <c r="K191">
        <v>0.45191379627924</v>
      </c>
      <c r="L191">
        <v>0.483680235770859</v>
      </c>
      <c r="M191">
        <v>0.48905139067968201</v>
      </c>
      <c r="N191">
        <v>0.48888929821329802</v>
      </c>
      <c r="O191">
        <v>0.511932215877693</v>
      </c>
      <c r="P191">
        <v>0.53862958187511401</v>
      </c>
      <c r="Q191">
        <v>0.59679130594952901</v>
      </c>
      <c r="R191">
        <v>0.61272057469147101</v>
      </c>
      <c r="S191">
        <v>0.61272057469147101</v>
      </c>
      <c r="T191">
        <v>0.61272057469147101</v>
      </c>
      <c r="U191">
        <v>0.60744151777491096</v>
      </c>
      <c r="V191">
        <v>0.59938478541167695</v>
      </c>
      <c r="W191">
        <v>0.51884324921716596</v>
      </c>
      <c r="X191">
        <v>0.41473567876220302</v>
      </c>
      <c r="Y191" t="s">
        <v>81</v>
      </c>
      <c r="Z191" t="s">
        <v>262</v>
      </c>
      <c r="AA191" t="s">
        <v>252</v>
      </c>
      <c r="AB191" s="10">
        <f>INDEX(shelf!$B$1:$B$6,MATCH(AA191,shelf!$A$1:$A$6,0))</f>
        <v>61</v>
      </c>
      <c r="AC191" s="10" cm="1">
        <f t="array" ref="AC191">SUMPRODUCT(A191:X191*AB191)</f>
        <v>667.77685393258309</v>
      </c>
    </row>
    <row r="192" spans="1:29" x14ac:dyDescent="0.25">
      <c r="A192">
        <v>0.64584269662921301</v>
      </c>
      <c r="B192">
        <v>0.64584269662921301</v>
      </c>
      <c r="C192">
        <v>0.64584269662921301</v>
      </c>
      <c r="D192">
        <v>0.64584269662921301</v>
      </c>
      <c r="E192">
        <v>0.64584269662921301</v>
      </c>
      <c r="F192">
        <v>0.64584269662921301</v>
      </c>
      <c r="G192">
        <v>0.61303370786516798</v>
      </c>
      <c r="H192">
        <v>0.64584269662921301</v>
      </c>
      <c r="I192">
        <v>0.64584269662921301</v>
      </c>
      <c r="J192">
        <v>0.64584269662921301</v>
      </c>
      <c r="K192">
        <v>0.64584269662921301</v>
      </c>
      <c r="L192">
        <v>0.80966292134831397</v>
      </c>
      <c r="M192">
        <v>0.80966292134831397</v>
      </c>
      <c r="N192">
        <v>0.80966292134831397</v>
      </c>
      <c r="O192">
        <v>0.80966292134831397</v>
      </c>
      <c r="P192">
        <v>0.80966292134831397</v>
      </c>
      <c r="Q192">
        <v>0.80966292134831397</v>
      </c>
      <c r="R192">
        <v>0.80966292134831397</v>
      </c>
      <c r="S192">
        <v>0.80966292134831397</v>
      </c>
      <c r="T192">
        <v>0.80966292134831397</v>
      </c>
      <c r="U192">
        <v>0.80966292134831397</v>
      </c>
      <c r="V192">
        <v>0.80966292134831397</v>
      </c>
      <c r="W192">
        <v>0.80966292134831397</v>
      </c>
      <c r="X192">
        <v>0.64584269662921301</v>
      </c>
      <c r="Y192" t="s">
        <v>81</v>
      </c>
      <c r="Z192" t="s">
        <v>262</v>
      </c>
      <c r="AA192" t="s">
        <v>253</v>
      </c>
      <c r="AB192" s="10">
        <f>INDEX(shelf!$B$1:$B$6,MATCH(AA192,shelf!$A$1:$A$6,0))</f>
        <v>0</v>
      </c>
      <c r="AC192" s="10" cm="1">
        <f t="array" ref="AC192">SUMPRODUCT(A192:X192*AB192)</f>
        <v>0</v>
      </c>
    </row>
    <row r="193" spans="1:29" x14ac:dyDescent="0.25">
      <c r="A193">
        <v>0.214606741573033</v>
      </c>
      <c r="B193">
        <v>0.214606741573033</v>
      </c>
      <c r="C193">
        <v>0.214606741573033</v>
      </c>
      <c r="D193">
        <v>0.214606741573033</v>
      </c>
      <c r="E193">
        <v>0.214606741573033</v>
      </c>
      <c r="F193">
        <v>0.214606741573033</v>
      </c>
      <c r="G193">
        <v>0.214606741573033</v>
      </c>
      <c r="H193">
        <v>0.214606741573033</v>
      </c>
      <c r="I193">
        <v>0.214606741573033</v>
      </c>
      <c r="J193">
        <v>0.214606741573033</v>
      </c>
      <c r="K193">
        <v>0.214606741573033</v>
      </c>
      <c r="L193">
        <v>0.214606741573033</v>
      </c>
      <c r="M193">
        <v>0.214606741573033</v>
      </c>
      <c r="N193">
        <v>0.214606741573033</v>
      </c>
      <c r="O193">
        <v>0.214606741573033</v>
      </c>
      <c r="P193">
        <v>0.53662921348314596</v>
      </c>
      <c r="Q193">
        <v>0.53662921348314596</v>
      </c>
      <c r="R193">
        <v>0.53662921348314596</v>
      </c>
      <c r="S193">
        <v>0.53662921348314596</v>
      </c>
      <c r="T193">
        <v>0.53662921348314596</v>
      </c>
      <c r="U193">
        <v>0.53662921348314596</v>
      </c>
      <c r="V193">
        <v>0.53662921348314596</v>
      </c>
      <c r="W193">
        <v>0.53662921348314596</v>
      </c>
      <c r="X193">
        <v>0.214606741573033</v>
      </c>
      <c r="Y193" t="s">
        <v>81</v>
      </c>
      <c r="Z193" t="s">
        <v>262</v>
      </c>
      <c r="AA193" t="s">
        <v>254</v>
      </c>
      <c r="AB193" s="10">
        <f>INDEX(shelf!$B$1:$B$6,MATCH(AA193,shelf!$A$1:$A$6,0))</f>
        <v>0</v>
      </c>
      <c r="AC193" s="10" cm="1">
        <f t="array" ref="AC193">SUMPRODUCT(A193:X193*AB193)</f>
        <v>0</v>
      </c>
    </row>
    <row r="194" spans="1:29" x14ac:dyDescent="0.25">
      <c r="A194">
        <v>0.44567491463833497</v>
      </c>
      <c r="B194">
        <v>0.41534754767169701</v>
      </c>
      <c r="C194">
        <v>0.41027646534010398</v>
      </c>
      <c r="D194">
        <v>0.411917427967877</v>
      </c>
      <c r="E194">
        <v>0.44292822118805503</v>
      </c>
      <c r="F194">
        <v>0.53011354965607405</v>
      </c>
      <c r="G194">
        <v>0.60727487215064602</v>
      </c>
      <c r="H194">
        <v>0.60936564957667705</v>
      </c>
      <c r="I194">
        <v>0.55848047454528504</v>
      </c>
      <c r="J194">
        <v>0.53358912888632704</v>
      </c>
      <c r="K194">
        <v>0.53990232061972598</v>
      </c>
      <c r="L194">
        <v>0.53760932045904597</v>
      </c>
      <c r="M194">
        <v>0.52309212736403898</v>
      </c>
      <c r="N194">
        <v>0.490417100568033</v>
      </c>
      <c r="O194">
        <v>0.480569520851933</v>
      </c>
      <c r="P194">
        <v>0.52838789160107702</v>
      </c>
      <c r="Q194">
        <v>0.62667382308124697</v>
      </c>
      <c r="R194">
        <v>0.68748820654187903</v>
      </c>
      <c r="S194">
        <v>0.69103359861629599</v>
      </c>
      <c r="T194">
        <v>0.69260213267318504</v>
      </c>
      <c r="U194">
        <v>0.68728336808051005</v>
      </c>
      <c r="V194">
        <v>0.66269436435132201</v>
      </c>
      <c r="W194">
        <v>0.60434065815382898</v>
      </c>
      <c r="X194">
        <v>0.53222642546301102</v>
      </c>
      <c r="Y194" t="s">
        <v>82</v>
      </c>
      <c r="Z194" t="s">
        <v>262</v>
      </c>
      <c r="AA194" t="s">
        <v>222</v>
      </c>
      <c r="AB194" s="10">
        <f>INDEX(shelf!$B$1:$B$6,MATCH(AA194,shelf!$A$1:$A$6,0))</f>
        <v>120</v>
      </c>
      <c r="AC194" s="10" cm="1">
        <f t="array" ref="AC194">SUMPRODUCT(A194:X194*AB194)</f>
        <v>1589.9146932055453</v>
      </c>
    </row>
    <row r="195" spans="1:29" x14ac:dyDescent="0.25">
      <c r="A195">
        <v>0.246774212727876</v>
      </c>
      <c r="B195">
        <v>0.24087264108451401</v>
      </c>
      <c r="C195">
        <v>0.238756295616086</v>
      </c>
      <c r="D195">
        <v>0.23923677461397</v>
      </c>
      <c r="E195">
        <v>0.24530685180397299</v>
      </c>
      <c r="F195">
        <v>0.27188785398087301</v>
      </c>
      <c r="G195">
        <v>0.29783028549975998</v>
      </c>
      <c r="H195">
        <v>0.28375680416746801</v>
      </c>
      <c r="I195">
        <v>0.27957197279415602</v>
      </c>
      <c r="J195">
        <v>0.29250391490712702</v>
      </c>
      <c r="K195">
        <v>0.31979317215284703</v>
      </c>
      <c r="L195">
        <v>0.34608856795286302</v>
      </c>
      <c r="M195">
        <v>0.36333651209478302</v>
      </c>
      <c r="N195">
        <v>0.36909007360644802</v>
      </c>
      <c r="O195">
        <v>0.37865622544164601</v>
      </c>
      <c r="P195">
        <v>0.39338932677702698</v>
      </c>
      <c r="Q195">
        <v>0.45904245564348101</v>
      </c>
      <c r="R195">
        <v>0.55225870481370498</v>
      </c>
      <c r="S195">
        <v>0.574312657580756</v>
      </c>
      <c r="T195">
        <v>0.57563898789264401</v>
      </c>
      <c r="U195">
        <v>0.57354380255532</v>
      </c>
      <c r="V195">
        <v>0.55492953434586501</v>
      </c>
      <c r="W195">
        <v>0.44620479243924799</v>
      </c>
      <c r="X195">
        <v>0.29287382945034501</v>
      </c>
      <c r="Y195" t="s">
        <v>82</v>
      </c>
      <c r="Z195" t="s">
        <v>262</v>
      </c>
      <c r="AA195" t="s">
        <v>250</v>
      </c>
      <c r="AB195" s="10">
        <f>INDEX(shelf!$B$1:$B$6,MATCH(AA195,shelf!$A$1:$A$6,0))</f>
        <v>92</v>
      </c>
      <c r="AC195" s="10" cm="1">
        <f t="array" ref="AC195">SUMPRODUCT(A195:X195*AB195)</f>
        <v>812.88037499473569</v>
      </c>
    </row>
    <row r="196" spans="1:29" x14ac:dyDescent="0.25">
      <c r="A196">
        <v>0.56593458655672402</v>
      </c>
      <c r="B196">
        <v>0.51767760934129103</v>
      </c>
      <c r="C196">
        <v>0.47156019809080701</v>
      </c>
      <c r="D196">
        <v>0.45775898424310102</v>
      </c>
      <c r="E196">
        <v>0.46009946767122001</v>
      </c>
      <c r="F196">
        <v>0.47839947539835098</v>
      </c>
      <c r="G196">
        <v>0.45899330866990401</v>
      </c>
      <c r="H196">
        <v>0.49016292927265198</v>
      </c>
      <c r="I196">
        <v>0.56383614130872795</v>
      </c>
      <c r="J196">
        <v>0.62491797893859302</v>
      </c>
      <c r="K196">
        <v>0.68668000711724297</v>
      </c>
      <c r="L196">
        <v>0.73452507424491498</v>
      </c>
      <c r="M196">
        <v>0.75940404522526705</v>
      </c>
      <c r="N196">
        <v>0.77295654316958395</v>
      </c>
      <c r="O196">
        <v>0.78222815188840999</v>
      </c>
      <c r="P196">
        <v>0.79210227869066896</v>
      </c>
      <c r="Q196">
        <v>0.79771203484604003</v>
      </c>
      <c r="R196">
        <v>0.80558284466857999</v>
      </c>
      <c r="S196">
        <v>0.80347315272876896</v>
      </c>
      <c r="T196">
        <v>0.81049155703409004</v>
      </c>
      <c r="U196">
        <v>0.804650423625213</v>
      </c>
      <c r="V196">
        <v>0.79590600358525998</v>
      </c>
      <c r="W196">
        <v>0.74524422592288797</v>
      </c>
      <c r="X196">
        <v>0.65212677242044503</v>
      </c>
      <c r="Y196" t="s">
        <v>82</v>
      </c>
      <c r="Z196" t="s">
        <v>262</v>
      </c>
      <c r="AA196" t="s">
        <v>251</v>
      </c>
      <c r="AB196" s="10">
        <f>INDEX(shelf!$B$1:$B$6,MATCH(AA196,shelf!$A$1:$A$6,0))</f>
        <v>92</v>
      </c>
      <c r="AC196" s="10" cm="1">
        <f t="array" ref="AC196">SUMPRODUCT(A196:X196*AB196)</f>
        <v>1456.5829891086044</v>
      </c>
    </row>
    <row r="197" spans="1:29" x14ac:dyDescent="0.25">
      <c r="A197">
        <v>0.30442505076080101</v>
      </c>
      <c r="B197">
        <v>0.28401235120782298</v>
      </c>
      <c r="C197">
        <v>0.27688758922728401</v>
      </c>
      <c r="D197">
        <v>0.27536425593358599</v>
      </c>
      <c r="E197">
        <v>0.27951002161124699</v>
      </c>
      <c r="F197">
        <v>0.32267982012971402</v>
      </c>
      <c r="G197">
        <v>0.39648520960275202</v>
      </c>
      <c r="H197">
        <v>0.36965719999037699</v>
      </c>
      <c r="I197">
        <v>0.369733224631008</v>
      </c>
      <c r="J197">
        <v>0.41813886521279903</v>
      </c>
      <c r="K197">
        <v>0.46281796170669398</v>
      </c>
      <c r="L197">
        <v>0.49021256375067301</v>
      </c>
      <c r="M197">
        <v>0.506692199532634</v>
      </c>
      <c r="N197">
        <v>0.515706716866001</v>
      </c>
      <c r="O197">
        <v>0.52144549116734495</v>
      </c>
      <c r="P197">
        <v>0.55570637141371804</v>
      </c>
      <c r="Q197">
        <v>0.63079816464108096</v>
      </c>
      <c r="R197">
        <v>0.64465119086102196</v>
      </c>
      <c r="S197">
        <v>0.64800112057533099</v>
      </c>
      <c r="T197">
        <v>0.64991025803434099</v>
      </c>
      <c r="U197">
        <v>0.64421793395298699</v>
      </c>
      <c r="V197">
        <v>0.60703052276012703</v>
      </c>
      <c r="W197">
        <v>0.50282313012944602</v>
      </c>
      <c r="X197">
        <v>0.35629390612579698</v>
      </c>
      <c r="Y197" t="s">
        <v>82</v>
      </c>
      <c r="Z197" t="s">
        <v>262</v>
      </c>
      <c r="AA197" t="s">
        <v>252</v>
      </c>
      <c r="AB197" s="10">
        <f>INDEX(shelf!$B$1:$B$6,MATCH(AA197,shelf!$A$1:$A$6,0))</f>
        <v>61</v>
      </c>
      <c r="AC197" s="10" cm="1">
        <f t="array" ref="AC197">SUMPRODUCT(A197:X197*AB197)</f>
        <v>673.02526830929992</v>
      </c>
    </row>
    <row r="198" spans="1:29" x14ac:dyDescent="0.25">
      <c r="A198">
        <v>0.331617143212594</v>
      </c>
      <c r="B198">
        <v>0.331617143212594</v>
      </c>
      <c r="C198">
        <v>0.331617143212594</v>
      </c>
      <c r="D198">
        <v>0.331617143212594</v>
      </c>
      <c r="E198">
        <v>0.331617143212594</v>
      </c>
      <c r="F198">
        <v>0.331617143212594</v>
      </c>
      <c r="G198">
        <v>0.331617143212594</v>
      </c>
      <c r="H198">
        <v>0.331617143212594</v>
      </c>
      <c r="I198">
        <v>0.41211604280360298</v>
      </c>
      <c r="J198">
        <v>0.63734580770131399</v>
      </c>
      <c r="K198">
        <v>0.72596798191552303</v>
      </c>
      <c r="L198">
        <v>0.8107680382079</v>
      </c>
      <c r="M198">
        <v>0.82741208771817099</v>
      </c>
      <c r="N198">
        <v>0.82904285803148503</v>
      </c>
      <c r="O198">
        <v>0.82951170449656397</v>
      </c>
      <c r="P198">
        <v>0.82951170449656397</v>
      </c>
      <c r="Q198">
        <v>0.82951170449656397</v>
      </c>
      <c r="R198">
        <v>0.82951170449656397</v>
      </c>
      <c r="S198">
        <v>0.83020478187972202</v>
      </c>
      <c r="T198">
        <v>0.83020478187972202</v>
      </c>
      <c r="U198">
        <v>0.82951170449656397</v>
      </c>
      <c r="V198">
        <v>0.82951170449656397</v>
      </c>
      <c r="W198">
        <v>0.825587663430149</v>
      </c>
      <c r="X198">
        <v>0.81122669235851996</v>
      </c>
      <c r="Y198" t="s">
        <v>82</v>
      </c>
      <c r="Z198" t="s">
        <v>262</v>
      </c>
      <c r="AA198" t="s">
        <v>253</v>
      </c>
      <c r="AB198" s="10">
        <f>INDEX(shelf!$B$1:$B$6,MATCH(AA198,shelf!$A$1:$A$6,0))</f>
        <v>0</v>
      </c>
      <c r="AC198" s="10" cm="1">
        <f t="array" ref="AC198">SUMPRODUCT(A198:X198*AB198)</f>
        <v>0</v>
      </c>
    </row>
    <row r="199" spans="1:29" x14ac:dyDescent="0.25">
      <c r="A199">
        <v>0.36789159036939301</v>
      </c>
      <c r="B199">
        <v>0.35093157911091799</v>
      </c>
      <c r="C199">
        <v>0.35093157911091799</v>
      </c>
      <c r="D199">
        <v>0.35093157911091799</v>
      </c>
      <c r="E199">
        <v>0.35093157911091799</v>
      </c>
      <c r="F199">
        <v>0.478213202065149</v>
      </c>
      <c r="G199">
        <v>0.59204096993453303</v>
      </c>
      <c r="H199">
        <v>0.66080851558413201</v>
      </c>
      <c r="I199">
        <v>0.62515579960928402</v>
      </c>
      <c r="J199">
        <v>0.62515579960928402</v>
      </c>
      <c r="K199">
        <v>0.62515579960928402</v>
      </c>
      <c r="L199">
        <v>0.62515579960928402</v>
      </c>
      <c r="M199">
        <v>0.62515579960928402</v>
      </c>
      <c r="N199">
        <v>0.62515579960928402</v>
      </c>
      <c r="O199">
        <v>0.536859779457738</v>
      </c>
      <c r="P199">
        <v>0.59907366691070296</v>
      </c>
      <c r="Q199">
        <v>0.66080851558413201</v>
      </c>
      <c r="R199">
        <v>0.79857803011587103</v>
      </c>
      <c r="S199">
        <v>0.73034048481809799</v>
      </c>
      <c r="T199">
        <v>0.79857803011587103</v>
      </c>
      <c r="U199">
        <v>0.71377797382349295</v>
      </c>
      <c r="V199">
        <v>0.66080851558413201</v>
      </c>
      <c r="W199">
        <v>0.62515579960928402</v>
      </c>
      <c r="X199">
        <v>0.41581585295193602</v>
      </c>
      <c r="Y199" t="s">
        <v>82</v>
      </c>
      <c r="Z199" t="s">
        <v>262</v>
      </c>
      <c r="AA199" t="s">
        <v>254</v>
      </c>
      <c r="AB199" s="10">
        <f>INDEX(shelf!$B$1:$B$6,MATCH(AA199,shelf!$A$1:$A$6,0))</f>
        <v>0</v>
      </c>
      <c r="AC199" s="10" cm="1">
        <f t="array" ref="AC199">SUMPRODUCT(A199:X199*AB199)</f>
        <v>0</v>
      </c>
    </row>
    <row r="200" spans="1:29" x14ac:dyDescent="0.25">
      <c r="A200">
        <v>9.9930566869662105E-2</v>
      </c>
      <c r="B200">
        <v>9.2673989056442904E-2</v>
      </c>
      <c r="C200">
        <v>9.2673989056442904E-2</v>
      </c>
      <c r="D200">
        <v>9.5092126710788302E-2</v>
      </c>
      <c r="E200">
        <v>0.11207212912068799</v>
      </c>
      <c r="F200">
        <v>0.13877014400181201</v>
      </c>
      <c r="G200">
        <v>0.16426233733103701</v>
      </c>
      <c r="H200">
        <v>0.155254395719818</v>
      </c>
      <c r="I200">
        <v>0.13959928162187801</v>
      </c>
      <c r="J200">
        <v>0.13824083813208199</v>
      </c>
      <c r="K200">
        <v>0.140792114072679</v>
      </c>
      <c r="L200">
        <v>0.13766498798342</v>
      </c>
      <c r="M200">
        <v>0.119125211016711</v>
      </c>
      <c r="N200">
        <v>0.11231459234117699</v>
      </c>
      <c r="O200">
        <v>0.115279354666716</v>
      </c>
      <c r="P200">
        <v>0.15090629412738099</v>
      </c>
      <c r="Q200">
        <v>0.19781968001681</v>
      </c>
      <c r="R200">
        <v>0.213707515509416</v>
      </c>
      <c r="S200">
        <v>0.20256070191745201</v>
      </c>
      <c r="T200">
        <v>0.195160161567067</v>
      </c>
      <c r="U200">
        <v>0.169838991402294</v>
      </c>
      <c r="V200">
        <v>0.15375631939322301</v>
      </c>
      <c r="W200">
        <v>0.11972054481702001</v>
      </c>
      <c r="X200">
        <v>0.100783517841741</v>
      </c>
      <c r="Y200" t="s">
        <v>83</v>
      </c>
      <c r="Z200" t="s">
        <v>262</v>
      </c>
      <c r="AA200" t="s">
        <v>222</v>
      </c>
      <c r="AB200" s="10">
        <f>INDEX(shelf!$B$1:$B$6,MATCH(AA200,shelf!$A$1:$A$6,0))</f>
        <v>120</v>
      </c>
      <c r="AC200" s="10" cm="1">
        <f t="array" ref="AC200">SUMPRODUCT(A200:X200*AB200)</f>
        <v>402.95997411525093</v>
      </c>
    </row>
    <row r="201" spans="1:29" x14ac:dyDescent="0.25">
      <c r="A201">
        <v>4.1345932431450197E-2</v>
      </c>
      <c r="B201">
        <v>4.1345932431450197E-2</v>
      </c>
      <c r="C201">
        <v>4.1345932431450197E-2</v>
      </c>
      <c r="D201">
        <v>4.1345932431450197E-2</v>
      </c>
      <c r="E201">
        <v>4.1345932431450197E-2</v>
      </c>
      <c r="F201">
        <v>4.1345932431450197E-2</v>
      </c>
      <c r="G201">
        <v>4.7452162978709002E-2</v>
      </c>
      <c r="H201">
        <v>4.1345932431450197E-2</v>
      </c>
      <c r="I201">
        <v>4.1345932431450197E-2</v>
      </c>
      <c r="J201">
        <v>4.1345932431450197E-2</v>
      </c>
      <c r="K201">
        <v>4.1345932431450197E-2</v>
      </c>
      <c r="L201">
        <v>5.2565268504543503E-2</v>
      </c>
      <c r="M201">
        <v>6.0981123590727798E-2</v>
      </c>
      <c r="N201">
        <v>6.2928135724010695E-2</v>
      </c>
      <c r="O201">
        <v>6.9468689339222095E-2</v>
      </c>
      <c r="P201">
        <v>7.8665243522629602E-2</v>
      </c>
      <c r="Q201">
        <v>9.3104794242848204E-2</v>
      </c>
      <c r="R201">
        <v>0.116988503886148</v>
      </c>
      <c r="S201">
        <v>0.112435553345149</v>
      </c>
      <c r="T201">
        <v>0.10749563583395</v>
      </c>
      <c r="U201">
        <v>0.1067690579913</v>
      </c>
      <c r="V201">
        <v>7.0771658543079902E-2</v>
      </c>
      <c r="W201">
        <v>4.2111748183665698E-2</v>
      </c>
      <c r="X201">
        <v>4.1345932431450197E-2</v>
      </c>
      <c r="Y201" t="s">
        <v>83</v>
      </c>
      <c r="Z201" t="s">
        <v>262</v>
      </c>
      <c r="AA201" t="s">
        <v>250</v>
      </c>
      <c r="AB201" s="10">
        <f>INDEX(shelf!$B$1:$B$6,MATCH(AA201,shelf!$A$1:$A$6,0))</f>
        <v>92</v>
      </c>
      <c r="AC201" s="10" cm="1">
        <f t="array" ref="AC201">SUMPRODUCT(A201:X201*AB201)</f>
        <v>135.84194058373808</v>
      </c>
    </row>
    <row r="202" spans="1:29" x14ac:dyDescent="0.25">
      <c r="A202">
        <v>0.67563848238669599</v>
      </c>
      <c r="B202">
        <v>0.66924427388801799</v>
      </c>
      <c r="C202">
        <v>0.66924427388801799</v>
      </c>
      <c r="D202">
        <v>0.66924427388801799</v>
      </c>
      <c r="E202">
        <v>0.68019555423012601</v>
      </c>
      <c r="F202">
        <v>0.69386533896862901</v>
      </c>
      <c r="G202">
        <v>0.698141975621694</v>
      </c>
      <c r="H202">
        <v>0.76311709227910196</v>
      </c>
      <c r="I202">
        <v>0.85734617782529199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0.79785099371430102</v>
      </c>
      <c r="X202">
        <v>0.70518147121656904</v>
      </c>
      <c r="Y202" t="s">
        <v>83</v>
      </c>
      <c r="Z202" t="s">
        <v>262</v>
      </c>
      <c r="AA202" t="s">
        <v>251</v>
      </c>
      <c r="AB202" s="10">
        <f>INDEX(shelf!$B$1:$B$6,MATCH(AA202,shelf!$A$1:$A$6,0))</f>
        <v>92</v>
      </c>
      <c r="AC202" s="10" cm="1">
        <f t="array" ref="AC202">SUMPRODUCT(A202:X202*AB202)</f>
        <v>1920.8744315273948</v>
      </c>
    </row>
    <row r="203" spans="1:29" x14ac:dyDescent="0.25">
      <c r="A203">
        <v>0.191481176127894</v>
      </c>
      <c r="B203">
        <v>0.191481176127894</v>
      </c>
      <c r="C203">
        <v>0.191481176127894</v>
      </c>
      <c r="D203">
        <v>0.191481176127894</v>
      </c>
      <c r="E203">
        <v>0.196039960230349</v>
      </c>
      <c r="F203">
        <v>0.20834908543446901</v>
      </c>
      <c r="G203">
        <v>0.20980610058628299</v>
      </c>
      <c r="H203">
        <v>0.200598744332803</v>
      </c>
      <c r="I203">
        <v>0.214368965963673</v>
      </c>
      <c r="J203">
        <v>0.23388562270309801</v>
      </c>
      <c r="K203">
        <v>0.27591255134680898</v>
      </c>
      <c r="L203">
        <v>0.32151059555869199</v>
      </c>
      <c r="M203">
        <v>0.35354248188645698</v>
      </c>
      <c r="N203">
        <v>0.358586937706183</v>
      </c>
      <c r="O203">
        <v>0.40291366477579699</v>
      </c>
      <c r="P203">
        <v>0.41709813581257499</v>
      </c>
      <c r="Q203">
        <v>0.46111876726205903</v>
      </c>
      <c r="R203">
        <v>0.46265944855004199</v>
      </c>
      <c r="S203">
        <v>0.45509480545792103</v>
      </c>
      <c r="T203">
        <v>0.43411093037934401</v>
      </c>
      <c r="U203">
        <v>0.348322531244524</v>
      </c>
      <c r="V203">
        <v>0.25425526590394898</v>
      </c>
      <c r="W203">
        <v>0.18836512271498099</v>
      </c>
      <c r="X203">
        <v>0.17945365889429199</v>
      </c>
      <c r="Y203" t="s">
        <v>83</v>
      </c>
      <c r="Z203" t="s">
        <v>262</v>
      </c>
      <c r="AA203" t="s">
        <v>252</v>
      </c>
      <c r="AB203" s="10">
        <f>INDEX(shelf!$B$1:$B$6,MATCH(AA203,shelf!$A$1:$A$6,0))</f>
        <v>61</v>
      </c>
      <c r="AC203" s="10" cm="1">
        <f t="array" ref="AC203">SUMPRODUCT(A203:X203*AB203)</f>
        <v>423.45700295660845</v>
      </c>
    </row>
    <row r="204" spans="1:29" x14ac:dyDescent="0.25">
      <c r="A204">
        <v>0.790067486389886</v>
      </c>
      <c r="B204">
        <v>0.790067486389886</v>
      </c>
      <c r="C204">
        <v>0.790067486389886</v>
      </c>
      <c r="D204">
        <v>0.790067486389886</v>
      </c>
      <c r="E204">
        <v>0.790067486389886</v>
      </c>
      <c r="F204">
        <v>0.790067486389886</v>
      </c>
      <c r="G204">
        <v>0.790067486389886</v>
      </c>
      <c r="H204">
        <v>0.790067486389886</v>
      </c>
      <c r="I204">
        <v>0.790067486389886</v>
      </c>
      <c r="J204">
        <v>0.790067486389886</v>
      </c>
      <c r="K204">
        <v>0.790067486389886</v>
      </c>
      <c r="L204">
        <v>0.790067486389886</v>
      </c>
      <c r="M204">
        <v>0.790067486389886</v>
      </c>
      <c r="N204">
        <v>0.790067486389886</v>
      </c>
      <c r="O204">
        <v>0.790067486389886</v>
      </c>
      <c r="P204">
        <v>0.790067486389886</v>
      </c>
      <c r="Q204">
        <v>0.790067486389886</v>
      </c>
      <c r="R204">
        <v>0.85454754908879305</v>
      </c>
      <c r="S204">
        <v>1</v>
      </c>
      <c r="T204">
        <v>0.85454754908879305</v>
      </c>
      <c r="U204">
        <v>1</v>
      </c>
      <c r="V204">
        <v>0.93645465576037701</v>
      </c>
      <c r="W204">
        <v>0.91915209067321901</v>
      </c>
      <c r="X204">
        <v>0.91915209067321901</v>
      </c>
      <c r="Y204" t="s">
        <v>83</v>
      </c>
      <c r="Z204" t="s">
        <v>262</v>
      </c>
      <c r="AA204" t="s">
        <v>253</v>
      </c>
      <c r="AB204" s="10">
        <f>INDEX(shelf!$B$1:$B$6,MATCH(AA204,shelf!$A$1:$A$6,0))</f>
        <v>0</v>
      </c>
      <c r="AC204" s="10" cm="1">
        <f t="array" ref="AC204">SUMPRODUCT(A204:X204*AB204)</f>
        <v>0</v>
      </c>
    </row>
    <row r="205" spans="1:29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83</v>
      </c>
      <c r="Z205" t="s">
        <v>262</v>
      </c>
      <c r="AA205" t="s">
        <v>254</v>
      </c>
      <c r="AB205" s="10">
        <f>INDEX(shelf!$B$1:$B$6,MATCH(AA205,shelf!$A$1:$A$6,0))</f>
        <v>0</v>
      </c>
      <c r="AC205" s="10" cm="1">
        <f t="array" ref="AC205">SUMPRODUCT(A205:X205*AB205)</f>
        <v>0</v>
      </c>
    </row>
    <row r="206" spans="1:29" x14ac:dyDescent="0.25">
      <c r="A206">
        <v>0.36208428692751399</v>
      </c>
      <c r="B206">
        <v>0.34588564317426901</v>
      </c>
      <c r="C206">
        <v>0.34200769159545202</v>
      </c>
      <c r="D206">
        <v>0.34294065257617901</v>
      </c>
      <c r="E206">
        <v>0.35641700093275902</v>
      </c>
      <c r="F206">
        <v>0.39575663500130498</v>
      </c>
      <c r="G206">
        <v>0.44543490524678703</v>
      </c>
      <c r="H206">
        <v>0.45473703770907098</v>
      </c>
      <c r="I206">
        <v>0.422806347491128</v>
      </c>
      <c r="J206">
        <v>0.39929339847740503</v>
      </c>
      <c r="K206">
        <v>0.39013317351677701</v>
      </c>
      <c r="L206">
        <v>0.38633626613569699</v>
      </c>
      <c r="M206">
        <v>0.37949854326329402</v>
      </c>
      <c r="N206">
        <v>0.36669829607253701</v>
      </c>
      <c r="O206">
        <v>0.35984383212729998</v>
      </c>
      <c r="P206">
        <v>0.37287621914114699</v>
      </c>
      <c r="Q206">
        <v>0.42882249362608199</v>
      </c>
      <c r="R206">
        <v>0.49098661325645998</v>
      </c>
      <c r="S206">
        <v>0.51392198380659604</v>
      </c>
      <c r="T206">
        <v>0.515859835127227</v>
      </c>
      <c r="U206">
        <v>0.509916397006</v>
      </c>
      <c r="V206">
        <v>0.48754723656301502</v>
      </c>
      <c r="W206">
        <v>0.44219992537283098</v>
      </c>
      <c r="X206">
        <v>0.395139157362489</v>
      </c>
      <c r="Y206" t="s">
        <v>84</v>
      </c>
      <c r="Z206" t="s">
        <v>262</v>
      </c>
      <c r="AA206" t="s">
        <v>222</v>
      </c>
      <c r="AB206" s="10">
        <f>INDEX(shelf!$B$1:$B$6,MATCH(AA206,shelf!$A$1:$A$6,0))</f>
        <v>120</v>
      </c>
      <c r="AC206" s="10" cm="1">
        <f t="array" ref="AC206">SUMPRODUCT(A206:X206*AB206)</f>
        <v>1188.8572285811183</v>
      </c>
    </row>
    <row r="207" spans="1:29" x14ac:dyDescent="0.25">
      <c r="A207">
        <v>0.191864214188812</v>
      </c>
      <c r="B207">
        <v>0.18024202209441401</v>
      </c>
      <c r="C207">
        <v>0.17701522610879999</v>
      </c>
      <c r="D207">
        <v>0.17766450377043999</v>
      </c>
      <c r="E207">
        <v>0.18235914373924</v>
      </c>
      <c r="F207">
        <v>0.199305214560208</v>
      </c>
      <c r="G207">
        <v>0.21357309732955099</v>
      </c>
      <c r="H207">
        <v>0.21064472642579199</v>
      </c>
      <c r="I207">
        <v>0.205401833497869</v>
      </c>
      <c r="J207">
        <v>0.204661052475751</v>
      </c>
      <c r="K207">
        <v>0.213490880569667</v>
      </c>
      <c r="L207">
        <v>0.22451754506801</v>
      </c>
      <c r="M207">
        <v>0.23416808650888599</v>
      </c>
      <c r="N207">
        <v>0.23940079394824099</v>
      </c>
      <c r="O207">
        <v>0.24596735953409701</v>
      </c>
      <c r="P207">
        <v>0.253688389273593</v>
      </c>
      <c r="Q207">
        <v>0.276847585219332</v>
      </c>
      <c r="R207">
        <v>0.31680912151666801</v>
      </c>
      <c r="S207">
        <v>0.33577841167891997</v>
      </c>
      <c r="T207">
        <v>0.35077339748713898</v>
      </c>
      <c r="U207">
        <v>0.349968337386802</v>
      </c>
      <c r="V207">
        <v>0.335057222979387</v>
      </c>
      <c r="W207">
        <v>0.27795598279567302</v>
      </c>
      <c r="X207">
        <v>0.22105077462043199</v>
      </c>
      <c r="Y207" t="s">
        <v>84</v>
      </c>
      <c r="Z207" t="s">
        <v>262</v>
      </c>
      <c r="AA207" t="s">
        <v>250</v>
      </c>
      <c r="AB207" s="10">
        <f>INDEX(shelf!$B$1:$B$6,MATCH(AA207,shelf!$A$1:$A$6,0))</f>
        <v>92</v>
      </c>
      <c r="AC207" s="10" cm="1">
        <f t="array" ref="AC207">SUMPRODUCT(A207:X207*AB207)</f>
        <v>535.27485289555057</v>
      </c>
    </row>
    <row r="208" spans="1:29" x14ac:dyDescent="0.25">
      <c r="A208">
        <v>0.45993324596645002</v>
      </c>
      <c r="B208">
        <v>0.426952008401489</v>
      </c>
      <c r="C208">
        <v>0.40785329120382602</v>
      </c>
      <c r="D208">
        <v>0.40064788760005998</v>
      </c>
      <c r="E208">
        <v>0.40405375024353202</v>
      </c>
      <c r="F208">
        <v>0.41419009354768599</v>
      </c>
      <c r="G208">
        <v>0.41492585418274502</v>
      </c>
      <c r="H208">
        <v>0.42950920102506301</v>
      </c>
      <c r="I208">
        <v>0.45211937042443801</v>
      </c>
      <c r="J208">
        <v>0.474975404867994</v>
      </c>
      <c r="K208">
        <v>0.52203179109067099</v>
      </c>
      <c r="L208">
        <v>0.57081615285570697</v>
      </c>
      <c r="M208">
        <v>0.61010228582806403</v>
      </c>
      <c r="N208">
        <v>0.63482512428705296</v>
      </c>
      <c r="O208">
        <v>0.64930454654409797</v>
      </c>
      <c r="P208">
        <v>0.65992374411709698</v>
      </c>
      <c r="Q208">
        <v>0.66810149193262802</v>
      </c>
      <c r="R208">
        <v>0.67612660108114098</v>
      </c>
      <c r="S208">
        <v>0.68900899337871702</v>
      </c>
      <c r="T208">
        <v>0.69893277715244395</v>
      </c>
      <c r="U208">
        <v>0.69487876777857305</v>
      </c>
      <c r="V208">
        <v>0.67193494990583702</v>
      </c>
      <c r="W208">
        <v>0.60186798947618403</v>
      </c>
      <c r="X208">
        <v>0.51676236961543698</v>
      </c>
      <c r="Y208" t="s">
        <v>84</v>
      </c>
      <c r="Z208" t="s">
        <v>262</v>
      </c>
      <c r="AA208" t="s">
        <v>251</v>
      </c>
      <c r="AB208" s="10">
        <f>INDEX(shelf!$B$1:$B$6,MATCH(AA208,shelf!$A$1:$A$6,0))</f>
        <v>92</v>
      </c>
      <c r="AC208" s="10" cm="1">
        <f t="array" ref="AC208">SUMPRODUCT(A208:X208*AB208)</f>
        <v>1209.7795477106381</v>
      </c>
    </row>
    <row r="209" spans="1:29" x14ac:dyDescent="0.25">
      <c r="A209">
        <v>0.29718971787807402</v>
      </c>
      <c r="B209">
        <v>0.28464093653613798</v>
      </c>
      <c r="C209">
        <v>0.28068006500554998</v>
      </c>
      <c r="D209">
        <v>0.28023727787688302</v>
      </c>
      <c r="E209">
        <v>0.28441317031879598</v>
      </c>
      <c r="F209">
        <v>0.308426863889397</v>
      </c>
      <c r="G209">
        <v>0.33730249449385002</v>
      </c>
      <c r="H209">
        <v>0.32794646411923001</v>
      </c>
      <c r="I209">
        <v>0.32421860026990801</v>
      </c>
      <c r="J209">
        <v>0.32747613124111002</v>
      </c>
      <c r="K209">
        <v>0.33749322506247598</v>
      </c>
      <c r="L209">
        <v>0.35770366232655298</v>
      </c>
      <c r="M209">
        <v>0.37943133501355503</v>
      </c>
      <c r="N209">
        <v>0.39505991247998701</v>
      </c>
      <c r="O209">
        <v>0.402662487518817</v>
      </c>
      <c r="P209">
        <v>0.41976062640105</v>
      </c>
      <c r="Q209">
        <v>0.459992816862965</v>
      </c>
      <c r="R209">
        <v>0.48958457650797799</v>
      </c>
      <c r="S209">
        <v>0.50422702477902503</v>
      </c>
      <c r="T209">
        <v>0.50402550042142802</v>
      </c>
      <c r="U209">
        <v>0.49327265013363802</v>
      </c>
      <c r="V209">
        <v>0.44870681384524602</v>
      </c>
      <c r="W209">
        <v>0.38129694213426402</v>
      </c>
      <c r="X209">
        <v>0.32245771017227598</v>
      </c>
      <c r="Y209" t="s">
        <v>84</v>
      </c>
      <c r="Z209" t="s">
        <v>262</v>
      </c>
      <c r="AA209" t="s">
        <v>252</v>
      </c>
      <c r="AB209" s="10">
        <f>INDEX(shelf!$B$1:$B$6,MATCH(AA209,shelf!$A$1:$A$6,0))</f>
        <v>61</v>
      </c>
      <c r="AC209" s="10" cm="1">
        <f t="array" ref="AC209">SUMPRODUCT(A209:X209*AB209)</f>
        <v>545.84062732257985</v>
      </c>
    </row>
    <row r="210" spans="1:29" x14ac:dyDescent="0.25">
      <c r="A210">
        <v>0.59705627815079498</v>
      </c>
      <c r="B210">
        <v>0.52923995552233505</v>
      </c>
      <c r="C210">
        <v>0.48299087533665003</v>
      </c>
      <c r="D210">
        <v>0.458716731955705</v>
      </c>
      <c r="E210">
        <v>0.45600561712232002</v>
      </c>
      <c r="F210">
        <v>0.45930720402258401</v>
      </c>
      <c r="G210">
        <v>0.45212619984081998</v>
      </c>
      <c r="H210">
        <v>0.50901483870525899</v>
      </c>
      <c r="I210">
        <v>0.55926501239675297</v>
      </c>
      <c r="J210">
        <v>0.62426171239006301</v>
      </c>
      <c r="K210">
        <v>0.67257244080925704</v>
      </c>
      <c r="L210">
        <v>0.71066763375561803</v>
      </c>
      <c r="M210">
        <v>0.729146617743343</v>
      </c>
      <c r="N210">
        <v>0.73937953553393398</v>
      </c>
      <c r="O210">
        <v>0.74432875546291999</v>
      </c>
      <c r="P210">
        <v>0.74642990896406103</v>
      </c>
      <c r="Q210">
        <v>0.748149704948324</v>
      </c>
      <c r="R210">
        <v>0.75305204529305203</v>
      </c>
      <c r="S210">
        <v>0.76069394426386105</v>
      </c>
      <c r="T210">
        <v>0.76378799682483001</v>
      </c>
      <c r="U210">
        <v>0.76995029183857999</v>
      </c>
      <c r="V210">
        <v>0.76877145465242902</v>
      </c>
      <c r="W210">
        <v>0.76000760608086104</v>
      </c>
      <c r="X210">
        <v>0.70072073410268498</v>
      </c>
      <c r="Y210" t="s">
        <v>84</v>
      </c>
      <c r="Z210" t="s">
        <v>262</v>
      </c>
      <c r="AA210" t="s">
        <v>253</v>
      </c>
      <c r="AB210" s="10">
        <f>INDEX(shelf!$B$1:$B$6,MATCH(AA210,shelf!$A$1:$A$6,0))</f>
        <v>0</v>
      </c>
      <c r="AC210" s="10" cm="1">
        <f t="array" ref="AC210">SUMPRODUCT(A210:X210*AB210)</f>
        <v>0</v>
      </c>
    </row>
    <row r="211" spans="1:29" x14ac:dyDescent="0.25">
      <c r="A211">
        <v>0.51453662164646297</v>
      </c>
      <c r="B211">
        <v>0.49710742430395599</v>
      </c>
      <c r="C211">
        <v>0.48204274891347298</v>
      </c>
      <c r="D211">
        <v>0.48072590665906001</v>
      </c>
      <c r="E211">
        <v>0.49895574409225002</v>
      </c>
      <c r="F211">
        <v>0.54310683119820502</v>
      </c>
      <c r="G211">
        <v>0.60579484335107903</v>
      </c>
      <c r="H211">
        <v>0.62303494214585198</v>
      </c>
      <c r="I211">
        <v>0.54853485497089505</v>
      </c>
      <c r="J211">
        <v>0.51210362389720998</v>
      </c>
      <c r="K211">
        <v>0.50275878452299405</v>
      </c>
      <c r="L211">
        <v>0.49832049938872103</v>
      </c>
      <c r="M211">
        <v>0.48439778960126501</v>
      </c>
      <c r="N211">
        <v>0.45659029508327897</v>
      </c>
      <c r="O211">
        <v>0.44245320337680399</v>
      </c>
      <c r="P211">
        <v>0.469816658686602</v>
      </c>
      <c r="Q211">
        <v>0.570217979532057</v>
      </c>
      <c r="R211">
        <v>0.58174403641648198</v>
      </c>
      <c r="S211">
        <v>0.62318874932116697</v>
      </c>
      <c r="T211">
        <v>0.62270573158224896</v>
      </c>
      <c r="U211">
        <v>0.62518929607407103</v>
      </c>
      <c r="V211">
        <v>0.61189287646281398</v>
      </c>
      <c r="W211">
        <v>0.589704611212859</v>
      </c>
      <c r="X211">
        <v>0.54610817806446299</v>
      </c>
      <c r="Y211" t="s">
        <v>84</v>
      </c>
      <c r="Z211" t="s">
        <v>262</v>
      </c>
      <c r="AA211" t="s">
        <v>254</v>
      </c>
      <c r="AB211" s="10">
        <f>INDEX(shelf!$B$1:$B$6,MATCH(AA211,shelf!$A$1:$A$6,0))</f>
        <v>0</v>
      </c>
      <c r="AC211" s="10" cm="1">
        <f t="array" ref="AC211">SUMPRODUCT(A211:X211*AB211)</f>
        <v>0</v>
      </c>
    </row>
    <row r="212" spans="1:29" x14ac:dyDescent="0.25">
      <c r="A212">
        <v>0.20284301002395</v>
      </c>
      <c r="B212">
        <v>0.19081455380515999</v>
      </c>
      <c r="C212">
        <v>0.189655281702624</v>
      </c>
      <c r="D212">
        <v>0.190716072982096</v>
      </c>
      <c r="E212">
        <v>0.203177929719629</v>
      </c>
      <c r="F212">
        <v>0.24358456897424699</v>
      </c>
      <c r="G212">
        <v>0.303738523441617</v>
      </c>
      <c r="H212">
        <v>0.305498019181277</v>
      </c>
      <c r="I212">
        <v>0.26756793915925697</v>
      </c>
      <c r="J212">
        <v>0.247015055058701</v>
      </c>
      <c r="K212">
        <v>0.249814011640941</v>
      </c>
      <c r="L212">
        <v>0.245381207265709</v>
      </c>
      <c r="M212">
        <v>0.23421159296616401</v>
      </c>
      <c r="N212">
        <v>0.22042661241185799</v>
      </c>
      <c r="O212">
        <v>0.21831627874003201</v>
      </c>
      <c r="P212">
        <v>0.24371499239186101</v>
      </c>
      <c r="Q212">
        <v>0.32207611963111099</v>
      </c>
      <c r="R212">
        <v>0.36892539979976702</v>
      </c>
      <c r="S212">
        <v>0.370149299942439</v>
      </c>
      <c r="T212">
        <v>0.37222737265498601</v>
      </c>
      <c r="U212">
        <v>0.36860830852895299</v>
      </c>
      <c r="V212">
        <v>0.35008659140409598</v>
      </c>
      <c r="W212">
        <v>0.29538293498818602</v>
      </c>
      <c r="X212">
        <v>0.23562598133879301</v>
      </c>
      <c r="Y212" t="s">
        <v>85</v>
      </c>
      <c r="Z212" t="s">
        <v>262</v>
      </c>
      <c r="AA212" t="s">
        <v>222</v>
      </c>
      <c r="AB212" s="10">
        <f>INDEX(shelf!$B$1:$B$6,MATCH(AA212,shelf!$A$1:$A$6,0))</f>
        <v>120</v>
      </c>
      <c r="AC212" s="10" cm="1">
        <f t="array" ref="AC212">SUMPRODUCT(A212:X212*AB212)</f>
        <v>772.74691893041449</v>
      </c>
    </row>
    <row r="213" spans="1:29" x14ac:dyDescent="0.25">
      <c r="A213">
        <v>0.12372157474930801</v>
      </c>
      <c r="B213">
        <v>0.120216511726913</v>
      </c>
      <c r="C213">
        <v>0.119661761185353</v>
      </c>
      <c r="D213">
        <v>0.12012020639616899</v>
      </c>
      <c r="E213">
        <v>0.121748376684814</v>
      </c>
      <c r="F213">
        <v>0.13025561287117501</v>
      </c>
      <c r="G213">
        <v>0.13885941969222099</v>
      </c>
      <c r="H213">
        <v>0.13699672071933899</v>
      </c>
      <c r="I213">
        <v>0.132647725859209</v>
      </c>
      <c r="J213">
        <v>0.135966412862739</v>
      </c>
      <c r="K213">
        <v>0.14369935949599399</v>
      </c>
      <c r="L213">
        <v>0.15286043724604501</v>
      </c>
      <c r="M213">
        <v>0.16246961335319601</v>
      </c>
      <c r="N213">
        <v>0.16907448762742899</v>
      </c>
      <c r="O213">
        <v>0.17867650052816</v>
      </c>
      <c r="P213">
        <v>0.18925377071764199</v>
      </c>
      <c r="Q213">
        <v>0.228404540704643</v>
      </c>
      <c r="R213">
        <v>0.27500531067134898</v>
      </c>
      <c r="S213">
        <v>0.28488894370592399</v>
      </c>
      <c r="T213">
        <v>0.28677804042097998</v>
      </c>
      <c r="U213">
        <v>0.28585942552372801</v>
      </c>
      <c r="V213">
        <v>0.26876496401266098</v>
      </c>
      <c r="W213">
        <v>0.19334409423486301</v>
      </c>
      <c r="X213">
        <v>0.14540022306459499</v>
      </c>
      <c r="Y213" t="s">
        <v>85</v>
      </c>
      <c r="Z213" t="s">
        <v>262</v>
      </c>
      <c r="AA213" t="s">
        <v>250</v>
      </c>
      <c r="AB213" s="10">
        <f>INDEX(shelf!$B$1:$B$6,MATCH(AA213,shelf!$A$1:$A$6,0))</f>
        <v>92</v>
      </c>
      <c r="AC213" s="10" cm="1">
        <f t="array" ref="AC213">SUMPRODUCT(A213:X213*AB213)</f>
        <v>390.5100111330093</v>
      </c>
    </row>
    <row r="214" spans="1:29" x14ac:dyDescent="0.25">
      <c r="A214">
        <v>0.44170514810408401</v>
      </c>
      <c r="B214">
        <v>0.40081058867570302</v>
      </c>
      <c r="C214">
        <v>0.38293540322858199</v>
      </c>
      <c r="D214">
        <v>0.379796314795528</v>
      </c>
      <c r="E214">
        <v>0.380122175123975</v>
      </c>
      <c r="F214">
        <v>0.38270591226976203</v>
      </c>
      <c r="G214">
        <v>0.37779991178457001</v>
      </c>
      <c r="H214">
        <v>0.39239012212554802</v>
      </c>
      <c r="I214">
        <v>0.43106313612921299</v>
      </c>
      <c r="J214">
        <v>0.47834809294146202</v>
      </c>
      <c r="K214">
        <v>0.56626964226689103</v>
      </c>
      <c r="L214">
        <v>0.64038919011296103</v>
      </c>
      <c r="M214">
        <v>0.68967994840453095</v>
      </c>
      <c r="N214">
        <v>0.71849831764106198</v>
      </c>
      <c r="O214">
        <v>0.74104187662701804</v>
      </c>
      <c r="P214">
        <v>0.75821722687025495</v>
      </c>
      <c r="Q214">
        <v>0.77175663233805303</v>
      </c>
      <c r="R214">
        <v>0.78306130647030003</v>
      </c>
      <c r="S214">
        <v>0.78250076498408605</v>
      </c>
      <c r="T214">
        <v>0.792929838526507</v>
      </c>
      <c r="U214">
        <v>0.78311713617788503</v>
      </c>
      <c r="V214">
        <v>0.77169925959834795</v>
      </c>
      <c r="W214">
        <v>0.664354723334588</v>
      </c>
      <c r="X214">
        <v>0.52775373698809003</v>
      </c>
      <c r="Y214" t="s">
        <v>85</v>
      </c>
      <c r="Z214" t="s">
        <v>262</v>
      </c>
      <c r="AA214" t="s">
        <v>251</v>
      </c>
      <c r="AB214" s="10">
        <f>INDEX(shelf!$B$1:$B$6,MATCH(AA214,shelf!$A$1:$A$6,0))</f>
        <v>92</v>
      </c>
      <c r="AC214" s="10" cm="1">
        <f t="array" ref="AC214">SUMPRODUCT(A214:X214*AB214)</f>
        <v>1291.5830693077482</v>
      </c>
    </row>
    <row r="215" spans="1:29" x14ac:dyDescent="0.25">
      <c r="A215">
        <v>0.20867887733798299</v>
      </c>
      <c r="B215">
        <v>0.20072128133037601</v>
      </c>
      <c r="C215">
        <v>0.197582457351411</v>
      </c>
      <c r="D215">
        <v>0.19708589535792501</v>
      </c>
      <c r="E215">
        <v>0.19853996972079899</v>
      </c>
      <c r="F215">
        <v>0.21173227344780299</v>
      </c>
      <c r="G215">
        <v>0.22864859206068</v>
      </c>
      <c r="H215">
        <v>0.22128298917906999</v>
      </c>
      <c r="I215">
        <v>0.22489416725417499</v>
      </c>
      <c r="J215">
        <v>0.23991826856875001</v>
      </c>
      <c r="K215">
        <v>0.26472436106361302</v>
      </c>
      <c r="L215">
        <v>0.28875640103921901</v>
      </c>
      <c r="M215">
        <v>0.306343538493416</v>
      </c>
      <c r="N215">
        <v>0.31273562378425301</v>
      </c>
      <c r="O215">
        <v>0.32241798246141501</v>
      </c>
      <c r="P215">
        <v>0.34927754486003898</v>
      </c>
      <c r="Q215">
        <v>0.41760223443263</v>
      </c>
      <c r="R215">
        <v>0.444080672497011</v>
      </c>
      <c r="S215">
        <v>0.44400864900077602</v>
      </c>
      <c r="T215">
        <v>0.44795953789978799</v>
      </c>
      <c r="U215">
        <v>0.43872792626989499</v>
      </c>
      <c r="V215">
        <v>0.366477956152508</v>
      </c>
      <c r="W215">
        <v>0.28679075978781099</v>
      </c>
      <c r="X215">
        <v>0.22668195048293599</v>
      </c>
      <c r="Y215" t="s">
        <v>85</v>
      </c>
      <c r="Z215" t="s">
        <v>262</v>
      </c>
      <c r="AA215" t="s">
        <v>252</v>
      </c>
      <c r="AB215" s="10">
        <f>INDEX(shelf!$B$1:$B$6,MATCH(AA215,shelf!$A$1:$A$6,0))</f>
        <v>61</v>
      </c>
      <c r="AC215" s="10" cm="1">
        <f t="array" ref="AC215">SUMPRODUCT(A215:X215*AB215)</f>
        <v>429.7858644998912</v>
      </c>
    </row>
    <row r="216" spans="1:29" x14ac:dyDescent="0.25">
      <c r="A216">
        <v>0.58295977904646101</v>
      </c>
      <c r="B216">
        <v>0.47948222154907899</v>
      </c>
      <c r="C216">
        <v>0.42384427077297798</v>
      </c>
      <c r="D216">
        <v>0.42384427077297798</v>
      </c>
      <c r="E216">
        <v>0.42384427077297798</v>
      </c>
      <c r="F216">
        <v>0.42384427077297798</v>
      </c>
      <c r="G216">
        <v>0.42384427077297798</v>
      </c>
      <c r="H216">
        <v>0.47948222154907899</v>
      </c>
      <c r="I216">
        <v>0.57643064904751096</v>
      </c>
      <c r="J216">
        <v>0.65041118372720597</v>
      </c>
      <c r="K216">
        <v>0.84428363076145596</v>
      </c>
      <c r="L216">
        <v>0.88084675875557805</v>
      </c>
      <c r="M216">
        <v>0.88084675875557805</v>
      </c>
      <c r="N216">
        <v>0.88748572458628605</v>
      </c>
      <c r="O216">
        <v>0.88748572458628605</v>
      </c>
      <c r="P216">
        <v>0.89178152600615601</v>
      </c>
      <c r="Q216">
        <v>0.89435656606181702</v>
      </c>
      <c r="R216">
        <v>0.89435656606181702</v>
      </c>
      <c r="S216">
        <v>0.89435656606181702</v>
      </c>
      <c r="T216">
        <v>0.89435656606181702</v>
      </c>
      <c r="U216">
        <v>0.88963362529622103</v>
      </c>
      <c r="V216">
        <v>0.88748572458628605</v>
      </c>
      <c r="W216">
        <v>0.833263435641733</v>
      </c>
      <c r="X216">
        <v>0.61383585175177802</v>
      </c>
      <c r="Y216" t="s">
        <v>85</v>
      </c>
      <c r="Z216" t="s">
        <v>262</v>
      </c>
      <c r="AA216" t="s">
        <v>253</v>
      </c>
      <c r="AB216" s="10">
        <f>INDEX(shelf!$B$1:$B$6,MATCH(AA216,shelf!$A$1:$A$6,0))</f>
        <v>0</v>
      </c>
      <c r="AC216" s="10" cm="1">
        <f t="array" ref="AC216">SUMPRODUCT(A216:X216*AB216)</f>
        <v>0</v>
      </c>
    </row>
    <row r="217" spans="1:29" x14ac:dyDescent="0.25">
      <c r="A217">
        <v>0.19626442737031399</v>
      </c>
      <c r="B217">
        <v>0.19626442737031399</v>
      </c>
      <c r="C217">
        <v>0.19626442737031399</v>
      </c>
      <c r="D217">
        <v>0.19626442737031399</v>
      </c>
      <c r="E217">
        <v>0.19626442737031399</v>
      </c>
      <c r="F217">
        <v>0.20729682647134401</v>
      </c>
      <c r="G217">
        <v>0.20729682647134401</v>
      </c>
      <c r="H217">
        <v>0.20729682647134401</v>
      </c>
      <c r="I217">
        <v>0.20729682647134401</v>
      </c>
      <c r="J217">
        <v>0.20729682647134401</v>
      </c>
      <c r="K217">
        <v>0.20729682647134401</v>
      </c>
      <c r="L217">
        <v>0.20729682647134401</v>
      </c>
      <c r="M217">
        <v>0.20729682647134401</v>
      </c>
      <c r="N217">
        <v>0.20729682647134401</v>
      </c>
      <c r="O217">
        <v>0.20729682647134401</v>
      </c>
      <c r="P217">
        <v>0.23922244156901501</v>
      </c>
      <c r="Q217">
        <v>0.42599217148291302</v>
      </c>
      <c r="R217">
        <v>0.51825427015966796</v>
      </c>
      <c r="S217">
        <v>0.73157986339639902</v>
      </c>
      <c r="T217">
        <v>0.57486853944028504</v>
      </c>
      <c r="U217">
        <v>0.73157986339639902</v>
      </c>
      <c r="V217">
        <v>0.56826618555349595</v>
      </c>
      <c r="W217">
        <v>0.45730758751526102</v>
      </c>
      <c r="X217">
        <v>0.38942904348879098</v>
      </c>
      <c r="Y217" t="s">
        <v>85</v>
      </c>
      <c r="Z217" t="s">
        <v>262</v>
      </c>
      <c r="AA217" t="s">
        <v>254</v>
      </c>
      <c r="AB217" s="10">
        <f>INDEX(shelf!$B$1:$B$6,MATCH(AA217,shelf!$A$1:$A$6,0))</f>
        <v>0</v>
      </c>
      <c r="AC217" s="10" cm="1">
        <f t="array" ref="AC217">SUMPRODUCT(A217:X217*AB217)</f>
        <v>0</v>
      </c>
    </row>
    <row r="218" spans="1:29" x14ac:dyDescent="0.25">
      <c r="A218">
        <v>0.36208428692751399</v>
      </c>
      <c r="B218">
        <v>0.34588564317426901</v>
      </c>
      <c r="C218">
        <v>0.34200769159545202</v>
      </c>
      <c r="D218">
        <v>0.34294065257617901</v>
      </c>
      <c r="E218">
        <v>0.35641700093275902</v>
      </c>
      <c r="F218">
        <v>0.39575663500130498</v>
      </c>
      <c r="G218">
        <v>0.44543490524678703</v>
      </c>
      <c r="H218">
        <v>0.45473703770907098</v>
      </c>
      <c r="I218">
        <v>0.422806347491128</v>
      </c>
      <c r="J218">
        <v>0.39929339847740503</v>
      </c>
      <c r="K218">
        <v>0.39013317351677701</v>
      </c>
      <c r="L218">
        <v>0.38633626613569699</v>
      </c>
      <c r="M218">
        <v>0.37949854326329402</v>
      </c>
      <c r="N218">
        <v>0.36669829607253701</v>
      </c>
      <c r="O218">
        <v>0.35984383212729998</v>
      </c>
      <c r="P218">
        <v>0.37287621914114699</v>
      </c>
      <c r="Q218">
        <v>0.42882249362608199</v>
      </c>
      <c r="R218">
        <v>0.49098661325645998</v>
      </c>
      <c r="S218">
        <v>0.51392198380659604</v>
      </c>
      <c r="T218">
        <v>0.515859835127227</v>
      </c>
      <c r="U218">
        <v>0.509916397006</v>
      </c>
      <c r="V218">
        <v>0.48754723656301502</v>
      </c>
      <c r="W218">
        <v>0.44219992537283098</v>
      </c>
      <c r="X218">
        <v>0.395139157362489</v>
      </c>
      <c r="Y218" t="s">
        <v>86</v>
      </c>
      <c r="Z218" t="s">
        <v>262</v>
      </c>
      <c r="AA218" t="s">
        <v>222</v>
      </c>
      <c r="AB218" s="10">
        <f>INDEX(shelf!$B$1:$B$6,MATCH(AA218,shelf!$A$1:$A$6,0))</f>
        <v>120</v>
      </c>
      <c r="AC218" s="10" cm="1">
        <f t="array" ref="AC218">SUMPRODUCT(A218:X218*AB218)</f>
        <v>1188.8572285811183</v>
      </c>
    </row>
    <row r="219" spans="1:29" x14ac:dyDescent="0.25">
      <c r="A219">
        <v>0.191864214188812</v>
      </c>
      <c r="B219">
        <v>0.18024202209441401</v>
      </c>
      <c r="C219">
        <v>0.17701522610879999</v>
      </c>
      <c r="D219">
        <v>0.17766450377043999</v>
      </c>
      <c r="E219">
        <v>0.18235914373924</v>
      </c>
      <c r="F219">
        <v>0.199305214560208</v>
      </c>
      <c r="G219">
        <v>0.21357309732955099</v>
      </c>
      <c r="H219">
        <v>0.21064472642579199</v>
      </c>
      <c r="I219">
        <v>0.205401833497869</v>
      </c>
      <c r="J219">
        <v>0.204661052475751</v>
      </c>
      <c r="K219">
        <v>0.213490880569667</v>
      </c>
      <c r="L219">
        <v>0.22451754506801</v>
      </c>
      <c r="M219">
        <v>0.23416808650888599</v>
      </c>
      <c r="N219">
        <v>0.23940079394824099</v>
      </c>
      <c r="O219">
        <v>0.24596735953409701</v>
      </c>
      <c r="P219">
        <v>0.253688389273593</v>
      </c>
      <c r="Q219">
        <v>0.276847585219332</v>
      </c>
      <c r="R219">
        <v>0.31680912151666801</v>
      </c>
      <c r="S219">
        <v>0.33577841167891997</v>
      </c>
      <c r="T219">
        <v>0.35077339748713898</v>
      </c>
      <c r="U219">
        <v>0.349968337386802</v>
      </c>
      <c r="V219">
        <v>0.335057222979387</v>
      </c>
      <c r="W219">
        <v>0.27795598279567302</v>
      </c>
      <c r="X219">
        <v>0.22105077462043199</v>
      </c>
      <c r="Y219" t="s">
        <v>86</v>
      </c>
      <c r="Z219" t="s">
        <v>262</v>
      </c>
      <c r="AA219" t="s">
        <v>250</v>
      </c>
      <c r="AB219" s="10">
        <f>INDEX(shelf!$B$1:$B$6,MATCH(AA219,shelf!$A$1:$A$6,0))</f>
        <v>92</v>
      </c>
      <c r="AC219" s="10" cm="1">
        <f t="array" ref="AC219">SUMPRODUCT(A219:X219*AB219)</f>
        <v>535.27485289555057</v>
      </c>
    </row>
    <row r="220" spans="1:29" x14ac:dyDescent="0.25">
      <c r="A220">
        <v>0.45993324596645002</v>
      </c>
      <c r="B220">
        <v>0.426952008401489</v>
      </c>
      <c r="C220">
        <v>0.40785329120382602</v>
      </c>
      <c r="D220">
        <v>0.40064788760005998</v>
      </c>
      <c r="E220">
        <v>0.40405375024353202</v>
      </c>
      <c r="F220">
        <v>0.41419009354768599</v>
      </c>
      <c r="G220">
        <v>0.41492585418274502</v>
      </c>
      <c r="H220">
        <v>0.42950920102506301</v>
      </c>
      <c r="I220">
        <v>0.45211937042443801</v>
      </c>
      <c r="J220">
        <v>0.474975404867994</v>
      </c>
      <c r="K220">
        <v>0.52203179109067099</v>
      </c>
      <c r="L220">
        <v>0.57081615285570697</v>
      </c>
      <c r="M220">
        <v>0.61010228582806403</v>
      </c>
      <c r="N220">
        <v>0.63482512428705296</v>
      </c>
      <c r="O220">
        <v>0.64930454654409797</v>
      </c>
      <c r="P220">
        <v>0.65992374411709698</v>
      </c>
      <c r="Q220">
        <v>0.66810149193262802</v>
      </c>
      <c r="R220">
        <v>0.67612660108114098</v>
      </c>
      <c r="S220">
        <v>0.68900899337871702</v>
      </c>
      <c r="T220">
        <v>0.69893277715244395</v>
      </c>
      <c r="U220">
        <v>0.69487876777857305</v>
      </c>
      <c r="V220">
        <v>0.67193494990583702</v>
      </c>
      <c r="W220">
        <v>0.60186798947618403</v>
      </c>
      <c r="X220">
        <v>0.51676236961543698</v>
      </c>
      <c r="Y220" t="s">
        <v>86</v>
      </c>
      <c r="Z220" t="s">
        <v>262</v>
      </c>
      <c r="AA220" t="s">
        <v>251</v>
      </c>
      <c r="AB220" s="10">
        <f>INDEX(shelf!$B$1:$B$6,MATCH(AA220,shelf!$A$1:$A$6,0))</f>
        <v>92</v>
      </c>
      <c r="AC220" s="10" cm="1">
        <f t="array" ref="AC220">SUMPRODUCT(A220:X220*AB220)</f>
        <v>1209.7795477106381</v>
      </c>
    </row>
    <row r="221" spans="1:29" x14ac:dyDescent="0.25">
      <c r="A221">
        <v>0.29718971787807402</v>
      </c>
      <c r="B221">
        <v>0.28464093653613798</v>
      </c>
      <c r="C221">
        <v>0.28068006500554998</v>
      </c>
      <c r="D221">
        <v>0.28023727787688302</v>
      </c>
      <c r="E221">
        <v>0.28441317031879598</v>
      </c>
      <c r="F221">
        <v>0.308426863889397</v>
      </c>
      <c r="G221">
        <v>0.33730249449385002</v>
      </c>
      <c r="H221">
        <v>0.32794646411923001</v>
      </c>
      <c r="I221">
        <v>0.32421860026990801</v>
      </c>
      <c r="J221">
        <v>0.32747613124111002</v>
      </c>
      <c r="K221">
        <v>0.33749322506247598</v>
      </c>
      <c r="L221">
        <v>0.35770366232655298</v>
      </c>
      <c r="M221">
        <v>0.37943133501355503</v>
      </c>
      <c r="N221">
        <v>0.39505991247998701</v>
      </c>
      <c r="O221">
        <v>0.402662487518817</v>
      </c>
      <c r="P221">
        <v>0.41976062640105</v>
      </c>
      <c r="Q221">
        <v>0.459992816862965</v>
      </c>
      <c r="R221">
        <v>0.48958457650797799</v>
      </c>
      <c r="S221">
        <v>0.50422702477902503</v>
      </c>
      <c r="T221">
        <v>0.50402550042142802</v>
      </c>
      <c r="U221">
        <v>0.49327265013363802</v>
      </c>
      <c r="V221">
        <v>0.44870681384524602</v>
      </c>
      <c r="W221">
        <v>0.38129694213426402</v>
      </c>
      <c r="X221">
        <v>0.32245771017227598</v>
      </c>
      <c r="Y221" t="s">
        <v>86</v>
      </c>
      <c r="Z221" t="s">
        <v>262</v>
      </c>
      <c r="AA221" t="s">
        <v>252</v>
      </c>
      <c r="AB221" s="10">
        <f>INDEX(shelf!$B$1:$B$6,MATCH(AA221,shelf!$A$1:$A$6,0))</f>
        <v>61</v>
      </c>
      <c r="AC221" s="10" cm="1">
        <f t="array" ref="AC221">SUMPRODUCT(A221:X221*AB221)</f>
        <v>545.84062732257985</v>
      </c>
    </row>
    <row r="222" spans="1:29" x14ac:dyDescent="0.25">
      <c r="A222">
        <v>0.59705627815079498</v>
      </c>
      <c r="B222">
        <v>0.52923995552233505</v>
      </c>
      <c r="C222">
        <v>0.48299087533665003</v>
      </c>
      <c r="D222">
        <v>0.458716731955705</v>
      </c>
      <c r="E222">
        <v>0.45600561712232002</v>
      </c>
      <c r="F222">
        <v>0.45930720402258401</v>
      </c>
      <c r="G222">
        <v>0.45212619984081998</v>
      </c>
      <c r="H222">
        <v>0.50901483870525899</v>
      </c>
      <c r="I222">
        <v>0.55926501239675297</v>
      </c>
      <c r="J222">
        <v>0.62426171239006301</v>
      </c>
      <c r="K222">
        <v>0.67257244080925704</v>
      </c>
      <c r="L222">
        <v>0.71066763375561803</v>
      </c>
      <c r="M222">
        <v>0.729146617743343</v>
      </c>
      <c r="N222">
        <v>0.73937953553393398</v>
      </c>
      <c r="O222">
        <v>0.74432875546291999</v>
      </c>
      <c r="P222">
        <v>0.74642990896406103</v>
      </c>
      <c r="Q222">
        <v>0.748149704948324</v>
      </c>
      <c r="R222">
        <v>0.75305204529305203</v>
      </c>
      <c r="S222">
        <v>0.76069394426386105</v>
      </c>
      <c r="T222">
        <v>0.76378799682483001</v>
      </c>
      <c r="U222">
        <v>0.76995029183857999</v>
      </c>
      <c r="V222">
        <v>0.76877145465242902</v>
      </c>
      <c r="W222">
        <v>0.76000760608086104</v>
      </c>
      <c r="X222">
        <v>0.70072073410268498</v>
      </c>
      <c r="Y222" t="s">
        <v>86</v>
      </c>
      <c r="Z222" t="s">
        <v>262</v>
      </c>
      <c r="AA222" t="s">
        <v>253</v>
      </c>
      <c r="AB222" s="10">
        <f>INDEX(shelf!$B$1:$B$6,MATCH(AA222,shelf!$A$1:$A$6,0))</f>
        <v>0</v>
      </c>
      <c r="AC222" s="10" cm="1">
        <f t="array" ref="AC222">SUMPRODUCT(A222:X222*AB222)</f>
        <v>0</v>
      </c>
    </row>
    <row r="223" spans="1:29" x14ac:dyDescent="0.25">
      <c r="A223">
        <v>0.51453662164646297</v>
      </c>
      <c r="B223">
        <v>0.49710742430395599</v>
      </c>
      <c r="C223">
        <v>0.48204274891347298</v>
      </c>
      <c r="D223">
        <v>0.48072590665906001</v>
      </c>
      <c r="E223">
        <v>0.49895574409225002</v>
      </c>
      <c r="F223">
        <v>0.54310683119820502</v>
      </c>
      <c r="G223">
        <v>0.60579484335107903</v>
      </c>
      <c r="H223">
        <v>0.62303494214585198</v>
      </c>
      <c r="I223">
        <v>0.54853485497089505</v>
      </c>
      <c r="J223">
        <v>0.51210362389720998</v>
      </c>
      <c r="K223">
        <v>0.50275878452299405</v>
      </c>
      <c r="L223">
        <v>0.49832049938872103</v>
      </c>
      <c r="M223">
        <v>0.48439778960126501</v>
      </c>
      <c r="N223">
        <v>0.45659029508327897</v>
      </c>
      <c r="O223">
        <v>0.44245320337680399</v>
      </c>
      <c r="P223">
        <v>0.469816658686602</v>
      </c>
      <c r="Q223">
        <v>0.570217979532057</v>
      </c>
      <c r="R223">
        <v>0.58174403641648198</v>
      </c>
      <c r="S223">
        <v>0.62318874932116697</v>
      </c>
      <c r="T223">
        <v>0.62270573158224896</v>
      </c>
      <c r="U223">
        <v>0.62518929607407103</v>
      </c>
      <c r="V223">
        <v>0.61189287646281398</v>
      </c>
      <c r="W223">
        <v>0.589704611212859</v>
      </c>
      <c r="X223">
        <v>0.54610817806446299</v>
      </c>
      <c r="Y223" t="s">
        <v>86</v>
      </c>
      <c r="Z223" t="s">
        <v>262</v>
      </c>
      <c r="AA223" t="s">
        <v>254</v>
      </c>
      <c r="AB223" s="10">
        <f>INDEX(shelf!$B$1:$B$6,MATCH(AA223,shelf!$A$1:$A$6,0))</f>
        <v>0</v>
      </c>
      <c r="AC223" s="10" cm="1">
        <f t="array" ref="AC223">SUMPRODUCT(A223:X223*AB223)</f>
        <v>0</v>
      </c>
    </row>
    <row r="224" spans="1:29" x14ac:dyDescent="0.25">
      <c r="A224">
        <v>0.202383903325317</v>
      </c>
      <c r="B224">
        <v>0.19793125044854801</v>
      </c>
      <c r="C224">
        <v>0.19882774729341299</v>
      </c>
      <c r="D224">
        <v>0.20165160859353001</v>
      </c>
      <c r="E224">
        <v>0.21357844075013199</v>
      </c>
      <c r="F224">
        <v>0.27290339313063</v>
      </c>
      <c r="G224">
        <v>0.362930249611498</v>
      </c>
      <c r="H224">
        <v>0.35093623207213598</v>
      </c>
      <c r="I224">
        <v>0.25526139358801198</v>
      </c>
      <c r="J224">
        <v>0.211074163973416</v>
      </c>
      <c r="K224">
        <v>0.205973003541045</v>
      </c>
      <c r="L224">
        <v>0.20081088339844699</v>
      </c>
      <c r="M224">
        <v>0.19816782600483199</v>
      </c>
      <c r="N224">
        <v>0.19715381959089101</v>
      </c>
      <c r="O224">
        <v>0.19761529756745799</v>
      </c>
      <c r="P224">
        <v>0.206192458497861</v>
      </c>
      <c r="Q224">
        <v>0.33999175916076102</v>
      </c>
      <c r="R224">
        <v>0.48249714405611699</v>
      </c>
      <c r="S224">
        <v>0.48666575062353101</v>
      </c>
      <c r="T224">
        <v>0.48580297617155699</v>
      </c>
      <c r="U224">
        <v>0.47758119738162502</v>
      </c>
      <c r="V224">
        <v>0.39068377896107498</v>
      </c>
      <c r="W224">
        <v>0.26637292204571</v>
      </c>
      <c r="X224">
        <v>0.211088949945684</v>
      </c>
      <c r="Y224" t="s">
        <v>87</v>
      </c>
      <c r="Z224" t="s">
        <v>262</v>
      </c>
      <c r="AA224" t="s">
        <v>222</v>
      </c>
      <c r="AB224" s="10">
        <f>INDEX(shelf!$B$1:$B$6,MATCH(AA224,shelf!$A$1:$A$6,0))</f>
        <v>120</v>
      </c>
      <c r="AC224" s="10" cm="1">
        <f t="array" ref="AC224">SUMPRODUCT(A224:X224*AB224)</f>
        <v>817.68913796798699</v>
      </c>
    </row>
    <row r="225" spans="1:29" x14ac:dyDescent="0.25">
      <c r="A225">
        <v>8.8066029035747104E-2</v>
      </c>
      <c r="B225">
        <v>8.8066029035747104E-2</v>
      </c>
      <c r="C225">
        <v>8.8066029035747104E-2</v>
      </c>
      <c r="D225">
        <v>8.8066029035747104E-2</v>
      </c>
      <c r="E225">
        <v>9.0308892416799305E-2</v>
      </c>
      <c r="F225">
        <v>9.8270619676934706E-2</v>
      </c>
      <c r="G225">
        <v>0.100513807311764</v>
      </c>
      <c r="H225">
        <v>9.62450063270094E-2</v>
      </c>
      <c r="I225">
        <v>8.9075431046042805E-2</v>
      </c>
      <c r="J225">
        <v>8.9075431046042805E-2</v>
      </c>
      <c r="K225">
        <v>8.9075431046042805E-2</v>
      </c>
      <c r="L225">
        <v>8.9075431046042805E-2</v>
      </c>
      <c r="M225">
        <v>9.2996631980995004E-2</v>
      </c>
      <c r="N225">
        <v>0.101801419063414</v>
      </c>
      <c r="O225">
        <v>0.110496932622714</v>
      </c>
      <c r="P225">
        <v>0.12800274557865499</v>
      </c>
      <c r="Q225">
        <v>0.15721022886789299</v>
      </c>
      <c r="R225">
        <v>0.21673803441178399</v>
      </c>
      <c r="S225">
        <v>0.24485051269338701</v>
      </c>
      <c r="T225">
        <v>0.23972957278057</v>
      </c>
      <c r="U225">
        <v>0.22084859955297301</v>
      </c>
      <c r="V225">
        <v>0.156664185506076</v>
      </c>
      <c r="W225">
        <v>9.9214846677892404E-2</v>
      </c>
      <c r="X225">
        <v>8.9822836003875001E-2</v>
      </c>
      <c r="Y225" t="s">
        <v>87</v>
      </c>
      <c r="Z225" t="s">
        <v>262</v>
      </c>
      <c r="AA225" t="s">
        <v>250</v>
      </c>
      <c r="AB225" s="10">
        <f>INDEX(shelf!$B$1:$B$6,MATCH(AA225,shelf!$A$1:$A$6,0))</f>
        <v>92</v>
      </c>
      <c r="AC225" s="10" cm="1">
        <f t="array" ref="AC225">SUMPRODUCT(A225:X225*AB225)</f>
        <v>271.60982548559031</v>
      </c>
    </row>
    <row r="226" spans="1:29" x14ac:dyDescent="0.25">
      <c r="A226">
        <v>0.43746985415303502</v>
      </c>
      <c r="B226">
        <v>0.40900011902233802</v>
      </c>
      <c r="C226">
        <v>0.40840726385075998</v>
      </c>
      <c r="D226">
        <v>0.40840726385075998</v>
      </c>
      <c r="E226">
        <v>0.40840726385075998</v>
      </c>
      <c r="F226">
        <v>0.40840726385075998</v>
      </c>
      <c r="G226">
        <v>0.40840726385075998</v>
      </c>
      <c r="H226">
        <v>0.40840726385075998</v>
      </c>
      <c r="I226">
        <v>0.42587026039981202</v>
      </c>
      <c r="J226">
        <v>0.479667152496072</v>
      </c>
      <c r="K226">
        <v>0.59258977545174996</v>
      </c>
      <c r="L226">
        <v>0.71913709490405198</v>
      </c>
      <c r="M226">
        <v>0.82169281024983998</v>
      </c>
      <c r="N226">
        <v>0.88109730990884805</v>
      </c>
      <c r="O226">
        <v>0.92397661457708502</v>
      </c>
      <c r="P226">
        <v>0.95407335826136197</v>
      </c>
      <c r="Q226">
        <v>0.98110981715307799</v>
      </c>
      <c r="R226">
        <v>1</v>
      </c>
      <c r="S226">
        <v>1</v>
      </c>
      <c r="T226">
        <v>1</v>
      </c>
      <c r="U226">
        <v>0.99182990048692599</v>
      </c>
      <c r="V226">
        <v>0.908567523451835</v>
      </c>
      <c r="W226">
        <v>0.68510672801078398</v>
      </c>
      <c r="X226">
        <v>0.50298737983801101</v>
      </c>
      <c r="Y226" t="s">
        <v>87</v>
      </c>
      <c r="Z226" t="s">
        <v>262</v>
      </c>
      <c r="AA226" t="s">
        <v>251</v>
      </c>
      <c r="AB226" s="10">
        <f>INDEX(shelf!$B$1:$B$6,MATCH(AA226,shelf!$A$1:$A$6,0))</f>
        <v>92</v>
      </c>
      <c r="AC226" s="10" cm="1">
        <f t="array" ref="AC226">SUMPRODUCT(A226:X226*AB226)</f>
        <v>1487.1449738951837</v>
      </c>
    </row>
    <row r="227" spans="1:29" x14ac:dyDescent="0.25">
      <c r="A227">
        <v>0.16925230719588899</v>
      </c>
      <c r="B227">
        <v>0.16925230719588899</v>
      </c>
      <c r="C227">
        <v>0.16925230719588899</v>
      </c>
      <c r="D227">
        <v>0.16925230719588899</v>
      </c>
      <c r="E227">
        <v>0.16925230719588899</v>
      </c>
      <c r="F227">
        <v>0.16925230719588899</v>
      </c>
      <c r="G227">
        <v>0.17263547543202601</v>
      </c>
      <c r="H227">
        <v>0.170359001286432</v>
      </c>
      <c r="I227">
        <v>0.16925230719588899</v>
      </c>
      <c r="J227">
        <v>0.16925230719588899</v>
      </c>
      <c r="K227">
        <v>0.17830049723708699</v>
      </c>
      <c r="L227">
        <v>0.198267938561383</v>
      </c>
      <c r="M227">
        <v>0.23267179594968099</v>
      </c>
      <c r="N227">
        <v>0.25839717639110299</v>
      </c>
      <c r="O227">
        <v>0.27501910544257202</v>
      </c>
      <c r="P227">
        <v>0.29223032586792702</v>
      </c>
      <c r="Q227">
        <v>0.37103252015333099</v>
      </c>
      <c r="R227">
        <v>0.423646214552441</v>
      </c>
      <c r="S227">
        <v>0.42692766278379102</v>
      </c>
      <c r="T227">
        <v>0.42075942037812503</v>
      </c>
      <c r="U227">
        <v>0.395151898211481</v>
      </c>
      <c r="V227">
        <v>0.24593207445833301</v>
      </c>
      <c r="W227">
        <v>0.18020628021139001</v>
      </c>
      <c r="X227">
        <v>0.16380148424706201</v>
      </c>
      <c r="Y227" t="s">
        <v>87</v>
      </c>
      <c r="Z227" t="s">
        <v>262</v>
      </c>
      <c r="AA227" t="s">
        <v>252</v>
      </c>
      <c r="AB227" s="10">
        <f>INDEX(shelf!$B$1:$B$6,MATCH(AA227,shelf!$A$1:$A$6,0))</f>
        <v>61</v>
      </c>
      <c r="AC227" s="10" cm="1">
        <f t="array" ref="AC227">SUMPRODUCT(A227:X227*AB227)</f>
        <v>351.32079705260793</v>
      </c>
    </row>
    <row r="228" spans="1:29" x14ac:dyDescent="0.25">
      <c r="A228">
        <v>0.46071533168155299</v>
      </c>
      <c r="B228">
        <v>0.46071533168155299</v>
      </c>
      <c r="C228">
        <v>0.46071533168155299</v>
      </c>
      <c r="D228">
        <v>0.46071533168155299</v>
      </c>
      <c r="E228">
        <v>0.46071533168155299</v>
      </c>
      <c r="F228">
        <v>0.46071533168155299</v>
      </c>
      <c r="G228">
        <v>0.46071533168155299</v>
      </c>
      <c r="H228">
        <v>0.46071533168155299</v>
      </c>
      <c r="I228">
        <v>0.46071533168155299</v>
      </c>
      <c r="J228">
        <v>0.51229373160886504</v>
      </c>
      <c r="K228">
        <v>0.80631149313783401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0.92876917486230803</v>
      </c>
      <c r="X228">
        <v>0.80631149313783401</v>
      </c>
      <c r="Y228" t="s">
        <v>87</v>
      </c>
      <c r="Z228" t="s">
        <v>262</v>
      </c>
      <c r="AA228" t="s">
        <v>253</v>
      </c>
      <c r="AB228" s="10">
        <f>INDEX(shelf!$B$1:$B$6,MATCH(AA228,shelf!$A$1:$A$6,0))</f>
        <v>0</v>
      </c>
      <c r="AC228" s="10" cm="1">
        <f t="array" ref="AC228">SUMPRODUCT(A228:X228*AB228)</f>
        <v>0</v>
      </c>
    </row>
    <row r="229" spans="1:29" x14ac:dyDescent="0.25">
      <c r="A229">
        <v>0.230417328535892</v>
      </c>
      <c r="B229">
        <v>0.230417328535892</v>
      </c>
      <c r="C229">
        <v>0.230417328535892</v>
      </c>
      <c r="D229">
        <v>0.230417328535892</v>
      </c>
      <c r="E229">
        <v>0.230417328535892</v>
      </c>
      <c r="F229">
        <v>0.230417328535892</v>
      </c>
      <c r="G229">
        <v>0.230417328535892</v>
      </c>
      <c r="H229">
        <v>0.230417328535892</v>
      </c>
      <c r="I229">
        <v>0.230417328535892</v>
      </c>
      <c r="J229">
        <v>0.230417328535892</v>
      </c>
      <c r="K229">
        <v>0.230417328535892</v>
      </c>
      <c r="L229">
        <v>0.230417328535892</v>
      </c>
      <c r="M229">
        <v>0.230417328535892</v>
      </c>
      <c r="N229">
        <v>0.230417328535892</v>
      </c>
      <c r="O229">
        <v>0.230417328535892</v>
      </c>
      <c r="P229">
        <v>0.230417328535892</v>
      </c>
      <c r="Q229">
        <v>0.230417328535892</v>
      </c>
      <c r="R229">
        <v>0.69748673724724197</v>
      </c>
      <c r="S229">
        <v>0.78008973863459097</v>
      </c>
      <c r="T229">
        <v>0.78008973863459097</v>
      </c>
      <c r="U229">
        <v>0.78008973863459097</v>
      </c>
      <c r="V229">
        <v>0.78008973863459097</v>
      </c>
      <c r="W229">
        <v>0.57601348999217294</v>
      </c>
      <c r="X229">
        <v>0.52443509006486</v>
      </c>
      <c r="Y229" t="s">
        <v>87</v>
      </c>
      <c r="Z229" t="s">
        <v>262</v>
      </c>
      <c r="AA229" t="s">
        <v>254</v>
      </c>
      <c r="AB229" s="10">
        <f>INDEX(shelf!$B$1:$B$6,MATCH(AA229,shelf!$A$1:$A$6,0))</f>
        <v>0</v>
      </c>
      <c r="AC229" s="10" cm="1">
        <f t="array" ref="AC229">SUMPRODUCT(A229:X229*AB229)</f>
        <v>0</v>
      </c>
    </row>
    <row r="230" spans="1:29" x14ac:dyDescent="0.25">
      <c r="A230">
        <v>0.265620583255887</v>
      </c>
      <c r="B230">
        <v>0.265620583255887</v>
      </c>
      <c r="C230">
        <v>0.27115539685340401</v>
      </c>
      <c r="D230">
        <v>0.27669021045092002</v>
      </c>
      <c r="E230">
        <v>0.31770262644814901</v>
      </c>
      <c r="F230">
        <v>0.42145094090372298</v>
      </c>
      <c r="G230">
        <v>0.43346747064214303</v>
      </c>
      <c r="H230">
        <v>0.41219580969919201</v>
      </c>
      <c r="I230">
        <v>0.43309015160835701</v>
      </c>
      <c r="J230">
        <v>0.454364215857257</v>
      </c>
      <c r="K230">
        <v>0.48983220503317798</v>
      </c>
      <c r="L230">
        <v>0.48698669079112</v>
      </c>
      <c r="M230">
        <v>0.4478849030223</v>
      </c>
      <c r="N230">
        <v>0.42691605862875698</v>
      </c>
      <c r="O230">
        <v>0.44454911436691502</v>
      </c>
      <c r="P230">
        <v>0.52944349366290699</v>
      </c>
      <c r="Q230">
        <v>0.53824440004332597</v>
      </c>
      <c r="R230">
        <v>0.54696840063341901</v>
      </c>
      <c r="S230">
        <v>0.49993570323724201</v>
      </c>
      <c r="T230">
        <v>0.47530902719132301</v>
      </c>
      <c r="U230">
        <v>0.45564517792737202</v>
      </c>
      <c r="V230">
        <v>0.42381339065029699</v>
      </c>
      <c r="W230">
        <v>0.35000305838502299</v>
      </c>
      <c r="X230">
        <v>0.29880302847556101</v>
      </c>
      <c r="Y230" t="s">
        <v>88</v>
      </c>
      <c r="Z230" t="s">
        <v>262</v>
      </c>
      <c r="AA230" t="s">
        <v>222</v>
      </c>
      <c r="AB230" s="10">
        <f>INDEX(shelf!$B$1:$B$6,MATCH(AA230,shelf!$A$1:$A$6,0))</f>
        <v>120</v>
      </c>
      <c r="AC230" s="10" cm="1">
        <f t="array" ref="AC230">SUMPRODUCT(A230:X230*AB230)</f>
        <v>1195.883116922839</v>
      </c>
    </row>
    <row r="231" spans="1:29" x14ac:dyDescent="0.25">
      <c r="A231">
        <v>8.7615522455257805E-2</v>
      </c>
      <c r="B231">
        <v>8.7615522455257805E-2</v>
      </c>
      <c r="C231">
        <v>8.7615522455257805E-2</v>
      </c>
      <c r="D231">
        <v>8.7615522455257805E-2</v>
      </c>
      <c r="E231">
        <v>9.4534039452153398E-2</v>
      </c>
      <c r="F231">
        <v>9.4534039452153398E-2</v>
      </c>
      <c r="G231">
        <v>9.4534039452153398E-2</v>
      </c>
      <c r="H231">
        <v>9.6841213161930104E-2</v>
      </c>
      <c r="I231">
        <v>0.103759730158825</v>
      </c>
      <c r="J231">
        <v>0.110678247155721</v>
      </c>
      <c r="K231">
        <v>0.119240024594345</v>
      </c>
      <c r="L231">
        <v>0.13545032321147399</v>
      </c>
      <c r="M231">
        <v>0.14893286957798199</v>
      </c>
      <c r="N231">
        <v>0.142963658430422</v>
      </c>
      <c r="O231">
        <v>0.145315894126718</v>
      </c>
      <c r="P231">
        <v>0.14872858857242899</v>
      </c>
      <c r="Q231">
        <v>0.17019611895011699</v>
      </c>
      <c r="R231">
        <v>0.179749260092161</v>
      </c>
      <c r="S231">
        <v>0.140079691293201</v>
      </c>
      <c r="T231">
        <v>0.13143079401397301</v>
      </c>
      <c r="U231">
        <v>0.12681945072685399</v>
      </c>
      <c r="V231">
        <v>0.108259920545864</v>
      </c>
      <c r="W231">
        <v>8.3004179168139E-2</v>
      </c>
      <c r="X231">
        <v>8.7615522455257805E-2</v>
      </c>
      <c r="Y231" t="s">
        <v>88</v>
      </c>
      <c r="Z231" t="s">
        <v>262</v>
      </c>
      <c r="AA231" t="s">
        <v>250</v>
      </c>
      <c r="AB231" s="10">
        <f>INDEX(shelf!$B$1:$B$6,MATCH(AA231,shelf!$A$1:$A$6,0))</f>
        <v>92</v>
      </c>
      <c r="AC231" s="10" cm="1">
        <f t="array" ref="AC231">SUMPRODUCT(A231:X231*AB231)</f>
        <v>258.80793188598716</v>
      </c>
    </row>
    <row r="232" spans="1:29" x14ac:dyDescent="0.25">
      <c r="A232">
        <v>0.47546286639618202</v>
      </c>
      <c r="B232">
        <v>0.42242010855738499</v>
      </c>
      <c r="C232">
        <v>0.409617670149865</v>
      </c>
      <c r="D232">
        <v>0.41701957622666902</v>
      </c>
      <c r="E232">
        <v>0.46449343219738198</v>
      </c>
      <c r="F232">
        <v>0.48200068730007101</v>
      </c>
      <c r="G232">
        <v>0.55209959695275701</v>
      </c>
      <c r="H232">
        <v>0.65634893163790697</v>
      </c>
      <c r="I232">
        <v>0.75347591721396101</v>
      </c>
      <c r="J232">
        <v>0.841269512209049</v>
      </c>
      <c r="K232">
        <v>0.88516630970659305</v>
      </c>
      <c r="L232">
        <v>0.91985043440468195</v>
      </c>
      <c r="M232">
        <v>0.93637924012039497</v>
      </c>
      <c r="N232">
        <v>0.93637924012039497</v>
      </c>
      <c r="O232">
        <v>0.93168713056011998</v>
      </c>
      <c r="P232">
        <v>0.94681179786984704</v>
      </c>
      <c r="Q232">
        <v>0.940779085578066</v>
      </c>
      <c r="R232">
        <v>0.98041899288551604</v>
      </c>
      <c r="S232">
        <v>0.89486820719953697</v>
      </c>
      <c r="T232">
        <v>0.89046836174186605</v>
      </c>
      <c r="U232">
        <v>0.84891920741632099</v>
      </c>
      <c r="V232">
        <v>0.76124950698646698</v>
      </c>
      <c r="W232">
        <v>0.63641779055384395</v>
      </c>
      <c r="X232">
        <v>0.54462780163402602</v>
      </c>
      <c r="Y232" t="s">
        <v>88</v>
      </c>
      <c r="Z232" t="s">
        <v>262</v>
      </c>
      <c r="AA232" t="s">
        <v>251</v>
      </c>
      <c r="AB232" s="10">
        <f>INDEX(shelf!$B$1:$B$6,MATCH(AA232,shelf!$A$1:$A$6,0))</f>
        <v>92</v>
      </c>
      <c r="AC232" s="10" cm="1">
        <f t="array" ref="AC232">SUMPRODUCT(A232:X232*AB232)</f>
        <v>1612.5972893169389</v>
      </c>
    </row>
    <row r="233" spans="1:29" x14ac:dyDescent="0.25">
      <c r="A233">
        <v>0.13214144370301101</v>
      </c>
      <c r="B233">
        <v>0.13214144370301101</v>
      </c>
      <c r="C233">
        <v>0.13214144370301101</v>
      </c>
      <c r="D233">
        <v>0.13214144370301101</v>
      </c>
      <c r="E233">
        <v>0.14257592835406699</v>
      </c>
      <c r="F233">
        <v>0.16344489765617801</v>
      </c>
      <c r="G233">
        <v>0.16344489765617801</v>
      </c>
      <c r="H233">
        <v>0.184313866958289</v>
      </c>
      <c r="I233">
        <v>0.204874740317599</v>
      </c>
      <c r="J233">
        <v>0.25387558769109703</v>
      </c>
      <c r="K233">
        <v>0.28465799703511402</v>
      </c>
      <c r="L233">
        <v>0.31300282377284999</v>
      </c>
      <c r="M233">
        <v>0.316663728504961</v>
      </c>
      <c r="N233">
        <v>0.31300282377284999</v>
      </c>
      <c r="O233">
        <v>0.32119908201590602</v>
      </c>
      <c r="P233">
        <v>0.38644292872680502</v>
      </c>
      <c r="Q233">
        <v>0.36594095606244298</v>
      </c>
      <c r="R233">
        <v>0.35385272113017302</v>
      </c>
      <c r="S233">
        <v>0.33767768413309601</v>
      </c>
      <c r="T233">
        <v>0.341279688170261</v>
      </c>
      <c r="U233">
        <v>0.288654182646157</v>
      </c>
      <c r="V233">
        <v>0.19474835160934501</v>
      </c>
      <c r="W233">
        <v>0.14257592835406699</v>
      </c>
      <c r="X233">
        <v>0.13214144370301101</v>
      </c>
      <c r="Y233" t="s">
        <v>88</v>
      </c>
      <c r="Z233" t="s">
        <v>262</v>
      </c>
      <c r="AA233" t="s">
        <v>252</v>
      </c>
      <c r="AB233" s="10">
        <f>INDEX(shelf!$B$1:$B$6,MATCH(AA233,shelf!$A$1:$A$6,0))</f>
        <v>61</v>
      </c>
      <c r="AC233" s="10" cm="1">
        <f t="array" ref="AC233">SUMPRODUCT(A233:X233*AB233)</f>
        <v>349.70909801803197</v>
      </c>
    </row>
    <row r="234" spans="1:29" x14ac:dyDescent="0.25">
      <c r="A234">
        <v>0.42424358241493199</v>
      </c>
      <c r="B234">
        <v>0.42424358241493199</v>
      </c>
      <c r="C234">
        <v>0.42424358241493199</v>
      </c>
      <c r="D234">
        <v>0.42424358241493199</v>
      </c>
      <c r="E234">
        <v>0.42424358241493199</v>
      </c>
      <c r="F234">
        <v>0.42424358241493199</v>
      </c>
      <c r="G234">
        <v>0.42424358241493199</v>
      </c>
      <c r="H234">
        <v>0.42424358241493199</v>
      </c>
      <c r="I234">
        <v>0.42424358241493199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0.42424358241493199</v>
      </c>
      <c r="U234">
        <v>0.42424358241493199</v>
      </c>
      <c r="V234">
        <v>0.42424358241493199</v>
      </c>
      <c r="W234">
        <v>0.42424358241493199</v>
      </c>
      <c r="X234">
        <v>0.42424358241493199</v>
      </c>
      <c r="Y234" t="s">
        <v>88</v>
      </c>
      <c r="Z234" t="s">
        <v>262</v>
      </c>
      <c r="AA234" t="s">
        <v>253</v>
      </c>
      <c r="AB234" s="10">
        <f>INDEX(shelf!$B$1:$B$6,MATCH(AA234,shelf!$A$1:$A$6,0))</f>
        <v>0</v>
      </c>
      <c r="AC234" s="10" cm="1">
        <f t="array" ref="AC234">SUMPRODUCT(A234:X234*AB234)</f>
        <v>0</v>
      </c>
    </row>
    <row r="235" spans="1:29" x14ac:dyDescent="0.25">
      <c r="A235">
        <v>0.42424358241493199</v>
      </c>
      <c r="B235">
        <v>0.42424358241493199</v>
      </c>
      <c r="C235">
        <v>0.42424358241493199</v>
      </c>
      <c r="D235">
        <v>0.42424358241493199</v>
      </c>
      <c r="E235">
        <v>0.42424358241493199</v>
      </c>
      <c r="F235">
        <v>0.42424358241493199</v>
      </c>
      <c r="G235">
        <v>0.42424358241493199</v>
      </c>
      <c r="H235">
        <v>0.42424358241493199</v>
      </c>
      <c r="I235">
        <v>0.42424358241493199</v>
      </c>
      <c r="J235">
        <v>0.42424358241493199</v>
      </c>
      <c r="K235">
        <v>1</v>
      </c>
      <c r="L235">
        <v>0.42424358241493199</v>
      </c>
      <c r="M235">
        <v>0.42424358241493199</v>
      </c>
      <c r="N235">
        <v>0.42424358241493199</v>
      </c>
      <c r="O235">
        <v>0.42424358241493199</v>
      </c>
      <c r="P235">
        <v>0.42424358241493199</v>
      </c>
      <c r="Q235">
        <v>0.42424358241493199</v>
      </c>
      <c r="R235">
        <v>0.42424358241493199</v>
      </c>
      <c r="S235">
        <v>0.42424358241493199</v>
      </c>
      <c r="T235">
        <v>0</v>
      </c>
      <c r="U235">
        <v>0</v>
      </c>
      <c r="V235">
        <v>0</v>
      </c>
      <c r="W235">
        <v>0</v>
      </c>
      <c r="X235">
        <v>0</v>
      </c>
      <c r="Y235" t="s">
        <v>88</v>
      </c>
      <c r="Z235" t="s">
        <v>262</v>
      </c>
      <c r="AA235" t="s">
        <v>254</v>
      </c>
      <c r="AB235" s="10">
        <f>INDEX(shelf!$B$1:$B$6,MATCH(AA235,shelf!$A$1:$A$6,0))</f>
        <v>0</v>
      </c>
      <c r="AC235" s="10" cm="1">
        <f t="array" ref="AC235">SUMPRODUCT(A235:X235*AB235)</f>
        <v>0</v>
      </c>
    </row>
    <row r="236" spans="1:29" x14ac:dyDescent="0.25">
      <c r="A236">
        <v>0.26092220347594702</v>
      </c>
      <c r="B236">
        <v>0.26034360577742999</v>
      </c>
      <c r="C236">
        <v>0.26608929083618399</v>
      </c>
      <c r="D236">
        <v>0.29136838911498703</v>
      </c>
      <c r="E236">
        <v>0.38407292686600603</v>
      </c>
      <c r="F236">
        <v>0.44537483880870599</v>
      </c>
      <c r="G236">
        <v>0.44348520381230899</v>
      </c>
      <c r="H236">
        <v>0.39055386914135598</v>
      </c>
      <c r="I236">
        <v>0.355868578377318</v>
      </c>
      <c r="J236">
        <v>0.346642995156629</v>
      </c>
      <c r="K236">
        <v>0.33491931249837198</v>
      </c>
      <c r="L236">
        <v>0.31609720674845099</v>
      </c>
      <c r="M236">
        <v>0.28851202964641498</v>
      </c>
      <c r="N236">
        <v>0.277360605047903</v>
      </c>
      <c r="O236">
        <v>0.31485844133256102</v>
      </c>
      <c r="P236">
        <v>0.44257567696993599</v>
      </c>
      <c r="Q236">
        <v>0.50227957729971295</v>
      </c>
      <c r="R236">
        <v>0.50538924055740897</v>
      </c>
      <c r="S236">
        <v>0.50416498587026304</v>
      </c>
      <c r="T236">
        <v>0.498653585684319</v>
      </c>
      <c r="U236">
        <v>0.479304867273805</v>
      </c>
      <c r="V236">
        <v>0.42967521647488499</v>
      </c>
      <c r="W236">
        <v>0.33224764783933403</v>
      </c>
      <c r="X236">
        <v>0.27618298192593999</v>
      </c>
      <c r="Y236" t="s">
        <v>89</v>
      </c>
      <c r="Z236" t="s">
        <v>262</v>
      </c>
      <c r="AA236" t="s">
        <v>222</v>
      </c>
      <c r="AB236" s="10">
        <f>INDEX(shelf!$B$1:$B$6,MATCH(AA236,shelf!$A$1:$A$6,0))</f>
        <v>120</v>
      </c>
      <c r="AC236" s="10" cm="1">
        <f t="array" ref="AC236">SUMPRODUCT(A236:X236*AB236)</f>
        <v>1073.6331931843413</v>
      </c>
    </row>
    <row r="237" spans="1:29" x14ac:dyDescent="0.25">
      <c r="A237">
        <v>0.17172056268751401</v>
      </c>
      <c r="B237">
        <v>0.17029343955969001</v>
      </c>
      <c r="C237">
        <v>0.17156594594192801</v>
      </c>
      <c r="D237">
        <v>0.17334227750539799</v>
      </c>
      <c r="E237">
        <v>0.187619320119181</v>
      </c>
      <c r="F237">
        <v>0.20986793018449601</v>
      </c>
      <c r="G237">
        <v>0.192111130289642</v>
      </c>
      <c r="H237">
        <v>0.17491662113357601</v>
      </c>
      <c r="I237">
        <v>0.17326074270675801</v>
      </c>
      <c r="J237">
        <v>0.18756155896593199</v>
      </c>
      <c r="K237">
        <v>0.20788133393511499</v>
      </c>
      <c r="L237">
        <v>0.235330561005725</v>
      </c>
      <c r="M237">
        <v>0.25574771987047601</v>
      </c>
      <c r="N237">
        <v>0.26959137773381697</v>
      </c>
      <c r="O237">
        <v>0.27951837154410603</v>
      </c>
      <c r="P237">
        <v>0.31981329167482597</v>
      </c>
      <c r="Q237">
        <v>0.39659459394447899</v>
      </c>
      <c r="R237">
        <v>0.412282910589158</v>
      </c>
      <c r="S237">
        <v>0.41333141640148102</v>
      </c>
      <c r="T237">
        <v>0.41220472171097999</v>
      </c>
      <c r="U237">
        <v>0.394465179721669</v>
      </c>
      <c r="V237">
        <v>0.26144916833869303</v>
      </c>
      <c r="W237">
        <v>0.18575088769245199</v>
      </c>
      <c r="X237">
        <v>0.173472944504515</v>
      </c>
      <c r="Y237" t="s">
        <v>89</v>
      </c>
      <c r="Z237" t="s">
        <v>262</v>
      </c>
      <c r="AA237" t="s">
        <v>250</v>
      </c>
      <c r="AB237" s="10">
        <f>INDEX(shelf!$B$1:$B$6,MATCH(AA237,shelf!$A$1:$A$6,0))</f>
        <v>92</v>
      </c>
      <c r="AC237" s="10" cm="1">
        <f t="array" ref="AC237">SUMPRODUCT(A237:X237*AB237)</f>
        <v>554.73184871406795</v>
      </c>
    </row>
    <row r="238" spans="1:29" x14ac:dyDescent="0.25">
      <c r="A238">
        <v>0.31065786145558499</v>
      </c>
      <c r="B238">
        <v>0.28225568061218997</v>
      </c>
      <c r="C238">
        <v>0.26827582172278402</v>
      </c>
      <c r="D238">
        <v>0.27510159662563999</v>
      </c>
      <c r="E238">
        <v>0.30142256231340803</v>
      </c>
      <c r="F238">
        <v>0.296028460828274</v>
      </c>
      <c r="G238">
        <v>0.30663584240304298</v>
      </c>
      <c r="H238">
        <v>0.35111157415398098</v>
      </c>
      <c r="I238">
        <v>0.42343622169575901</v>
      </c>
      <c r="J238">
        <v>0.48305216054965999</v>
      </c>
      <c r="K238">
        <v>0.53121489828362001</v>
      </c>
      <c r="L238">
        <v>0.55926884430766799</v>
      </c>
      <c r="M238">
        <v>0.57200772093176599</v>
      </c>
      <c r="N238">
        <v>0.58174768122925302</v>
      </c>
      <c r="O238">
        <v>0.59278821477717702</v>
      </c>
      <c r="P238">
        <v>0.59678602499201105</v>
      </c>
      <c r="Q238">
        <v>0.60092871578943896</v>
      </c>
      <c r="R238">
        <v>0.60301644870906301</v>
      </c>
      <c r="S238">
        <v>0.60384010785664199</v>
      </c>
      <c r="T238">
        <v>0.60038159605722496</v>
      </c>
      <c r="U238">
        <v>0.58243558466383405</v>
      </c>
      <c r="V238">
        <v>0.53663562949023402</v>
      </c>
      <c r="W238">
        <v>0.43777101939033902</v>
      </c>
      <c r="X238">
        <v>0.36125135271731701</v>
      </c>
      <c r="Y238" t="s">
        <v>89</v>
      </c>
      <c r="Z238" t="s">
        <v>262</v>
      </c>
      <c r="AA238" t="s">
        <v>251</v>
      </c>
      <c r="AB238" s="10">
        <f>INDEX(shelf!$B$1:$B$6,MATCH(AA238,shelf!$A$1:$A$6,0))</f>
        <v>92</v>
      </c>
      <c r="AC238" s="10" cm="1">
        <f t="array" ref="AC238">SUMPRODUCT(A238:X238*AB238)</f>
        <v>1017.3407491831438</v>
      </c>
    </row>
    <row r="239" spans="1:29" x14ac:dyDescent="0.25">
      <c r="A239">
        <v>0.19492234437064401</v>
      </c>
      <c r="B239">
        <v>0.19492234437064401</v>
      </c>
      <c r="C239">
        <v>0.19492234437064401</v>
      </c>
      <c r="D239">
        <v>0.19611725657670201</v>
      </c>
      <c r="E239">
        <v>0.20919064255553799</v>
      </c>
      <c r="F239">
        <v>0.24032608665510699</v>
      </c>
      <c r="G239">
        <v>0.22611728176520199</v>
      </c>
      <c r="H239">
        <v>0.21906042083722699</v>
      </c>
      <c r="I239">
        <v>0.23346975000265399</v>
      </c>
      <c r="J239">
        <v>0.27468983879304698</v>
      </c>
      <c r="K239">
        <v>0.305234333868726</v>
      </c>
      <c r="L239">
        <v>0.33741091063060802</v>
      </c>
      <c r="M239">
        <v>0.351558363060056</v>
      </c>
      <c r="N239">
        <v>0.36425354166360302</v>
      </c>
      <c r="O239">
        <v>0.387183426170783</v>
      </c>
      <c r="P239">
        <v>0.46403070283243802</v>
      </c>
      <c r="Q239">
        <v>0.48615503750166</v>
      </c>
      <c r="R239">
        <v>0.48699431791311598</v>
      </c>
      <c r="S239">
        <v>0.486125556449232</v>
      </c>
      <c r="T239">
        <v>0.47921317923765999</v>
      </c>
      <c r="U239">
        <v>0.44642387465640199</v>
      </c>
      <c r="V239">
        <v>0.29898196039844199</v>
      </c>
      <c r="W239">
        <v>0.22074004404040801</v>
      </c>
      <c r="X239">
        <v>0.200114993523931</v>
      </c>
      <c r="Y239" t="s">
        <v>89</v>
      </c>
      <c r="Z239" t="s">
        <v>262</v>
      </c>
      <c r="AA239" t="s">
        <v>252</v>
      </c>
      <c r="AB239" s="10">
        <f>INDEX(shelf!$B$1:$B$6,MATCH(AA239,shelf!$A$1:$A$6,0))</f>
        <v>61</v>
      </c>
      <c r="AC239" s="10" cm="1">
        <f t="array" ref="AC239">SUMPRODUCT(A239:X239*AB239)</f>
        <v>457.387671686913</v>
      </c>
    </row>
    <row r="240" spans="1:29" x14ac:dyDescent="0.25">
      <c r="A240">
        <v>0.254149778697983</v>
      </c>
      <c r="B240">
        <v>0.254149778697983</v>
      </c>
      <c r="C240">
        <v>0.254149778697983</v>
      </c>
      <c r="D240">
        <v>0.254149778697983</v>
      </c>
      <c r="E240">
        <v>0.254149778697983</v>
      </c>
      <c r="F240">
        <v>0.254149778697983</v>
      </c>
      <c r="G240">
        <v>0.32703942326751401</v>
      </c>
      <c r="H240">
        <v>0.50708445996482299</v>
      </c>
      <c r="I240">
        <v>0.57509751351069804</v>
      </c>
      <c r="J240">
        <v>0.57618300054918603</v>
      </c>
      <c r="K240">
        <v>0.63536634609541798</v>
      </c>
      <c r="L240">
        <v>0.63536634609541798</v>
      </c>
      <c r="M240">
        <v>0.63536634609541798</v>
      </c>
      <c r="N240">
        <v>0.63536634609541798</v>
      </c>
      <c r="O240">
        <v>0.63536634609541798</v>
      </c>
      <c r="P240">
        <v>0.63536634609541798</v>
      </c>
      <c r="Q240">
        <v>0.63536634609541798</v>
      </c>
      <c r="R240">
        <v>0.63536634609541798</v>
      </c>
      <c r="S240">
        <v>0.63536634609541798</v>
      </c>
      <c r="T240">
        <v>0.63536634609541798</v>
      </c>
      <c r="U240">
        <v>0.63536634609541798</v>
      </c>
      <c r="V240">
        <v>0.57618300054918603</v>
      </c>
      <c r="W240">
        <v>0.57618300054918603</v>
      </c>
      <c r="X240">
        <v>0.50708445996482299</v>
      </c>
      <c r="Y240" t="s">
        <v>89</v>
      </c>
      <c r="Z240" t="s">
        <v>262</v>
      </c>
      <c r="AA240" t="s">
        <v>253</v>
      </c>
      <c r="AB240" s="10">
        <f>INDEX(shelf!$B$1:$B$6,MATCH(AA240,shelf!$A$1:$A$6,0))</f>
        <v>0</v>
      </c>
      <c r="AC240" s="10" cm="1">
        <f t="array" ref="AC240">SUMPRODUCT(A240:X240*AB240)</f>
        <v>0</v>
      </c>
    </row>
    <row r="241" spans="1:29" x14ac:dyDescent="0.25">
      <c r="A241">
        <v>0.214683414134441</v>
      </c>
      <c r="B241">
        <v>0.214683414134441</v>
      </c>
      <c r="C241">
        <v>0.214683414134441</v>
      </c>
      <c r="D241">
        <v>0.214683414134441</v>
      </c>
      <c r="E241">
        <v>0.214683414134441</v>
      </c>
      <c r="F241">
        <v>0.360495105871666</v>
      </c>
      <c r="G241">
        <v>0.360495105871666</v>
      </c>
      <c r="H241">
        <v>0.214683414134441</v>
      </c>
      <c r="I241">
        <v>0.214683414134441</v>
      </c>
      <c r="J241">
        <v>0.214683414134441</v>
      </c>
      <c r="K241">
        <v>0.214683414134441</v>
      </c>
      <c r="L241">
        <v>0.214683414134441</v>
      </c>
      <c r="M241">
        <v>0.214683414134441</v>
      </c>
      <c r="N241">
        <v>0.214683414134441</v>
      </c>
      <c r="O241">
        <v>0.28758926000305401</v>
      </c>
      <c r="P241">
        <v>0.50933644053720994</v>
      </c>
      <c r="Q241">
        <v>0.53673283728472598</v>
      </c>
      <c r="R241">
        <v>0.53673283728472598</v>
      </c>
      <c r="S241">
        <v>0.53673283728472598</v>
      </c>
      <c r="T241">
        <v>0.53673283728472598</v>
      </c>
      <c r="U241">
        <v>0.53673283728472598</v>
      </c>
      <c r="V241">
        <v>0.53673283728472598</v>
      </c>
      <c r="W241">
        <v>0.53673283728472598</v>
      </c>
      <c r="X241">
        <v>0.46763429670036299</v>
      </c>
      <c r="Y241" t="s">
        <v>89</v>
      </c>
      <c r="Z241" t="s">
        <v>262</v>
      </c>
      <c r="AA241" t="s">
        <v>254</v>
      </c>
      <c r="AB241" s="10">
        <f>INDEX(shelf!$B$1:$B$6,MATCH(AA241,shelf!$A$1:$A$6,0))</f>
        <v>0</v>
      </c>
      <c r="AC241" s="10" cm="1">
        <f t="array" ref="AC241">SUMPRODUCT(A241:X241*AB241)</f>
        <v>0</v>
      </c>
    </row>
    <row r="242" spans="1:29" x14ac:dyDescent="0.25">
      <c r="A242">
        <v>0.56693475721571696</v>
      </c>
      <c r="B242">
        <v>0.55068587611197295</v>
      </c>
      <c r="C242">
        <v>0.54914220966979599</v>
      </c>
      <c r="D242">
        <v>0.56291687471751495</v>
      </c>
      <c r="E242">
        <v>0.59427480509161801</v>
      </c>
      <c r="F242">
        <v>0.68799379513413195</v>
      </c>
      <c r="G242">
        <v>0.77753366540869195</v>
      </c>
      <c r="H242">
        <v>0.70621133288401905</v>
      </c>
      <c r="I242">
        <v>0.54487233833002402</v>
      </c>
      <c r="J242">
        <v>0.503112083179864</v>
      </c>
      <c r="K242">
        <v>0.49447012140962499</v>
      </c>
      <c r="L242">
        <v>0.47300826439624899</v>
      </c>
      <c r="M242">
        <v>0.45343993200877603</v>
      </c>
      <c r="N242">
        <v>0.448107436872208</v>
      </c>
      <c r="O242">
        <v>0.44833382151214302</v>
      </c>
      <c r="P242">
        <v>0.46506285553997601</v>
      </c>
      <c r="Q242">
        <v>0.69595077036720598</v>
      </c>
      <c r="R242">
        <v>0.91350838650326804</v>
      </c>
      <c r="S242">
        <v>0.93130963354627005</v>
      </c>
      <c r="T242">
        <v>0.90226814198568706</v>
      </c>
      <c r="U242">
        <v>0.85598068832643104</v>
      </c>
      <c r="V242">
        <v>0.78140138272433401</v>
      </c>
      <c r="W242">
        <v>0.70252798559173002</v>
      </c>
      <c r="X242">
        <v>0.61753874315363</v>
      </c>
      <c r="Y242" t="s">
        <v>90</v>
      </c>
      <c r="Z242" t="s">
        <v>262</v>
      </c>
      <c r="AA242" t="s">
        <v>222</v>
      </c>
      <c r="AB242" s="10">
        <f>INDEX(shelf!$B$1:$B$6,MATCH(AA242,shelf!$A$1:$A$6,0))</f>
        <v>120</v>
      </c>
      <c r="AC242" s="10" cm="1">
        <f t="array" ref="AC242">SUMPRODUCT(A242:X242*AB242)</f>
        <v>1827.1903082017063</v>
      </c>
    </row>
    <row r="243" spans="1:29" x14ac:dyDescent="0.25">
      <c r="A243">
        <v>0.154864517424252</v>
      </c>
      <c r="B243">
        <v>0.15207474688321801</v>
      </c>
      <c r="C243">
        <v>0.152325846003495</v>
      </c>
      <c r="D243">
        <v>0.153569602226719</v>
      </c>
      <c r="E243">
        <v>0.160362871438397</v>
      </c>
      <c r="F243">
        <v>0.18344718465728099</v>
      </c>
      <c r="G243">
        <v>0.188862868734681</v>
      </c>
      <c r="H243">
        <v>0.14387732447089499</v>
      </c>
      <c r="I243">
        <v>0.14398668604640999</v>
      </c>
      <c r="J243">
        <v>0.14427250901156799</v>
      </c>
      <c r="K243">
        <v>0.144901245391475</v>
      </c>
      <c r="L243">
        <v>0.146349019649925</v>
      </c>
      <c r="M243">
        <v>0.14641167085759199</v>
      </c>
      <c r="N243">
        <v>0.15186628024153101</v>
      </c>
      <c r="O243">
        <v>0.15898355629049499</v>
      </c>
      <c r="P243">
        <v>0.16556477526083499</v>
      </c>
      <c r="Q243">
        <v>0.17378666500869699</v>
      </c>
      <c r="R243">
        <v>0.24052750131096201</v>
      </c>
      <c r="S243">
        <v>0.292480551872838</v>
      </c>
      <c r="T243">
        <v>0.29665779334028702</v>
      </c>
      <c r="U243">
        <v>0.26873253128436198</v>
      </c>
      <c r="V243">
        <v>0.22605025301607301</v>
      </c>
      <c r="W243">
        <v>0.18221566210182699</v>
      </c>
      <c r="X243">
        <v>0.15940419674591999</v>
      </c>
      <c r="Y243" t="s">
        <v>90</v>
      </c>
      <c r="Z243" t="s">
        <v>262</v>
      </c>
      <c r="AA243" t="s">
        <v>250</v>
      </c>
      <c r="AB243" s="10">
        <f>INDEX(shelf!$B$1:$B$6,MATCH(AA243,shelf!$A$1:$A$6,0))</f>
        <v>92</v>
      </c>
      <c r="AC243" s="10" cm="1">
        <f t="array" ref="AC243">SUMPRODUCT(A243:X243*AB243)</f>
        <v>398.5049790528156</v>
      </c>
    </row>
    <row r="244" spans="1:29" x14ac:dyDescent="0.25">
      <c r="A244">
        <v>0.519959037663422</v>
      </c>
      <c r="B244">
        <v>0.50213389200200298</v>
      </c>
      <c r="C244">
        <v>0.49930008991553199</v>
      </c>
      <c r="D244">
        <v>0.50185777728242797</v>
      </c>
      <c r="E244">
        <v>0.51396174232271297</v>
      </c>
      <c r="F244">
        <v>0.54467398388784005</v>
      </c>
      <c r="G244">
        <v>0.51251726900979799</v>
      </c>
      <c r="H244">
        <v>0.48338448727217098</v>
      </c>
      <c r="I244">
        <v>0.48109089259257398</v>
      </c>
      <c r="J244">
        <v>0.52973987564047198</v>
      </c>
      <c r="K244">
        <v>0.61043254032815697</v>
      </c>
      <c r="L244">
        <v>0.70257984963891496</v>
      </c>
      <c r="M244">
        <v>0.79664846265147904</v>
      </c>
      <c r="N244">
        <v>0.85537517560396004</v>
      </c>
      <c r="O244">
        <v>0.89364483254624405</v>
      </c>
      <c r="P244">
        <v>0.91608696129902201</v>
      </c>
      <c r="Q244">
        <v>0.92437275502303695</v>
      </c>
      <c r="R244">
        <v>0.96913927501683805</v>
      </c>
      <c r="S244">
        <v>1</v>
      </c>
      <c r="T244">
        <v>1</v>
      </c>
      <c r="U244">
        <v>1</v>
      </c>
      <c r="V244">
        <v>0.887130328469103</v>
      </c>
      <c r="W244">
        <v>0.69032600121796095</v>
      </c>
      <c r="X244">
        <v>0.58208641765907998</v>
      </c>
      <c r="Y244" t="s">
        <v>90</v>
      </c>
      <c r="Z244" t="s">
        <v>262</v>
      </c>
      <c r="AA244" t="s">
        <v>251</v>
      </c>
      <c r="AB244" s="10">
        <f>INDEX(shelf!$B$1:$B$6,MATCH(AA244,shelf!$A$1:$A$6,0))</f>
        <v>92</v>
      </c>
      <c r="AC244" s="10" cm="1">
        <f t="array" ref="AC244">SUMPRODUCT(A244:X244*AB244)</f>
        <v>1556.3126315279328</v>
      </c>
    </row>
    <row r="245" spans="1:29" x14ac:dyDescent="0.25">
      <c r="A245">
        <v>0.40849145703457101</v>
      </c>
      <c r="B245">
        <v>0.39803862558442399</v>
      </c>
      <c r="C245">
        <v>0.39341400340413002</v>
      </c>
      <c r="D245">
        <v>0.39609048438789801</v>
      </c>
      <c r="E245">
        <v>0.42529974270290899</v>
      </c>
      <c r="F245">
        <v>0.49686453157253702</v>
      </c>
      <c r="G245">
        <v>0.49256755047360701</v>
      </c>
      <c r="H245">
        <v>0.40007026120896599</v>
      </c>
      <c r="I245">
        <v>0.38862276511078803</v>
      </c>
      <c r="J245">
        <v>0.40484770801196601</v>
      </c>
      <c r="K245">
        <v>0.44333957118447298</v>
      </c>
      <c r="L245">
        <v>0.49490408985759698</v>
      </c>
      <c r="M245">
        <v>0.54987902044646297</v>
      </c>
      <c r="N245">
        <v>0.57729426678809204</v>
      </c>
      <c r="O245">
        <v>0.59931573580563502</v>
      </c>
      <c r="P245">
        <v>0.63689885158751103</v>
      </c>
      <c r="Q245">
        <v>0.73745260766966303</v>
      </c>
      <c r="R245">
        <v>0.85525019959486703</v>
      </c>
      <c r="S245">
        <v>0.88196785744528805</v>
      </c>
      <c r="T245">
        <v>0.85223489524026996</v>
      </c>
      <c r="U245">
        <v>0.75632738043137904</v>
      </c>
      <c r="V245">
        <v>0.62390372662719196</v>
      </c>
      <c r="W245">
        <v>0.50422862830059101</v>
      </c>
      <c r="X245">
        <v>0.44665474726825799</v>
      </c>
      <c r="Y245" t="s">
        <v>90</v>
      </c>
      <c r="Z245" t="s">
        <v>262</v>
      </c>
      <c r="AA245" t="s">
        <v>252</v>
      </c>
      <c r="AB245" s="10">
        <f>INDEX(shelf!$B$1:$B$6,MATCH(AA245,shelf!$A$1:$A$6,0))</f>
        <v>61</v>
      </c>
      <c r="AC245" s="10" cm="1">
        <f t="array" ref="AC245">SUMPRODUCT(A245:X245*AB245)</f>
        <v>803.00148117208369</v>
      </c>
    </row>
    <row r="246" spans="1:29" x14ac:dyDescent="0.25">
      <c r="A246">
        <v>0.58037014187729796</v>
      </c>
      <c r="B246">
        <v>0.58037014187729796</v>
      </c>
      <c r="C246">
        <v>0.58037014187729796</v>
      </c>
      <c r="D246">
        <v>0.58037014187729796</v>
      </c>
      <c r="E246">
        <v>0.58037014187729796</v>
      </c>
      <c r="F246">
        <v>0.58037014187729796</v>
      </c>
      <c r="G246">
        <v>0.58037014187729796</v>
      </c>
      <c r="H246">
        <v>0.58037014187729796</v>
      </c>
      <c r="I246">
        <v>0.58037014187729796</v>
      </c>
      <c r="J246">
        <v>0.58037014187729796</v>
      </c>
      <c r="K246">
        <v>0.68789493721276296</v>
      </c>
      <c r="L246">
        <v>0.81538310118949198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0.75298052119410597</v>
      </c>
      <c r="W246">
        <v>0.54533192880646897</v>
      </c>
      <c r="X246">
        <v>0.54533192880646897</v>
      </c>
      <c r="Y246" t="s">
        <v>90</v>
      </c>
      <c r="Z246" t="s">
        <v>262</v>
      </c>
      <c r="AA246" t="s">
        <v>253</v>
      </c>
      <c r="AB246" s="10">
        <f>INDEX(shelf!$B$1:$B$6,MATCH(AA246,shelf!$A$1:$A$6,0))</f>
        <v>0</v>
      </c>
      <c r="AC246" s="10" cm="1">
        <f t="array" ref="AC246">SUMPRODUCT(A246:X246*AB246)</f>
        <v>0</v>
      </c>
    </row>
    <row r="247" spans="1:29" x14ac:dyDescent="0.25">
      <c r="A247">
        <v>0.651310586251722</v>
      </c>
      <c r="B247">
        <v>0.76184807674090904</v>
      </c>
      <c r="C247">
        <v>0.83773388863181897</v>
      </c>
      <c r="D247">
        <v>0.85457087550978705</v>
      </c>
      <c r="E247">
        <v>0.94348517285792399</v>
      </c>
      <c r="F247">
        <v>0.97294137339864994</v>
      </c>
      <c r="G247">
        <v>1</v>
      </c>
      <c r="H247">
        <v>1</v>
      </c>
      <c r="I247">
        <v>0.95845769933887204</v>
      </c>
      <c r="J247">
        <v>0.57400369174113197</v>
      </c>
      <c r="K247">
        <v>0.57400369174113197</v>
      </c>
      <c r="L247">
        <v>0.57400369174113197</v>
      </c>
      <c r="M247">
        <v>0.57400369174113197</v>
      </c>
      <c r="N247">
        <v>0.57400369174113197</v>
      </c>
      <c r="O247">
        <v>0.57400369174113197</v>
      </c>
      <c r="P247">
        <v>0.59236407918739697</v>
      </c>
      <c r="Q247">
        <v>0.77338726761271004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0.98876654945140596</v>
      </c>
      <c r="Y247" t="s">
        <v>90</v>
      </c>
      <c r="Z247" t="s">
        <v>262</v>
      </c>
      <c r="AA247" t="s">
        <v>254</v>
      </c>
      <c r="AB247" s="10">
        <f>INDEX(shelf!$B$1:$B$6,MATCH(AA247,shelf!$A$1:$A$6,0))</f>
        <v>0</v>
      </c>
      <c r="AC247" s="10" cm="1">
        <f t="array" ref="AC247">SUMPRODUCT(A247:X247*AB247)</f>
        <v>0</v>
      </c>
    </row>
    <row r="248" spans="1:29" x14ac:dyDescent="0.25">
      <c r="A248">
        <v>0.77693359932071204</v>
      </c>
      <c r="B248">
        <v>0.77641627860903095</v>
      </c>
      <c r="C248">
        <v>0.77685900889251602</v>
      </c>
      <c r="D248">
        <v>0.77678441846432</v>
      </c>
      <c r="E248">
        <v>0.77685900889251602</v>
      </c>
      <c r="F248">
        <v>0.77700818974890795</v>
      </c>
      <c r="G248">
        <v>0.77706383180219896</v>
      </c>
      <c r="H248">
        <v>0.77537682489997795</v>
      </c>
      <c r="I248">
        <v>0.72576847556044299</v>
      </c>
      <c r="J248">
        <v>0.70500797432567497</v>
      </c>
      <c r="K248">
        <v>0.71381355483491504</v>
      </c>
      <c r="L248">
        <v>0.712742821268877</v>
      </c>
      <c r="M248">
        <v>0.710963478634978</v>
      </c>
      <c r="N248">
        <v>0.70533340514546505</v>
      </c>
      <c r="O248">
        <v>0.67050749514222296</v>
      </c>
      <c r="P248">
        <v>0.698793508892676</v>
      </c>
      <c r="Q248">
        <v>0.76363033629840005</v>
      </c>
      <c r="R248">
        <v>0.77789365031587798</v>
      </c>
      <c r="S248">
        <v>0.77863143386573597</v>
      </c>
      <c r="T248">
        <v>0.77863143386573597</v>
      </c>
      <c r="U248">
        <v>0.77863143386573597</v>
      </c>
      <c r="V248">
        <v>0.77818870358225001</v>
      </c>
      <c r="W248">
        <v>0.77644124234104805</v>
      </c>
      <c r="X248">
        <v>0.77644124234104805</v>
      </c>
      <c r="Y248" t="s">
        <v>91</v>
      </c>
      <c r="Z248" t="s">
        <v>262</v>
      </c>
      <c r="AA248" t="s">
        <v>222</v>
      </c>
      <c r="AB248" s="10">
        <f>INDEX(shelf!$B$1:$B$6,MATCH(AA248,shelf!$A$1:$A$6,0))</f>
        <v>120</v>
      </c>
      <c r="AC248" s="10" cm="1">
        <f t="array" ref="AC248">SUMPRODUCT(A248:X248*AB248)</f>
        <v>2167.766562109352</v>
      </c>
    </row>
    <row r="249" spans="1:29" x14ac:dyDescent="0.25">
      <c r="A249">
        <v>0.48235306482608398</v>
      </c>
      <c r="B249">
        <v>0.48053793081736501</v>
      </c>
      <c r="C249">
        <v>0.479060408726589</v>
      </c>
      <c r="D249">
        <v>0.48084997746757902</v>
      </c>
      <c r="E249">
        <v>0.48084133039172999</v>
      </c>
      <c r="F249">
        <v>0.48398736216160598</v>
      </c>
      <c r="G249">
        <v>0.446118433379041</v>
      </c>
      <c r="H249">
        <v>0.34488185297353202</v>
      </c>
      <c r="I249">
        <v>0.28952928874327299</v>
      </c>
      <c r="J249">
        <v>0.28513807805109398</v>
      </c>
      <c r="K249">
        <v>0.282742462081012</v>
      </c>
      <c r="L249">
        <v>0.28400192747645697</v>
      </c>
      <c r="M249">
        <v>0.28451887222831901</v>
      </c>
      <c r="N249">
        <v>0.290067287245029</v>
      </c>
      <c r="O249">
        <v>0.29243808986702202</v>
      </c>
      <c r="P249">
        <v>0.29412051005944401</v>
      </c>
      <c r="Q249">
        <v>0.30481431116632102</v>
      </c>
      <c r="R249">
        <v>0.49908666043380301</v>
      </c>
      <c r="S249">
        <v>0.578714198291851</v>
      </c>
      <c r="T249">
        <v>0.61502026210460603</v>
      </c>
      <c r="U249">
        <v>0.61919567186037106</v>
      </c>
      <c r="V249">
        <v>0.61190430712029298</v>
      </c>
      <c r="W249">
        <v>0.57931159844509394</v>
      </c>
      <c r="X249">
        <v>0.49248555792239301</v>
      </c>
      <c r="Y249" t="s">
        <v>91</v>
      </c>
      <c r="Z249" t="s">
        <v>262</v>
      </c>
      <c r="AA249" t="s">
        <v>250</v>
      </c>
      <c r="AB249" s="10">
        <f>INDEX(shelf!$B$1:$B$6,MATCH(AA249,shelf!$A$1:$A$6,0))</f>
        <v>92</v>
      </c>
      <c r="AC249" s="10" cm="1">
        <f t="array" ref="AC249">SUMPRODUCT(A249:X249*AB249)</f>
        <v>945.91818883327164</v>
      </c>
    </row>
    <row r="250" spans="1:29" x14ac:dyDescent="0.25">
      <c r="A250">
        <v>0.776586527043723</v>
      </c>
      <c r="B250">
        <v>0.775705519223857</v>
      </c>
      <c r="C250">
        <v>0.77453508284222905</v>
      </c>
      <c r="D250">
        <v>0.77443648629921102</v>
      </c>
      <c r="E250">
        <v>0.774337889756194</v>
      </c>
      <c r="F250">
        <v>0.77085918108117801</v>
      </c>
      <c r="G250">
        <v>0.62793514307637799</v>
      </c>
      <c r="H250">
        <v>0.47006418720347798</v>
      </c>
      <c r="I250">
        <v>0.47223768438362801</v>
      </c>
      <c r="J250">
        <v>0.52226429809728903</v>
      </c>
      <c r="K250">
        <v>0.59822895882527605</v>
      </c>
      <c r="L250">
        <v>0.62634328598669098</v>
      </c>
      <c r="M250">
        <v>0.63244275438578701</v>
      </c>
      <c r="N250">
        <v>0.63999413639415703</v>
      </c>
      <c r="O250">
        <v>0.64570319428823997</v>
      </c>
      <c r="P250">
        <v>0.65999571735873097</v>
      </c>
      <c r="Q250">
        <v>0.71353523048409895</v>
      </c>
      <c r="R250">
        <v>0.76924227728903105</v>
      </c>
      <c r="S250">
        <v>0.77806547518898705</v>
      </c>
      <c r="T250">
        <v>0.77875565099011002</v>
      </c>
      <c r="U250">
        <v>0.77875565099011002</v>
      </c>
      <c r="V250">
        <v>0.77875565099011002</v>
      </c>
      <c r="W250">
        <v>0.77836126481804002</v>
      </c>
      <c r="X250">
        <v>0.77712920559702603</v>
      </c>
      <c r="Y250" t="s">
        <v>91</v>
      </c>
      <c r="Z250" t="s">
        <v>262</v>
      </c>
      <c r="AA250" t="s">
        <v>251</v>
      </c>
      <c r="AB250" s="10">
        <f>INDEX(shelf!$B$1:$B$6,MATCH(AA250,shelf!$A$1:$A$6,0))</f>
        <v>92</v>
      </c>
      <c r="AC250" s="10" cm="1">
        <f t="array" ref="AC250">SUMPRODUCT(A250:X250*AB250)</f>
        <v>1535.8728816386074</v>
      </c>
    </row>
    <row r="251" spans="1:29" x14ac:dyDescent="0.25">
      <c r="A251">
        <v>0.77875565099011002</v>
      </c>
      <c r="B251">
        <v>0.77861502969105201</v>
      </c>
      <c r="C251">
        <v>0.77833378709293699</v>
      </c>
      <c r="D251">
        <v>0.77833378709293699</v>
      </c>
      <c r="E251">
        <v>0.778474408391994</v>
      </c>
      <c r="F251">
        <v>0.77875565099011002</v>
      </c>
      <c r="G251">
        <v>0.77819316579387898</v>
      </c>
      <c r="H251">
        <v>0.68836960995657004</v>
      </c>
      <c r="I251">
        <v>0.58166752908274999</v>
      </c>
      <c r="J251">
        <v>0.60314856655657201</v>
      </c>
      <c r="K251">
        <v>0.69209720842433797</v>
      </c>
      <c r="L251">
        <v>0.73655962190951096</v>
      </c>
      <c r="M251">
        <v>0.73837352326308403</v>
      </c>
      <c r="N251">
        <v>0.738052022147899</v>
      </c>
      <c r="O251">
        <v>0.73502356102585098</v>
      </c>
      <c r="P251">
        <v>0.76019420653584002</v>
      </c>
      <c r="Q251">
        <v>0.77861502969105201</v>
      </c>
      <c r="R251">
        <v>0.77875565099011002</v>
      </c>
      <c r="S251">
        <v>0.77875565099011002</v>
      </c>
      <c r="T251">
        <v>0.77875565099011002</v>
      </c>
      <c r="U251">
        <v>0.77875565099011002</v>
      </c>
      <c r="V251">
        <v>0.77875565099011002</v>
      </c>
      <c r="W251">
        <v>0.77875565099011002</v>
      </c>
      <c r="X251">
        <v>0.77875565099011002</v>
      </c>
      <c r="Y251" t="s">
        <v>91</v>
      </c>
      <c r="Z251" t="s">
        <v>262</v>
      </c>
      <c r="AA251" t="s">
        <v>252</v>
      </c>
      <c r="AB251" s="10">
        <f>INDEX(shelf!$B$1:$B$6,MATCH(AA251,shelf!$A$1:$A$6,0))</f>
        <v>61</v>
      </c>
      <c r="AC251" s="10" cm="1">
        <f t="array" ref="AC251">SUMPRODUCT(A251:X251*AB251)</f>
        <v>1095.1239668496023</v>
      </c>
    </row>
    <row r="252" spans="1:29" x14ac:dyDescent="0.25">
      <c r="A252">
        <v>0.77875565099011002</v>
      </c>
      <c r="B252">
        <v>0.77875565099011002</v>
      </c>
      <c r="C252">
        <v>0.77875565099011002</v>
      </c>
      <c r="D252">
        <v>0.77875565099011002</v>
      </c>
      <c r="E252">
        <v>0.77875565099011002</v>
      </c>
      <c r="F252">
        <v>0.77875565099011002</v>
      </c>
      <c r="G252">
        <v>0.77875565099011002</v>
      </c>
      <c r="H252">
        <v>0.77017775174758096</v>
      </c>
      <c r="I252">
        <v>0.71926376914676204</v>
      </c>
      <c r="J252">
        <v>0.77875565099011002</v>
      </c>
      <c r="K252">
        <v>0.77875565099011002</v>
      </c>
      <c r="L252">
        <v>0.77875565099011002</v>
      </c>
      <c r="M252">
        <v>0.77875565099011002</v>
      </c>
      <c r="N252">
        <v>0.77875565099011002</v>
      </c>
      <c r="O252">
        <v>0.77875565099011002</v>
      </c>
      <c r="P252">
        <v>0.77875565099011002</v>
      </c>
      <c r="Q252">
        <v>0.77875565099011002</v>
      </c>
      <c r="R252">
        <v>0.77875565099011002</v>
      </c>
      <c r="S252">
        <v>0.77875565099011002</v>
      </c>
      <c r="T252">
        <v>0.77875565099011002</v>
      </c>
      <c r="U252">
        <v>0.77875565099011002</v>
      </c>
      <c r="V252">
        <v>0.77875565099011002</v>
      </c>
      <c r="W252">
        <v>0.77875565099011002</v>
      </c>
      <c r="X252">
        <v>0.77875565099011002</v>
      </c>
      <c r="Y252" t="s">
        <v>91</v>
      </c>
      <c r="Z252" t="s">
        <v>262</v>
      </c>
      <c r="AA252" t="s">
        <v>253</v>
      </c>
      <c r="AB252" s="10">
        <f>INDEX(shelf!$B$1:$B$6,MATCH(AA252,shelf!$A$1:$A$6,0))</f>
        <v>0</v>
      </c>
      <c r="AC252" s="10" cm="1">
        <f t="array" ref="AC252">SUMPRODUCT(A252:X252*AB252)</f>
        <v>0</v>
      </c>
    </row>
    <row r="253" spans="1:29" x14ac:dyDescent="0.25">
      <c r="A253">
        <v>0.77875565099011002</v>
      </c>
      <c r="B253">
        <v>0.77875565099011002</v>
      </c>
      <c r="C253">
        <v>0.77875565099011002</v>
      </c>
      <c r="D253">
        <v>0.77875565099011002</v>
      </c>
      <c r="E253">
        <v>0.77875565099011002</v>
      </c>
      <c r="F253">
        <v>0.77875565099011002</v>
      </c>
      <c r="G253">
        <v>0.77875565099011002</v>
      </c>
      <c r="H253">
        <v>0.77875565099011002</v>
      </c>
      <c r="I253">
        <v>0.77875565099011002</v>
      </c>
      <c r="J253">
        <v>0.77017775174758096</v>
      </c>
      <c r="K253">
        <v>0.77017775174758096</v>
      </c>
      <c r="L253">
        <v>0.77017775174758096</v>
      </c>
      <c r="M253">
        <v>0.77017775174758096</v>
      </c>
      <c r="N253">
        <v>0.77017775174758096</v>
      </c>
      <c r="O253">
        <v>0.77017775174758096</v>
      </c>
      <c r="P253">
        <v>0.77017775174758096</v>
      </c>
      <c r="Q253">
        <v>0.77875565099011002</v>
      </c>
      <c r="R253">
        <v>0.77875565099011002</v>
      </c>
      <c r="S253">
        <v>0.77875565099011002</v>
      </c>
      <c r="T253">
        <v>0.77875565099011002</v>
      </c>
      <c r="U253">
        <v>0.77875565099011002</v>
      </c>
      <c r="V253">
        <v>0.77875565099011002</v>
      </c>
      <c r="W253">
        <v>0.77875565099011002</v>
      </c>
      <c r="X253">
        <v>0.77875565099011002</v>
      </c>
      <c r="Y253" t="s">
        <v>91</v>
      </c>
      <c r="Z253" t="s">
        <v>262</v>
      </c>
      <c r="AA253" t="s">
        <v>254</v>
      </c>
      <c r="AB253" s="10">
        <f>INDEX(shelf!$B$1:$B$6,MATCH(AA253,shelf!$A$1:$A$6,0))</f>
        <v>0</v>
      </c>
      <c r="AC253" s="10" cm="1">
        <f t="array" ref="AC253">SUMPRODUCT(A253:X253*AB253)</f>
        <v>0</v>
      </c>
    </row>
    <row r="254" spans="1:29" x14ac:dyDescent="0.25">
      <c r="A254">
        <v>1.7993059782638501E-2</v>
      </c>
      <c r="B254">
        <v>1.7993059782638501E-2</v>
      </c>
      <c r="C254">
        <v>1.7993059782638501E-2</v>
      </c>
      <c r="D254">
        <v>1.7993059782638501E-2</v>
      </c>
      <c r="E254">
        <v>1.7993059782638501E-2</v>
      </c>
      <c r="F254">
        <v>2.17226449652991E-2</v>
      </c>
      <c r="G254">
        <v>2.8041928028314098E-2</v>
      </c>
      <c r="H254">
        <v>2.9622186538807601E-2</v>
      </c>
      <c r="I254">
        <v>2.0142386454805501E-2</v>
      </c>
      <c r="J254">
        <v>1.7993059782638501E-2</v>
      </c>
      <c r="K254">
        <v>1.7993059782638501E-2</v>
      </c>
      <c r="L254">
        <v>1.9573318293132001E-2</v>
      </c>
      <c r="M254">
        <v>1.9573318293132001E-2</v>
      </c>
      <c r="N254">
        <v>1.7993059782638501E-2</v>
      </c>
      <c r="O254">
        <v>1.7993059782638501E-2</v>
      </c>
      <c r="P254">
        <v>1.7993059782638501E-2</v>
      </c>
      <c r="Q254">
        <v>2.4313218335132999E-2</v>
      </c>
      <c r="R254">
        <v>4.6520008982594403E-2</v>
      </c>
      <c r="S254">
        <v>5.17869536912531E-2</v>
      </c>
      <c r="T254">
        <v>5.17869536912531E-2</v>
      </c>
      <c r="U254">
        <v>5.0570023314751203E-2</v>
      </c>
      <c r="V254">
        <v>4.12530642739357E-2</v>
      </c>
      <c r="W254">
        <v>1.9193355859029902E-2</v>
      </c>
      <c r="X254">
        <v>1.7613972838015898E-2</v>
      </c>
      <c r="Y254" t="s">
        <v>92</v>
      </c>
      <c r="Z254" t="s">
        <v>262</v>
      </c>
      <c r="AA254" t="s">
        <v>222</v>
      </c>
      <c r="AB254" s="10">
        <f>INDEX(shelf!$B$1:$B$6,MATCH(AA254,shelf!$A$1:$A$6,0))</f>
        <v>120</v>
      </c>
      <c r="AC254" s="10" cm="1">
        <f t="array" ref="AC254">SUMPRODUCT(A254:X254*AB254)</f>
        <v>74.597271766300992</v>
      </c>
    </row>
    <row r="255" spans="1:29" x14ac:dyDescent="0.25">
      <c r="A255">
        <v>1.6276443785713201E-2</v>
      </c>
      <c r="B255">
        <v>1.6276443785713201E-2</v>
      </c>
      <c r="C255">
        <v>1.6276443785713201E-2</v>
      </c>
      <c r="D255">
        <v>1.6276443785713201E-2</v>
      </c>
      <c r="E255">
        <v>1.6276443785713201E-2</v>
      </c>
      <c r="F255">
        <v>1.6276443785713201E-2</v>
      </c>
      <c r="G255">
        <v>1.6276443785713201E-2</v>
      </c>
      <c r="H255">
        <v>1.6276443785713201E-2</v>
      </c>
      <c r="I255">
        <v>1.6276443785713201E-2</v>
      </c>
      <c r="J255">
        <v>1.6276443785713201E-2</v>
      </c>
      <c r="K255">
        <v>1.6276443785713201E-2</v>
      </c>
      <c r="L255">
        <v>1.6276443785713201E-2</v>
      </c>
      <c r="M255">
        <v>1.6276443785713201E-2</v>
      </c>
      <c r="N255">
        <v>1.6276443785713201E-2</v>
      </c>
      <c r="O255">
        <v>1.6276443785713201E-2</v>
      </c>
      <c r="P255">
        <v>1.6276443785713201E-2</v>
      </c>
      <c r="Q255">
        <v>1.6276443785713201E-2</v>
      </c>
      <c r="R255">
        <v>1.8250672561980701E-2</v>
      </c>
      <c r="S255">
        <v>4.4309616919232298E-2</v>
      </c>
      <c r="T255">
        <v>3.4422057610154197E-2</v>
      </c>
      <c r="U255">
        <v>2.5006168258155499E-2</v>
      </c>
      <c r="V255">
        <v>1.5802585104934999E-2</v>
      </c>
      <c r="W255">
        <v>1.5802585104934999E-2</v>
      </c>
      <c r="X255">
        <v>1.5802585104934999E-2</v>
      </c>
      <c r="Y255" t="s">
        <v>92</v>
      </c>
      <c r="Z255" t="s">
        <v>262</v>
      </c>
      <c r="AA255" t="s">
        <v>250</v>
      </c>
      <c r="AB255" s="10">
        <f>INDEX(shelf!$B$1:$B$6,MATCH(AA255,shelf!$A$1:$A$6,0))</f>
        <v>92</v>
      </c>
      <c r="AC255" s="10" cm="1">
        <f t="array" ref="AC255">SUMPRODUCT(A255:X255*AB255)</f>
        <v>41.040814981973597</v>
      </c>
    </row>
    <row r="256" spans="1:29" x14ac:dyDescent="0.25">
      <c r="A256">
        <v>0.24443565636603501</v>
      </c>
      <c r="B256">
        <v>0.24159459237409001</v>
      </c>
      <c r="C256">
        <v>0.24159459237409001</v>
      </c>
      <c r="D256">
        <v>0.24159459237409001</v>
      </c>
      <c r="E256">
        <v>0.24159459237409001</v>
      </c>
      <c r="F256">
        <v>0.24159459237409001</v>
      </c>
      <c r="G256">
        <v>0.24159459237409001</v>
      </c>
      <c r="H256">
        <v>0.24159459237409001</v>
      </c>
      <c r="I256">
        <v>0.24159459237409001</v>
      </c>
      <c r="J256">
        <v>0.24159459237409001</v>
      </c>
      <c r="K256">
        <v>0.30353441642332502</v>
      </c>
      <c r="L256">
        <v>0.38418938787693202</v>
      </c>
      <c r="M256">
        <v>0.45563607167925302</v>
      </c>
      <c r="N256">
        <v>0.49861888177653202</v>
      </c>
      <c r="O256">
        <v>0.54248236384850401</v>
      </c>
      <c r="P256">
        <v>0.55615997497713798</v>
      </c>
      <c r="Q256">
        <v>0.57234188854103496</v>
      </c>
      <c r="R256">
        <v>0.58214384862729796</v>
      </c>
      <c r="S256">
        <v>0.61497752177575504</v>
      </c>
      <c r="T256">
        <v>0.61184598647546895</v>
      </c>
      <c r="U256">
        <v>0.59329401219649902</v>
      </c>
      <c r="V256">
        <v>0.55265348866528796</v>
      </c>
      <c r="W256">
        <v>0.38999534227513499</v>
      </c>
      <c r="X256">
        <v>0.26567246504879799</v>
      </c>
      <c r="Y256" t="s">
        <v>92</v>
      </c>
      <c r="Z256" t="s">
        <v>262</v>
      </c>
      <c r="AA256" t="s">
        <v>251</v>
      </c>
      <c r="AB256" s="10">
        <f>INDEX(shelf!$B$1:$B$6,MATCH(AA256,shelf!$A$1:$A$6,0))</f>
        <v>92</v>
      </c>
      <c r="AC256" s="10" cm="1">
        <f t="array" ref="AC256">SUMPRODUCT(A256:X256*AB256)</f>
        <v>859.49460268862231</v>
      </c>
    </row>
    <row r="257" spans="1:29" x14ac:dyDescent="0.25">
      <c r="A257">
        <v>4.8700035195690099E-2</v>
      </c>
      <c r="B257">
        <v>4.8700035195690099E-2</v>
      </c>
      <c r="C257">
        <v>4.8700035195690099E-2</v>
      </c>
      <c r="D257">
        <v>4.8700035195690099E-2</v>
      </c>
      <c r="E257">
        <v>4.8700035195690099E-2</v>
      </c>
      <c r="F257">
        <v>4.8700035195690099E-2</v>
      </c>
      <c r="G257">
        <v>4.8700035195690099E-2</v>
      </c>
      <c r="H257">
        <v>4.8700035195690099E-2</v>
      </c>
      <c r="I257">
        <v>4.8700035195690099E-2</v>
      </c>
      <c r="J257">
        <v>4.8700035195690099E-2</v>
      </c>
      <c r="K257">
        <v>4.8700035195690099E-2</v>
      </c>
      <c r="L257">
        <v>6.6814414856528503E-2</v>
      </c>
      <c r="M257">
        <v>7.3845600036954201E-2</v>
      </c>
      <c r="N257">
        <v>8.3855961097818496E-2</v>
      </c>
      <c r="O257">
        <v>9.0887146278244096E-2</v>
      </c>
      <c r="P257">
        <v>9.7918331458669794E-2</v>
      </c>
      <c r="Q257">
        <v>0.10905434235358299</v>
      </c>
      <c r="R257">
        <v>0.12869874752199301</v>
      </c>
      <c r="S257">
        <v>0.130189160718689</v>
      </c>
      <c r="T257">
        <v>0.12423080895781199</v>
      </c>
      <c r="U257">
        <v>0.107400528374525</v>
      </c>
      <c r="V257">
        <v>7.4839208834751397E-2</v>
      </c>
      <c r="W257">
        <v>4.2743333947766103E-2</v>
      </c>
      <c r="X257">
        <v>4.2027011326098297E-2</v>
      </c>
      <c r="Y257" t="s">
        <v>92</v>
      </c>
      <c r="Z257" t="s">
        <v>262</v>
      </c>
      <c r="AA257" t="s">
        <v>252</v>
      </c>
      <c r="AB257" s="10">
        <f>INDEX(shelf!$B$1:$B$6,MATCH(AA257,shelf!$A$1:$A$6,0))</f>
        <v>61</v>
      </c>
      <c r="AC257" s="10" cm="1">
        <f t="array" ref="AC257">SUMPRODUCT(A257:X257*AB257)</f>
        <v>104.20050395787747</v>
      </c>
    </row>
    <row r="258" spans="1:29" x14ac:dyDescent="0.25">
      <c r="A258">
        <v>0.285934864003977</v>
      </c>
      <c r="B258">
        <v>0.285934864003977</v>
      </c>
      <c r="C258">
        <v>0.285934864003977</v>
      </c>
      <c r="D258">
        <v>0.285934864003977</v>
      </c>
      <c r="E258">
        <v>0.285934864003977</v>
      </c>
      <c r="F258">
        <v>0.285934864003977</v>
      </c>
      <c r="G258">
        <v>0.285934864003977</v>
      </c>
      <c r="H258">
        <v>0.285934864003977</v>
      </c>
      <c r="I258">
        <v>0.285934864003977</v>
      </c>
      <c r="J258">
        <v>0.285934864003977</v>
      </c>
      <c r="K258">
        <v>0.285934864003977</v>
      </c>
      <c r="L258">
        <v>0.285934864003977</v>
      </c>
      <c r="M258">
        <v>0.71483716000994302</v>
      </c>
      <c r="N258">
        <v>0.71483716000994302</v>
      </c>
      <c r="O258">
        <v>0.71483716000994302</v>
      </c>
      <c r="P258">
        <v>0.71483716000994302</v>
      </c>
      <c r="Q258">
        <v>0.71483716000994302</v>
      </c>
      <c r="R258">
        <v>0.71483716000994302</v>
      </c>
      <c r="S258">
        <v>0.71483716000994302</v>
      </c>
      <c r="T258">
        <v>0.71483716000994302</v>
      </c>
      <c r="U258">
        <v>0.71483716000994302</v>
      </c>
      <c r="V258">
        <v>0.71483716000994302</v>
      </c>
      <c r="W258">
        <v>0.71483716000994302</v>
      </c>
      <c r="X258">
        <v>0.285934864003977</v>
      </c>
      <c r="Y258" t="s">
        <v>92</v>
      </c>
      <c r="Z258" t="s">
        <v>262</v>
      </c>
      <c r="AA258" t="s">
        <v>253</v>
      </c>
      <c r="AB258" s="10">
        <f>INDEX(shelf!$B$1:$B$6,MATCH(AA258,shelf!$A$1:$A$6,0))</f>
        <v>0</v>
      </c>
      <c r="AC258" s="10" cm="1">
        <f t="array" ref="AC258">SUMPRODUCT(A258:X258*AB258)</f>
        <v>0</v>
      </c>
    </row>
    <row r="259" spans="1:29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92</v>
      </c>
      <c r="Z259" t="s">
        <v>262</v>
      </c>
      <c r="AA259" t="s">
        <v>254</v>
      </c>
      <c r="AB259" s="10">
        <f>INDEX(shelf!$B$1:$B$6,MATCH(AA259,shelf!$A$1:$A$6,0))</f>
        <v>0</v>
      </c>
      <c r="AC259" s="10" cm="1">
        <f t="array" ref="AC259">SUMPRODUCT(A259:X259*AB259)</f>
        <v>0</v>
      </c>
    </row>
    <row r="260" spans="1:29" x14ac:dyDescent="0.25">
      <c r="A260">
        <v>0.36208428692751399</v>
      </c>
      <c r="B260">
        <v>0.34588564317426901</v>
      </c>
      <c r="C260">
        <v>0.34200769159545202</v>
      </c>
      <c r="D260">
        <v>0.34294065257617901</v>
      </c>
      <c r="E260">
        <v>0.35641700093275902</v>
      </c>
      <c r="F260">
        <v>0.39575663500130498</v>
      </c>
      <c r="G260">
        <v>0.44543490524678703</v>
      </c>
      <c r="H260">
        <v>0.45473703770907098</v>
      </c>
      <c r="I260">
        <v>0.422806347491128</v>
      </c>
      <c r="J260">
        <v>0.39929339847740503</v>
      </c>
      <c r="K260">
        <v>0.39013317351677701</v>
      </c>
      <c r="L260">
        <v>0.38633626613569699</v>
      </c>
      <c r="M260">
        <v>0.37949854326329402</v>
      </c>
      <c r="N260">
        <v>0.36669829607253701</v>
      </c>
      <c r="O260">
        <v>0.35984383212729998</v>
      </c>
      <c r="P260">
        <v>0.37287621914114699</v>
      </c>
      <c r="Q260">
        <v>0.42882249362608199</v>
      </c>
      <c r="R260">
        <v>0.49098661325645998</v>
      </c>
      <c r="S260">
        <v>0.51392198380659604</v>
      </c>
      <c r="T260">
        <v>0.515859835127227</v>
      </c>
      <c r="U260">
        <v>0.509916397006</v>
      </c>
      <c r="V260">
        <v>0.48754723656301502</v>
      </c>
      <c r="W260">
        <v>0.44219992537283098</v>
      </c>
      <c r="X260">
        <v>0.395139157362489</v>
      </c>
      <c r="Y260" t="s">
        <v>93</v>
      </c>
      <c r="Z260" t="s">
        <v>262</v>
      </c>
      <c r="AA260" t="s">
        <v>222</v>
      </c>
      <c r="AB260" s="10">
        <f>INDEX(shelf!$B$1:$B$6,MATCH(AA260,shelf!$A$1:$A$6,0))</f>
        <v>120</v>
      </c>
      <c r="AC260" s="10" cm="1">
        <f t="array" ref="AC260">SUMPRODUCT(A260:X260*AB260)</f>
        <v>1188.8572285811183</v>
      </c>
    </row>
    <row r="261" spans="1:29" x14ac:dyDescent="0.25">
      <c r="A261">
        <v>0.191864214188812</v>
      </c>
      <c r="B261">
        <v>0.18024202209441401</v>
      </c>
      <c r="C261">
        <v>0.17701522610879999</v>
      </c>
      <c r="D261">
        <v>0.17766450377043999</v>
      </c>
      <c r="E261">
        <v>0.18235914373924</v>
      </c>
      <c r="F261">
        <v>0.199305214560208</v>
      </c>
      <c r="G261">
        <v>0.21357309732955099</v>
      </c>
      <c r="H261">
        <v>0.21064472642579199</v>
      </c>
      <c r="I261">
        <v>0.205401833497869</v>
      </c>
      <c r="J261">
        <v>0.204661052475751</v>
      </c>
      <c r="K261">
        <v>0.213490880569667</v>
      </c>
      <c r="L261">
        <v>0.22451754506801</v>
      </c>
      <c r="M261">
        <v>0.23416808650888599</v>
      </c>
      <c r="N261">
        <v>0.23940079394824099</v>
      </c>
      <c r="O261">
        <v>0.24596735953409701</v>
      </c>
      <c r="P261">
        <v>0.253688389273593</v>
      </c>
      <c r="Q261">
        <v>0.276847585219332</v>
      </c>
      <c r="R261">
        <v>0.31680912151666801</v>
      </c>
      <c r="S261">
        <v>0.33577841167891997</v>
      </c>
      <c r="T261">
        <v>0.35077339748713898</v>
      </c>
      <c r="U261">
        <v>0.349968337386802</v>
      </c>
      <c r="V261">
        <v>0.335057222979387</v>
      </c>
      <c r="W261">
        <v>0.27795598279567302</v>
      </c>
      <c r="X261">
        <v>0.22105077462043199</v>
      </c>
      <c r="Y261" t="s">
        <v>93</v>
      </c>
      <c r="Z261" t="s">
        <v>262</v>
      </c>
      <c r="AA261" t="s">
        <v>250</v>
      </c>
      <c r="AB261" s="10">
        <f>INDEX(shelf!$B$1:$B$6,MATCH(AA261,shelf!$A$1:$A$6,0))</f>
        <v>92</v>
      </c>
      <c r="AC261" s="10" cm="1">
        <f t="array" ref="AC261">SUMPRODUCT(A261:X261*AB261)</f>
        <v>535.27485289555057</v>
      </c>
    </row>
    <row r="262" spans="1:29" x14ac:dyDescent="0.25">
      <c r="A262">
        <v>0.45993324596645002</v>
      </c>
      <c r="B262">
        <v>0.426952008401489</v>
      </c>
      <c r="C262">
        <v>0.40785329120382602</v>
      </c>
      <c r="D262">
        <v>0.40064788760005998</v>
      </c>
      <c r="E262">
        <v>0.40405375024353202</v>
      </c>
      <c r="F262">
        <v>0.41419009354768599</v>
      </c>
      <c r="G262">
        <v>0.41492585418274502</v>
      </c>
      <c r="H262">
        <v>0.42950920102506301</v>
      </c>
      <c r="I262">
        <v>0.45211937042443801</v>
      </c>
      <c r="J262">
        <v>0.474975404867994</v>
      </c>
      <c r="K262">
        <v>0.52203179109067099</v>
      </c>
      <c r="L262">
        <v>0.57081615285570697</v>
      </c>
      <c r="M262">
        <v>0.61010228582806403</v>
      </c>
      <c r="N262">
        <v>0.63482512428705296</v>
      </c>
      <c r="O262">
        <v>0.64930454654409797</v>
      </c>
      <c r="P262">
        <v>0.65992374411709698</v>
      </c>
      <c r="Q262">
        <v>0.66810149193262802</v>
      </c>
      <c r="R262">
        <v>0.67612660108114098</v>
      </c>
      <c r="S262">
        <v>0.68900899337871702</v>
      </c>
      <c r="T262">
        <v>0.69893277715244395</v>
      </c>
      <c r="U262">
        <v>0.69487876777857305</v>
      </c>
      <c r="V262">
        <v>0.67193494990583702</v>
      </c>
      <c r="W262">
        <v>0.60186798947618403</v>
      </c>
      <c r="X262">
        <v>0.51676236961543698</v>
      </c>
      <c r="Y262" t="s">
        <v>93</v>
      </c>
      <c r="Z262" t="s">
        <v>262</v>
      </c>
      <c r="AA262" t="s">
        <v>251</v>
      </c>
      <c r="AB262" s="10">
        <f>INDEX(shelf!$B$1:$B$6,MATCH(AA262,shelf!$A$1:$A$6,0))</f>
        <v>92</v>
      </c>
      <c r="AC262" s="10" cm="1">
        <f t="array" ref="AC262">SUMPRODUCT(A262:X262*AB262)</f>
        <v>1209.7795477106381</v>
      </c>
    </row>
    <row r="263" spans="1:29" x14ac:dyDescent="0.25">
      <c r="A263">
        <v>0.29718971787807402</v>
      </c>
      <c r="B263">
        <v>0.28464093653613798</v>
      </c>
      <c r="C263">
        <v>0.28068006500554998</v>
      </c>
      <c r="D263">
        <v>0.28023727787688302</v>
      </c>
      <c r="E263">
        <v>0.28441317031879598</v>
      </c>
      <c r="F263">
        <v>0.308426863889397</v>
      </c>
      <c r="G263">
        <v>0.33730249449385002</v>
      </c>
      <c r="H263">
        <v>0.32794646411923001</v>
      </c>
      <c r="I263">
        <v>0.32421860026990801</v>
      </c>
      <c r="J263">
        <v>0.32747613124111002</v>
      </c>
      <c r="K263">
        <v>0.33749322506247598</v>
      </c>
      <c r="L263">
        <v>0.35770366232655298</v>
      </c>
      <c r="M263">
        <v>0.37943133501355503</v>
      </c>
      <c r="N263">
        <v>0.39505991247998701</v>
      </c>
      <c r="O263">
        <v>0.402662487518817</v>
      </c>
      <c r="P263">
        <v>0.41976062640105</v>
      </c>
      <c r="Q263">
        <v>0.459992816862965</v>
      </c>
      <c r="R263">
        <v>0.48958457650797799</v>
      </c>
      <c r="S263">
        <v>0.50422702477902503</v>
      </c>
      <c r="T263">
        <v>0.50402550042142802</v>
      </c>
      <c r="U263">
        <v>0.49327265013363802</v>
      </c>
      <c r="V263">
        <v>0.44870681384524602</v>
      </c>
      <c r="W263">
        <v>0.38129694213426402</v>
      </c>
      <c r="X263">
        <v>0.32245771017227598</v>
      </c>
      <c r="Y263" t="s">
        <v>93</v>
      </c>
      <c r="Z263" t="s">
        <v>262</v>
      </c>
      <c r="AA263" t="s">
        <v>252</v>
      </c>
      <c r="AB263" s="10">
        <f>INDEX(shelf!$B$1:$B$6,MATCH(AA263,shelf!$A$1:$A$6,0))</f>
        <v>61</v>
      </c>
      <c r="AC263" s="10" cm="1">
        <f t="array" ref="AC263">SUMPRODUCT(A263:X263*AB263)</f>
        <v>545.84062732257985</v>
      </c>
    </row>
    <row r="264" spans="1:29" x14ac:dyDescent="0.25">
      <c r="A264">
        <v>0.59705627815079498</v>
      </c>
      <c r="B264">
        <v>0.52923995552233505</v>
      </c>
      <c r="C264">
        <v>0.48299087533665003</v>
      </c>
      <c r="D264">
        <v>0.458716731955705</v>
      </c>
      <c r="E264">
        <v>0.45600561712232002</v>
      </c>
      <c r="F264">
        <v>0.45930720402258401</v>
      </c>
      <c r="G264">
        <v>0.45212619984081998</v>
      </c>
      <c r="H264">
        <v>0.50901483870525899</v>
      </c>
      <c r="I264">
        <v>0.55926501239675297</v>
      </c>
      <c r="J264">
        <v>0.62426171239006301</v>
      </c>
      <c r="K264">
        <v>0.67257244080925704</v>
      </c>
      <c r="L264">
        <v>0.71066763375561803</v>
      </c>
      <c r="M264">
        <v>0.729146617743343</v>
      </c>
      <c r="N264">
        <v>0.73937953553393398</v>
      </c>
      <c r="O264">
        <v>0.74432875546291999</v>
      </c>
      <c r="P264">
        <v>0.74642990896406103</v>
      </c>
      <c r="Q264">
        <v>0.748149704948324</v>
      </c>
      <c r="R264">
        <v>0.75305204529305203</v>
      </c>
      <c r="S264">
        <v>0.76069394426386105</v>
      </c>
      <c r="T264">
        <v>0.76378799682483001</v>
      </c>
      <c r="U264">
        <v>0.76995029183857999</v>
      </c>
      <c r="V264">
        <v>0.76877145465242902</v>
      </c>
      <c r="W264">
        <v>0.76000760608086104</v>
      </c>
      <c r="X264">
        <v>0.70072073410268498</v>
      </c>
      <c r="Y264" t="s">
        <v>93</v>
      </c>
      <c r="Z264" t="s">
        <v>262</v>
      </c>
      <c r="AA264" t="s">
        <v>253</v>
      </c>
      <c r="AB264" s="10">
        <f>INDEX(shelf!$B$1:$B$6,MATCH(AA264,shelf!$A$1:$A$6,0))</f>
        <v>0</v>
      </c>
      <c r="AC264" s="10" cm="1">
        <f t="array" ref="AC264">SUMPRODUCT(A264:X264*AB264)</f>
        <v>0</v>
      </c>
    </row>
    <row r="265" spans="1:29" x14ac:dyDescent="0.25">
      <c r="A265">
        <v>0.51453662164646297</v>
      </c>
      <c r="B265">
        <v>0.49710742430395599</v>
      </c>
      <c r="C265">
        <v>0.48204274891347298</v>
      </c>
      <c r="D265">
        <v>0.48072590665906001</v>
      </c>
      <c r="E265">
        <v>0.49895574409225002</v>
      </c>
      <c r="F265">
        <v>0.54310683119820502</v>
      </c>
      <c r="G265">
        <v>0.60579484335107903</v>
      </c>
      <c r="H265">
        <v>0.62303494214585198</v>
      </c>
      <c r="I265">
        <v>0.54853485497089505</v>
      </c>
      <c r="J265">
        <v>0.51210362389720998</v>
      </c>
      <c r="K265">
        <v>0.50275878452299405</v>
      </c>
      <c r="L265">
        <v>0.49832049938872103</v>
      </c>
      <c r="M265">
        <v>0.48439778960126501</v>
      </c>
      <c r="N265">
        <v>0.45659029508327897</v>
      </c>
      <c r="O265">
        <v>0.44245320337680399</v>
      </c>
      <c r="P265">
        <v>0.469816658686602</v>
      </c>
      <c r="Q265">
        <v>0.570217979532057</v>
      </c>
      <c r="R265">
        <v>0.58174403641648198</v>
      </c>
      <c r="S265">
        <v>0.62318874932116697</v>
      </c>
      <c r="T265">
        <v>0.62270573158224896</v>
      </c>
      <c r="U265">
        <v>0.62518929607407103</v>
      </c>
      <c r="V265">
        <v>0.61189287646281398</v>
      </c>
      <c r="W265">
        <v>0.589704611212859</v>
      </c>
      <c r="X265">
        <v>0.54610817806446299</v>
      </c>
      <c r="Y265" t="s">
        <v>93</v>
      </c>
      <c r="Z265" t="s">
        <v>262</v>
      </c>
      <c r="AA265" t="s">
        <v>254</v>
      </c>
      <c r="AB265" s="10">
        <f>INDEX(shelf!$B$1:$B$6,MATCH(AA265,shelf!$A$1:$A$6,0))</f>
        <v>0</v>
      </c>
      <c r="AC265" s="10" cm="1">
        <f t="array" ref="AC265">SUMPRODUCT(A265:X265*AB265)</f>
        <v>0</v>
      </c>
    </row>
    <row r="266" spans="1:29" x14ac:dyDescent="0.25">
      <c r="A266">
        <v>0.80137414804331897</v>
      </c>
      <c r="B266">
        <v>0.80274417481254301</v>
      </c>
      <c r="C266">
        <v>0.79832242336182402</v>
      </c>
      <c r="D266">
        <v>0.80497096566009996</v>
      </c>
      <c r="E266">
        <v>0.80568979867938295</v>
      </c>
      <c r="F266">
        <v>0.80568979867938295</v>
      </c>
      <c r="G266">
        <v>0.79705849740725399</v>
      </c>
      <c r="H266">
        <v>0.697957683999756</v>
      </c>
      <c r="I266">
        <v>0.67683566432244802</v>
      </c>
      <c r="J266">
        <v>0.68916723150564596</v>
      </c>
      <c r="K266">
        <v>0.68682372976196904</v>
      </c>
      <c r="L266">
        <v>0.68485158086958198</v>
      </c>
      <c r="M266">
        <v>0.66840993337871202</v>
      </c>
      <c r="N266">
        <v>0.61693247062880396</v>
      </c>
      <c r="O266">
        <v>0.67190462896138903</v>
      </c>
      <c r="P266">
        <v>0.76248819947251201</v>
      </c>
      <c r="Q266">
        <v>0.80425080638063395</v>
      </c>
      <c r="R266">
        <v>0.80568979867938295</v>
      </c>
      <c r="S266">
        <v>0.80667255747511901</v>
      </c>
      <c r="T266">
        <v>0.80648953356983999</v>
      </c>
      <c r="U266">
        <v>0.80425080638063395</v>
      </c>
      <c r="V266">
        <v>0.79849616344581997</v>
      </c>
      <c r="W266">
        <v>0.79705717114707098</v>
      </c>
      <c r="X266">
        <v>0.79497494265947999</v>
      </c>
      <c r="Y266" t="s">
        <v>94</v>
      </c>
      <c r="Z266" t="s">
        <v>262</v>
      </c>
      <c r="AA266" t="s">
        <v>222</v>
      </c>
      <c r="AB266" s="10">
        <f>INDEX(shelf!$B$1:$B$6,MATCH(AA266,shelf!$A$1:$A$6,0))</f>
        <v>120</v>
      </c>
      <c r="AC266" s="10" cm="1">
        <f t="array" ref="AC266">SUMPRODUCT(A266:X266*AB266)</f>
        <v>2182.6923251139124</v>
      </c>
    </row>
    <row r="267" spans="1:29" x14ac:dyDescent="0.25">
      <c r="A267">
        <v>3.5974807468729E-3</v>
      </c>
      <c r="B267">
        <v>3.5974807468729E-3</v>
      </c>
      <c r="C267">
        <v>3.5974807468729E-3</v>
      </c>
      <c r="D267">
        <v>3.5974807468729E-3</v>
      </c>
      <c r="E267">
        <v>3.5974807468729E-3</v>
      </c>
      <c r="F267">
        <v>3.5974807468729E-3</v>
      </c>
      <c r="G267">
        <v>3.5974807468729E-3</v>
      </c>
      <c r="H267">
        <v>3.5974807468729E-3</v>
      </c>
      <c r="I267">
        <v>3.5974807468729E-3</v>
      </c>
      <c r="J267">
        <v>3.5974807468729E-3</v>
      </c>
      <c r="K267">
        <v>3.5974807468729E-3</v>
      </c>
      <c r="L267">
        <v>3.5974807468729E-3</v>
      </c>
      <c r="M267">
        <v>3.5974807468729E-3</v>
      </c>
      <c r="N267">
        <v>3.5974807468729E-3</v>
      </c>
      <c r="O267">
        <v>3.5974807468729E-3</v>
      </c>
      <c r="P267">
        <v>3.5974807468729E-3</v>
      </c>
      <c r="Q267">
        <v>3.5974807468729E-3</v>
      </c>
      <c r="R267">
        <v>3.5974807468729E-3</v>
      </c>
      <c r="S267">
        <v>1.3610745129873999E-2</v>
      </c>
      <c r="T267">
        <v>1.25895247888262E-2</v>
      </c>
      <c r="U267">
        <v>1.13527871680118E-2</v>
      </c>
      <c r="V267">
        <v>1.25895247888262E-2</v>
      </c>
      <c r="W267">
        <v>7.1949614937458E-3</v>
      </c>
      <c r="X267">
        <v>7.1949614937458E-3</v>
      </c>
      <c r="Y267" t="s">
        <v>94</v>
      </c>
      <c r="Z267" t="s">
        <v>262</v>
      </c>
      <c r="AA267" t="s">
        <v>250</v>
      </c>
      <c r="AB267" s="10">
        <f>INDEX(shelf!$B$1:$B$6,MATCH(AA267,shelf!$A$1:$A$6,0))</f>
        <v>92</v>
      </c>
      <c r="AC267" s="10" cm="1">
        <f t="array" ref="AC267">SUMPRODUCT(A267:X267*AB267)</f>
        <v>11.89441856422026</v>
      </c>
    </row>
    <row r="268" spans="1:29" x14ac:dyDescent="0.25">
      <c r="A268">
        <v>0.59147576009739999</v>
      </c>
      <c r="B268">
        <v>0.59147576009739999</v>
      </c>
      <c r="C268">
        <v>0.59147576009739999</v>
      </c>
      <c r="D268">
        <v>0.59147576009739999</v>
      </c>
      <c r="E268">
        <v>0.59147576009739999</v>
      </c>
      <c r="F268">
        <v>0.56295278175559504</v>
      </c>
      <c r="G268">
        <v>0.44315627272001701</v>
      </c>
      <c r="H268">
        <v>0.43664349678026199</v>
      </c>
      <c r="I268">
        <v>0.47949282908698498</v>
      </c>
      <c r="J268">
        <v>0.53996610123821698</v>
      </c>
      <c r="K268">
        <v>0.56865737742395595</v>
      </c>
      <c r="L268">
        <v>0.56865737742395595</v>
      </c>
      <c r="M268">
        <v>0.57436197309231696</v>
      </c>
      <c r="N268">
        <v>0.58215100768190797</v>
      </c>
      <c r="O268">
        <v>0.58577116442903898</v>
      </c>
      <c r="P268">
        <v>0.58577116442903898</v>
      </c>
      <c r="Q268">
        <v>0.59515727543346597</v>
      </c>
      <c r="R268">
        <v>0.62676922045248296</v>
      </c>
      <c r="S268">
        <v>0.69752093280150296</v>
      </c>
      <c r="T268">
        <v>0.69887257486060095</v>
      </c>
      <c r="U268">
        <v>0.68558230449740398</v>
      </c>
      <c r="V268">
        <v>0.67699034894404297</v>
      </c>
      <c r="W268">
        <v>0.60858954710248203</v>
      </c>
      <c r="X268">
        <v>0.59718035576576101</v>
      </c>
      <c r="Y268" t="s">
        <v>94</v>
      </c>
      <c r="Z268" t="s">
        <v>262</v>
      </c>
      <c r="AA268" t="s">
        <v>251</v>
      </c>
      <c r="AB268" s="10">
        <f>INDEX(shelf!$B$1:$B$6,MATCH(AA268,shelf!$A$1:$A$6,0))</f>
        <v>92</v>
      </c>
      <c r="AC268" s="10" cm="1">
        <f t="array" ref="AC268">SUMPRODUCT(A268:X268*AB268)</f>
        <v>1294.5893073893546</v>
      </c>
    </row>
    <row r="269" spans="1:29" x14ac:dyDescent="0.25">
      <c r="A269">
        <v>0.82726805185970398</v>
      </c>
      <c r="B269">
        <v>0.81856941570581598</v>
      </c>
      <c r="C269">
        <v>0.82304500027479</v>
      </c>
      <c r="D269">
        <v>0.82726805185970398</v>
      </c>
      <c r="E269">
        <v>0.82726805185970398</v>
      </c>
      <c r="F269">
        <v>0.81913198918515695</v>
      </c>
      <c r="G269">
        <v>0.67277287279999598</v>
      </c>
      <c r="H269">
        <v>0.54305593009700803</v>
      </c>
      <c r="I269">
        <v>0.56740411028285398</v>
      </c>
      <c r="J269">
        <v>0.658891059656453</v>
      </c>
      <c r="K269">
        <v>0.73331077983015702</v>
      </c>
      <c r="L269">
        <v>0.74147684642360301</v>
      </c>
      <c r="M269">
        <v>0.75378595415156702</v>
      </c>
      <c r="N269">
        <v>0.74957790452610196</v>
      </c>
      <c r="O269">
        <v>0.77845167581241903</v>
      </c>
      <c r="P269">
        <v>0.82726805185970398</v>
      </c>
      <c r="Q269">
        <v>0.82726805185970398</v>
      </c>
      <c r="R269">
        <v>0.82726805185970398</v>
      </c>
      <c r="S269">
        <v>0.82726805185970398</v>
      </c>
      <c r="T269">
        <v>0.82726805185970398</v>
      </c>
      <c r="U269">
        <v>0.82726805185970398</v>
      </c>
      <c r="V269">
        <v>0.82726805185970398</v>
      </c>
      <c r="W269">
        <v>0.82726805185970398</v>
      </c>
      <c r="X269">
        <v>0.82726805185970398</v>
      </c>
      <c r="Y269" t="s">
        <v>94</v>
      </c>
      <c r="Z269" t="s">
        <v>262</v>
      </c>
      <c r="AA269" t="s">
        <v>252</v>
      </c>
      <c r="AB269" s="10">
        <f>INDEX(shelf!$B$1:$B$6,MATCH(AA269,shelf!$A$1:$A$6,0))</f>
        <v>61</v>
      </c>
      <c r="AC269" s="10" cm="1">
        <f t="array" ref="AC269">SUMPRODUCT(A269:X269*AB269)</f>
        <v>1133.7880998248049</v>
      </c>
    </row>
    <row r="270" spans="1:29" x14ac:dyDescent="0.25">
      <c r="A270">
        <v>0.82726805185970298</v>
      </c>
      <c r="B270">
        <v>0.82726805185970298</v>
      </c>
      <c r="C270">
        <v>0.82726805185970298</v>
      </c>
      <c r="D270">
        <v>0.82726805185970298</v>
      </c>
      <c r="E270">
        <v>0.82726805185970298</v>
      </c>
      <c r="F270">
        <v>0.50560353833239602</v>
      </c>
      <c r="G270">
        <v>0.33096822871230702</v>
      </c>
      <c r="H270">
        <v>0.33096822871230702</v>
      </c>
      <c r="I270">
        <v>0.33096822871230702</v>
      </c>
      <c r="J270">
        <v>0.33096822871230702</v>
      </c>
      <c r="K270">
        <v>0.82726805185970298</v>
      </c>
      <c r="L270">
        <v>0.82726805185970298</v>
      </c>
      <c r="M270">
        <v>0.82726805185970298</v>
      </c>
      <c r="N270">
        <v>0.82726805185970298</v>
      </c>
      <c r="O270">
        <v>0.82726805185970298</v>
      </c>
      <c r="P270">
        <v>0.82726805185970298</v>
      </c>
      <c r="Q270">
        <v>0.82726805185970298</v>
      </c>
      <c r="R270">
        <v>0.82726805185970298</v>
      </c>
      <c r="S270">
        <v>0.82726805185970298</v>
      </c>
      <c r="T270">
        <v>0.82726805185970298</v>
      </c>
      <c r="U270">
        <v>0.82726805185970298</v>
      </c>
      <c r="V270">
        <v>0.82726805185970298</v>
      </c>
      <c r="W270">
        <v>0.82726805185970298</v>
      </c>
      <c r="X270">
        <v>0.82726805185970298</v>
      </c>
      <c r="Y270" t="s">
        <v>94</v>
      </c>
      <c r="Z270" t="s">
        <v>262</v>
      </c>
      <c r="AA270" t="s">
        <v>253</v>
      </c>
      <c r="AB270" s="10">
        <f>INDEX(shelf!$B$1:$B$6,MATCH(AA270,shelf!$A$1:$A$6,0))</f>
        <v>0</v>
      </c>
      <c r="AC270" s="10" cm="1">
        <f t="array" ref="AC270">SUMPRODUCT(A270:X270*AB270)</f>
        <v>0</v>
      </c>
    </row>
    <row r="271" spans="1:29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94</v>
      </c>
      <c r="Z271" t="s">
        <v>262</v>
      </c>
      <c r="AA271" t="s">
        <v>254</v>
      </c>
      <c r="AB271" s="10">
        <f>INDEX(shelf!$B$1:$B$6,MATCH(AA271,shelf!$A$1:$A$6,0))</f>
        <v>0</v>
      </c>
      <c r="AC271" s="10" cm="1">
        <f t="array" ref="AC271">SUMPRODUCT(A271:X271*AB271)</f>
        <v>0</v>
      </c>
    </row>
    <row r="272" spans="1:29" x14ac:dyDescent="0.25">
      <c r="A272">
        <v>0.40057085106325102</v>
      </c>
      <c r="B272">
        <v>0.38645213370133902</v>
      </c>
      <c r="C272">
        <v>0.38554759277113798</v>
      </c>
      <c r="D272">
        <v>0.40023981717792501</v>
      </c>
      <c r="E272">
        <v>0.49143904182182702</v>
      </c>
      <c r="F272">
        <v>0.63132559429924795</v>
      </c>
      <c r="G272">
        <v>0.69201931349393597</v>
      </c>
      <c r="H272">
        <v>0.65979176000103401</v>
      </c>
      <c r="I272">
        <v>0.63042593947805603</v>
      </c>
      <c r="J272">
        <v>0.65433000627495497</v>
      </c>
      <c r="K272">
        <v>0.66617515603884403</v>
      </c>
      <c r="L272">
        <v>0.64693274261787903</v>
      </c>
      <c r="M272">
        <v>0.60261298547434505</v>
      </c>
      <c r="N272">
        <v>0.57066332943130205</v>
      </c>
      <c r="O272">
        <v>0.60218789399060402</v>
      </c>
      <c r="P272">
        <v>0.73167100424346099</v>
      </c>
      <c r="Q272">
        <v>0.79811994908655104</v>
      </c>
      <c r="R272">
        <v>0.82773740422346798</v>
      </c>
      <c r="S272">
        <v>0.82853842071905104</v>
      </c>
      <c r="T272">
        <v>0.81074626552817597</v>
      </c>
      <c r="U272">
        <v>0.77702478420592003</v>
      </c>
      <c r="V272">
        <v>0.69145374637620005</v>
      </c>
      <c r="W272">
        <v>0.53850051688276301</v>
      </c>
      <c r="X272">
        <v>0.42940622337699302</v>
      </c>
      <c r="Y272" t="s">
        <v>95</v>
      </c>
      <c r="Z272" t="s">
        <v>262</v>
      </c>
      <c r="AA272" t="s">
        <v>222</v>
      </c>
      <c r="AB272" s="10">
        <f>INDEX(shelf!$B$1:$B$6,MATCH(AA272,shelf!$A$1:$A$6,0))</f>
        <v>120</v>
      </c>
      <c r="AC272" s="10" cm="1">
        <f t="array" ref="AC272">SUMPRODUCT(A272:X272*AB272)</f>
        <v>1782.4694966733919</v>
      </c>
    </row>
    <row r="273" spans="1:29" x14ac:dyDescent="0.25">
      <c r="A273">
        <v>0.24931523906845901</v>
      </c>
      <c r="B273">
        <v>0.24731995064756099</v>
      </c>
      <c r="C273">
        <v>0.247423398736726</v>
      </c>
      <c r="D273">
        <v>0.24993859969431101</v>
      </c>
      <c r="E273">
        <v>0.26453126963004903</v>
      </c>
      <c r="F273">
        <v>0.29789499615833698</v>
      </c>
      <c r="G273">
        <v>0.30287882734702098</v>
      </c>
      <c r="H273">
        <v>0.289684806114969</v>
      </c>
      <c r="I273">
        <v>0.295617229560384</v>
      </c>
      <c r="J273">
        <v>0.32370892081393898</v>
      </c>
      <c r="K273">
        <v>0.34781423422562702</v>
      </c>
      <c r="L273">
        <v>0.368951236414643</v>
      </c>
      <c r="M273">
        <v>0.38010568886290602</v>
      </c>
      <c r="N273">
        <v>0.38595298712793802</v>
      </c>
      <c r="O273">
        <v>0.39132007249197698</v>
      </c>
      <c r="P273">
        <v>0.41769017377456402</v>
      </c>
      <c r="Q273">
        <v>0.50860615678687904</v>
      </c>
      <c r="R273">
        <v>0.57175987917644699</v>
      </c>
      <c r="S273">
        <v>0.57882565087547699</v>
      </c>
      <c r="T273">
        <v>0.57551149474954599</v>
      </c>
      <c r="U273">
        <v>0.52721307065492395</v>
      </c>
      <c r="V273">
        <v>0.350622601723723</v>
      </c>
      <c r="W273">
        <v>0.27506541527059097</v>
      </c>
      <c r="X273">
        <v>0.25581376404978201</v>
      </c>
      <c r="Y273" t="s">
        <v>95</v>
      </c>
      <c r="Z273" t="s">
        <v>262</v>
      </c>
      <c r="AA273" t="s">
        <v>250</v>
      </c>
      <c r="AB273" s="10">
        <f>INDEX(shelf!$B$1:$B$6,MATCH(AA273,shelf!$A$1:$A$6,0))</f>
        <v>92</v>
      </c>
      <c r="AC273" s="10" cm="1">
        <f t="array" ref="AC273">SUMPRODUCT(A273:X273*AB273)</f>
        <v>800.72804108402374</v>
      </c>
    </row>
    <row r="274" spans="1:29" x14ac:dyDescent="0.25">
      <c r="A274">
        <v>0.54964119292561597</v>
      </c>
      <c r="B274">
        <v>0.49606951817174599</v>
      </c>
      <c r="C274">
        <v>0.47812254493207101</v>
      </c>
      <c r="D274">
        <v>0.48263068251958102</v>
      </c>
      <c r="E274">
        <v>0.51701572693033304</v>
      </c>
      <c r="F274">
        <v>0.531461708291742</v>
      </c>
      <c r="G274">
        <v>0.57505032872284001</v>
      </c>
      <c r="H274">
        <v>0.68375990081649696</v>
      </c>
      <c r="I274">
        <v>0.79671764984165006</v>
      </c>
      <c r="J274">
        <v>0.854814416138857</v>
      </c>
      <c r="K274">
        <v>0.91840466778961205</v>
      </c>
      <c r="L274">
        <v>0.95472811448324502</v>
      </c>
      <c r="M274">
        <v>0.96760343293697204</v>
      </c>
      <c r="N274">
        <v>0.97430791513530202</v>
      </c>
      <c r="O274">
        <v>0.98258790422869402</v>
      </c>
      <c r="P274">
        <v>0.98919429568259798</v>
      </c>
      <c r="Q274">
        <v>0.991112111019118</v>
      </c>
      <c r="R274">
        <v>0.99652405591844995</v>
      </c>
      <c r="S274">
        <v>0.99696647343241096</v>
      </c>
      <c r="T274">
        <v>0.994973979957129</v>
      </c>
      <c r="U274">
        <v>0.986882099040293</v>
      </c>
      <c r="V274">
        <v>0.92972587362586701</v>
      </c>
      <c r="W274">
        <v>0.77422782377158095</v>
      </c>
      <c r="X274">
        <v>0.64088334653013102</v>
      </c>
      <c r="Y274" t="s">
        <v>95</v>
      </c>
      <c r="Z274" t="s">
        <v>262</v>
      </c>
      <c r="AA274" t="s">
        <v>251</v>
      </c>
      <c r="AB274" s="10">
        <f>INDEX(shelf!$B$1:$B$6,MATCH(AA274,shelf!$A$1:$A$6,0))</f>
        <v>92</v>
      </c>
      <c r="AC274" s="10" cm="1">
        <f t="array" ref="AC274">SUMPRODUCT(A274:X274*AB274)</f>
        <v>1753.8333301814951</v>
      </c>
    </row>
    <row r="275" spans="1:29" x14ac:dyDescent="0.25">
      <c r="A275">
        <v>0.333263472937468</v>
      </c>
      <c r="B275">
        <v>0.33211836623248597</v>
      </c>
      <c r="C275">
        <v>0.331408503704964</v>
      </c>
      <c r="D275">
        <v>0.33211836623248597</v>
      </c>
      <c r="E275">
        <v>0.356315294188084</v>
      </c>
      <c r="F275">
        <v>0.40551918787399399</v>
      </c>
      <c r="G275">
        <v>0.40925618517014201</v>
      </c>
      <c r="H275">
        <v>0.39308709426545801</v>
      </c>
      <c r="I275">
        <v>0.43725056100208898</v>
      </c>
      <c r="J275">
        <v>0.51799181023963403</v>
      </c>
      <c r="K275">
        <v>0.55366571263656605</v>
      </c>
      <c r="L275">
        <v>0.56443455170981205</v>
      </c>
      <c r="M275">
        <v>0.57670544377114097</v>
      </c>
      <c r="N275">
        <v>0.581202391218408</v>
      </c>
      <c r="O275">
        <v>0.60779949506795705</v>
      </c>
      <c r="P275">
        <v>0.72769314580323796</v>
      </c>
      <c r="Q275">
        <v>0.80748042731320402</v>
      </c>
      <c r="R275">
        <v>0.82028673879918501</v>
      </c>
      <c r="S275">
        <v>0.81710761400033705</v>
      </c>
      <c r="T275">
        <v>0.77985220928134102</v>
      </c>
      <c r="U275">
        <v>0.68785794060911698</v>
      </c>
      <c r="V275">
        <v>0.488987621858396</v>
      </c>
      <c r="W275">
        <v>0.37510160735563702</v>
      </c>
      <c r="X275">
        <v>0.34289008390478898</v>
      </c>
      <c r="Y275" t="s">
        <v>95</v>
      </c>
      <c r="Z275" t="s">
        <v>262</v>
      </c>
      <c r="AA275" t="s">
        <v>252</v>
      </c>
      <c r="AB275" s="10">
        <f>INDEX(shelf!$B$1:$B$6,MATCH(AA275,shelf!$A$1:$A$6,0))</f>
        <v>61</v>
      </c>
      <c r="AC275" s="10" cm="1">
        <f t="array" ref="AC275">SUMPRODUCT(A275:X275*AB275)</f>
        <v>767.34302333573191</v>
      </c>
    </row>
    <row r="276" spans="1:29" x14ac:dyDescent="0.25">
      <c r="A276">
        <v>0.46005770133283702</v>
      </c>
      <c r="B276">
        <v>0.41675608715395202</v>
      </c>
      <c r="C276">
        <v>0.41675608715395202</v>
      </c>
      <c r="D276">
        <v>0.41675608715395202</v>
      </c>
      <c r="E276">
        <v>0.41675608715395202</v>
      </c>
      <c r="F276">
        <v>0.41675608715395202</v>
      </c>
      <c r="G276">
        <v>0.91674398744980001</v>
      </c>
      <c r="H276">
        <v>0.91674398744980001</v>
      </c>
      <c r="I276">
        <v>0.98325920014631896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0.98750858807466002</v>
      </c>
      <c r="X276">
        <v>0.92099337537814097</v>
      </c>
      <c r="Y276" t="s">
        <v>95</v>
      </c>
      <c r="Z276" t="s">
        <v>262</v>
      </c>
      <c r="AA276" t="s">
        <v>253</v>
      </c>
      <c r="AB276" s="10">
        <f>INDEX(shelf!$B$1:$B$6,MATCH(AA276,shelf!$A$1:$A$6,0))</f>
        <v>0</v>
      </c>
      <c r="AC276" s="10" cm="1">
        <f t="array" ref="AC276">SUMPRODUCT(A276:X276*AB276)</f>
        <v>0</v>
      </c>
    </row>
    <row r="277" spans="1:29" x14ac:dyDescent="0.25">
      <c r="A277">
        <v>0.33331356056106498</v>
      </c>
      <c r="B277">
        <v>0.33331356056106498</v>
      </c>
      <c r="C277">
        <v>0.33331356056106498</v>
      </c>
      <c r="D277">
        <v>0.33331356056106498</v>
      </c>
      <c r="E277">
        <v>0.33331356056106498</v>
      </c>
      <c r="F277">
        <v>0.68481871572445197</v>
      </c>
      <c r="G277">
        <v>0.83330146085691303</v>
      </c>
      <c r="H277">
        <v>0.83330146085691303</v>
      </c>
      <c r="I277">
        <v>0.729419729517788</v>
      </c>
      <c r="J277">
        <v>0.71656620900726797</v>
      </c>
      <c r="K277">
        <v>0.729419729517788</v>
      </c>
      <c r="L277">
        <v>0.43449113594579097</v>
      </c>
      <c r="M277">
        <v>0.37766874199491002</v>
      </c>
      <c r="N277">
        <v>0.37766874199491002</v>
      </c>
      <c r="O277">
        <v>0.37766874199491002</v>
      </c>
      <c r="P277">
        <v>0.37766874199491002</v>
      </c>
      <c r="Q277">
        <v>0.83330146085691303</v>
      </c>
      <c r="R277">
        <v>0.83330146085691303</v>
      </c>
      <c r="S277">
        <v>0.83330146085691303</v>
      </c>
      <c r="T277">
        <v>0.83330146085691303</v>
      </c>
      <c r="U277">
        <v>0.83330146085691303</v>
      </c>
      <c r="V277">
        <v>0.83330146085691303</v>
      </c>
      <c r="W277">
        <v>0.51178785355140699</v>
      </c>
      <c r="X277">
        <v>0.33331356056106498</v>
      </c>
      <c r="Y277" t="s">
        <v>95</v>
      </c>
      <c r="Z277" t="s">
        <v>262</v>
      </c>
      <c r="AA277" t="s">
        <v>254</v>
      </c>
      <c r="AB277" s="10">
        <f>INDEX(shelf!$B$1:$B$6,MATCH(AA277,shelf!$A$1:$A$6,0))</f>
        <v>0</v>
      </c>
      <c r="AC277" s="10" cm="1">
        <f t="array" ref="AC277">SUMPRODUCT(A277:X277*AB277)</f>
        <v>0</v>
      </c>
    </row>
    <row r="278" spans="1:29" x14ac:dyDescent="0.25">
      <c r="A278">
        <v>0.19466938960055899</v>
      </c>
      <c r="B278">
        <v>0.19466938960055899</v>
      </c>
      <c r="C278">
        <v>0.19466938960055899</v>
      </c>
      <c r="D278">
        <v>0.19466938960055899</v>
      </c>
      <c r="E278">
        <v>0.19466938960055899</v>
      </c>
      <c r="F278">
        <v>0.21037183508650301</v>
      </c>
      <c r="G278">
        <v>0.30448756364881402</v>
      </c>
      <c r="H278">
        <v>0.32037199189340598</v>
      </c>
      <c r="I278">
        <v>0.22634842426542301</v>
      </c>
      <c r="J278">
        <v>0.212335050116497</v>
      </c>
      <c r="K278">
        <v>0.21464421951672399</v>
      </c>
      <c r="L278">
        <v>0.21438855479281299</v>
      </c>
      <c r="M278">
        <v>0.21361313982505101</v>
      </c>
      <c r="N278">
        <v>0.208812350443947</v>
      </c>
      <c r="O278">
        <v>0.205702035865865</v>
      </c>
      <c r="P278">
        <v>0.210207161741916</v>
      </c>
      <c r="Q278">
        <v>0.30771530154931398</v>
      </c>
      <c r="R278">
        <v>0.50986142238051002</v>
      </c>
      <c r="S278">
        <v>0.53132252279597103</v>
      </c>
      <c r="T278">
        <v>0.52835770086040801</v>
      </c>
      <c r="U278">
        <v>0.50310724223144698</v>
      </c>
      <c r="V278">
        <v>0.38588952758282902</v>
      </c>
      <c r="W278">
        <v>0.249191938695809</v>
      </c>
      <c r="X278">
        <v>0.19978595883278799</v>
      </c>
      <c r="Y278" t="s">
        <v>96</v>
      </c>
      <c r="Z278" t="s">
        <v>262</v>
      </c>
      <c r="AA278" t="s">
        <v>222</v>
      </c>
      <c r="AB278" s="10">
        <f>INDEX(shelf!$B$1:$B$6,MATCH(AA278,shelf!$A$1:$A$6,0))</f>
        <v>120</v>
      </c>
      <c r="AC278" s="10" cm="1">
        <f t="array" ref="AC278">SUMPRODUCT(A278:X278*AB278)</f>
        <v>807.58330681545976</v>
      </c>
    </row>
    <row r="279" spans="1:29" x14ac:dyDescent="0.25">
      <c r="A279">
        <v>8.3874929512575802E-2</v>
      </c>
      <c r="B279">
        <v>8.3874929512575802E-2</v>
      </c>
      <c r="C279">
        <v>8.3874929512575802E-2</v>
      </c>
      <c r="D279">
        <v>8.3874929512575802E-2</v>
      </c>
      <c r="E279">
        <v>8.3874929512575802E-2</v>
      </c>
      <c r="F279">
        <v>8.60333432727656E-2</v>
      </c>
      <c r="G279">
        <v>8.5108225264469706E-2</v>
      </c>
      <c r="H279">
        <v>8.5108225264469706E-2</v>
      </c>
      <c r="I279">
        <v>8.41831072561737E-2</v>
      </c>
      <c r="J279">
        <v>8.41831072561737E-2</v>
      </c>
      <c r="K279">
        <v>8.41831072561737E-2</v>
      </c>
      <c r="L279">
        <v>8.41831072561737E-2</v>
      </c>
      <c r="M279">
        <v>8.5108225264469706E-2</v>
      </c>
      <c r="N279">
        <v>8.8458415573905602E-2</v>
      </c>
      <c r="O279">
        <v>9.4262917059585602E-2</v>
      </c>
      <c r="P279">
        <v>0.111736361210589</v>
      </c>
      <c r="Q279">
        <v>0.13217228818714699</v>
      </c>
      <c r="R279">
        <v>0.165831204040815</v>
      </c>
      <c r="S279">
        <v>0.195428547753763</v>
      </c>
      <c r="T279">
        <v>0.19869277577039299</v>
      </c>
      <c r="U279">
        <v>0.16171817147991199</v>
      </c>
      <c r="V279">
        <v>0.11501169999975799</v>
      </c>
      <c r="W279">
        <v>8.5202666831056206E-2</v>
      </c>
      <c r="X279">
        <v>8.3660900946813194E-2</v>
      </c>
      <c r="Y279" t="s">
        <v>96</v>
      </c>
      <c r="Z279" t="s">
        <v>262</v>
      </c>
      <c r="AA279" t="s">
        <v>250</v>
      </c>
      <c r="AB279" s="10">
        <f>INDEX(shelf!$B$1:$B$6,MATCH(AA279,shelf!$A$1:$A$6,0))</f>
        <v>92</v>
      </c>
      <c r="AC279" s="10" cm="1">
        <f t="array" ref="AC279">SUMPRODUCT(A279:X279*AB279)</f>
        <v>232.72697609468869</v>
      </c>
    </row>
    <row r="280" spans="1:29" x14ac:dyDescent="0.25">
      <c r="A280">
        <v>0.88500907389249495</v>
      </c>
      <c r="B280">
        <v>0.85540418184466305</v>
      </c>
      <c r="C280">
        <v>0.85394973937327401</v>
      </c>
      <c r="D280">
        <v>0.85394973937327401</v>
      </c>
      <c r="E280">
        <v>0.85394973937327401</v>
      </c>
      <c r="F280">
        <v>0.85394973937327401</v>
      </c>
      <c r="G280">
        <v>0.85394973937327401</v>
      </c>
      <c r="H280">
        <v>0.85394973937327401</v>
      </c>
      <c r="I280">
        <v>0.87471852237617698</v>
      </c>
      <c r="J280">
        <v>0.99327166181487503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 t="s">
        <v>96</v>
      </c>
      <c r="Z280" t="s">
        <v>262</v>
      </c>
      <c r="AA280" t="s">
        <v>251</v>
      </c>
      <c r="AB280" s="10">
        <f>INDEX(shelf!$B$1:$B$6,MATCH(AA280,shelf!$A$1:$A$6,0))</f>
        <v>92</v>
      </c>
      <c r="AC280" s="10" cm="1">
        <f t="array" ref="AC280">SUMPRODUCT(A280:X280*AB280)</f>
        <v>2091.3533726074429</v>
      </c>
    </row>
    <row r="281" spans="1:29" x14ac:dyDescent="0.25">
      <c r="A281">
        <v>0.20628239206657301</v>
      </c>
      <c r="B281">
        <v>0.20628239206657301</v>
      </c>
      <c r="C281">
        <v>0.20628239206657301</v>
      </c>
      <c r="D281">
        <v>0.20628239206657301</v>
      </c>
      <c r="E281">
        <v>0.20628239206657301</v>
      </c>
      <c r="F281">
        <v>0.20628239206657301</v>
      </c>
      <c r="G281">
        <v>0.20628239206657301</v>
      </c>
      <c r="H281">
        <v>0.20628239206657301</v>
      </c>
      <c r="I281">
        <v>0.20628239206657301</v>
      </c>
      <c r="J281">
        <v>0.21129148111122201</v>
      </c>
      <c r="K281">
        <v>0.227559665277624</v>
      </c>
      <c r="L281">
        <v>0.27427882451226998</v>
      </c>
      <c r="M281">
        <v>0.31279090951415101</v>
      </c>
      <c r="N281">
        <v>0.33156341771300002</v>
      </c>
      <c r="O281">
        <v>0.35674380274148199</v>
      </c>
      <c r="P281">
        <v>0.40236800924279997</v>
      </c>
      <c r="Q281">
        <v>0.475431740060895</v>
      </c>
      <c r="R281">
        <v>0.50463253752181603</v>
      </c>
      <c r="S281">
        <v>0.53011411172342005</v>
      </c>
      <c r="T281">
        <v>0.527192179862354</v>
      </c>
      <c r="U281">
        <v>0.48463234168318298</v>
      </c>
      <c r="V281">
        <v>0.33922367704873402</v>
      </c>
      <c r="W281">
        <v>0.221377129103138</v>
      </c>
      <c r="X281">
        <v>0.19034582467643399</v>
      </c>
      <c r="Y281" t="s">
        <v>96</v>
      </c>
      <c r="Z281" t="s">
        <v>262</v>
      </c>
      <c r="AA281" t="s">
        <v>252</v>
      </c>
      <c r="AB281" s="10">
        <f>INDEX(shelf!$B$1:$B$6,MATCH(AA281,shelf!$A$1:$A$6,0))</f>
        <v>61</v>
      </c>
      <c r="AC281" s="10" cm="1">
        <f t="array" ref="AC281">SUMPRODUCT(A281:X281*AB281)</f>
        <v>442.01131800389248</v>
      </c>
    </row>
    <row r="282" spans="1:29" x14ac:dyDescent="0.25">
      <c r="A282">
        <v>0.978263757240313</v>
      </c>
      <c r="B282">
        <v>0.978263757240313</v>
      </c>
      <c r="C282">
        <v>0.978263757240313</v>
      </c>
      <c r="D282">
        <v>0.978263757240313</v>
      </c>
      <c r="E282">
        <v>0.978263757240313</v>
      </c>
      <c r="F282">
        <v>0.978263757240313</v>
      </c>
      <c r="G282">
        <v>0.978263757240313</v>
      </c>
      <c r="H282">
        <v>0.978263757240313</v>
      </c>
      <c r="I282">
        <v>0.978263757240313</v>
      </c>
      <c r="J282">
        <v>0.978263757240313</v>
      </c>
      <c r="K282">
        <v>0.978263757240313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 t="s">
        <v>96</v>
      </c>
      <c r="Z282" t="s">
        <v>262</v>
      </c>
      <c r="AA282" t="s">
        <v>253</v>
      </c>
      <c r="AB282" s="10">
        <f>INDEX(shelf!$B$1:$B$6,MATCH(AA282,shelf!$A$1:$A$6,0))</f>
        <v>0</v>
      </c>
      <c r="AC282" s="10" cm="1">
        <f t="array" ref="AC282">SUMPRODUCT(A282:X282*AB282)</f>
        <v>0</v>
      </c>
    </row>
    <row r="283" spans="1:29" x14ac:dyDescent="0.25">
      <c r="A283">
        <v>0.76909118385508302</v>
      </c>
      <c r="B283">
        <v>0.76909118385508302</v>
      </c>
      <c r="C283">
        <v>0.76909118385508302</v>
      </c>
      <c r="D283">
        <v>0.76909118385508302</v>
      </c>
      <c r="E283">
        <v>0.76909118385508302</v>
      </c>
      <c r="F283">
        <v>0.76909118385508302</v>
      </c>
      <c r="G283">
        <v>0.81710726455115201</v>
      </c>
      <c r="H283">
        <v>0.81710726455115201</v>
      </c>
      <c r="I283">
        <v>0.81710726455115201</v>
      </c>
      <c r="J283">
        <v>0.76909118385508302</v>
      </c>
      <c r="K283">
        <v>0.76909118385508302</v>
      </c>
      <c r="L283">
        <v>0.76909118385508302</v>
      </c>
      <c r="M283">
        <v>0.76909118385508302</v>
      </c>
      <c r="N283">
        <v>0.76909118385508302</v>
      </c>
      <c r="O283">
        <v>0.76909118385508302</v>
      </c>
      <c r="P283">
        <v>0.76909118385508302</v>
      </c>
      <c r="Q283">
        <v>0.81710726455115201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0.72085990503824604</v>
      </c>
      <c r="X283">
        <v>0.23206427348178801</v>
      </c>
      <c r="Y283" t="s">
        <v>96</v>
      </c>
      <c r="Z283" t="s">
        <v>262</v>
      </c>
      <c r="AA283" t="s">
        <v>254</v>
      </c>
      <c r="AB283" s="10">
        <f>INDEX(shelf!$B$1:$B$6,MATCH(AA283,shelf!$A$1:$A$6,0))</f>
        <v>0</v>
      </c>
      <c r="AC283" s="10" cm="1">
        <f t="array" ref="AC283">SUMPRODUCT(A283:X283*AB283)</f>
        <v>0</v>
      </c>
    </row>
    <row r="284" spans="1:29" x14ac:dyDescent="0.25">
      <c r="A284">
        <v>0.74352890668970895</v>
      </c>
      <c r="B284">
        <v>0.73822788350481805</v>
      </c>
      <c r="C284">
        <v>0.73879925899652299</v>
      </c>
      <c r="D284">
        <v>0.73854158828318295</v>
      </c>
      <c r="E284">
        <v>0.740917375316411</v>
      </c>
      <c r="F284">
        <v>0.746340641615028</v>
      </c>
      <c r="G284">
        <v>0.74796620273928405</v>
      </c>
      <c r="H284">
        <v>0.73902597482995003</v>
      </c>
      <c r="I284">
        <v>0.66917442528385296</v>
      </c>
      <c r="J284">
        <v>0.64557376561482205</v>
      </c>
      <c r="K284">
        <v>0.65294518301307203</v>
      </c>
      <c r="L284">
        <v>0.65231877662374604</v>
      </c>
      <c r="M284">
        <v>0.64877100344274696</v>
      </c>
      <c r="N284">
        <v>0.64100161520415</v>
      </c>
      <c r="O284">
        <v>0.61427766547587404</v>
      </c>
      <c r="P284">
        <v>0.64959159437966796</v>
      </c>
      <c r="Q284">
        <v>0.73384303877953805</v>
      </c>
      <c r="R284">
        <v>0.75655345903184601</v>
      </c>
      <c r="S284">
        <v>0.75464185188766497</v>
      </c>
      <c r="T284">
        <v>0.75517668342391897</v>
      </c>
      <c r="U284">
        <v>0.75454956048644695</v>
      </c>
      <c r="V284">
        <v>0.75249707997674098</v>
      </c>
      <c r="W284">
        <v>0.74638363450379497</v>
      </c>
      <c r="X284">
        <v>0.74367264624781804</v>
      </c>
      <c r="Y284" t="s">
        <v>97</v>
      </c>
      <c r="Z284" t="s">
        <v>262</v>
      </c>
      <c r="AA284" t="s">
        <v>222</v>
      </c>
      <c r="AB284" s="10">
        <f>INDEX(shelf!$B$1:$B$6,MATCH(AA284,shelf!$A$1:$A$6,0))</f>
        <v>120</v>
      </c>
      <c r="AC284" s="10" cm="1">
        <f t="array" ref="AC284">SUMPRODUCT(A284:X284*AB284)</f>
        <v>2052.5183778420733</v>
      </c>
    </row>
    <row r="285" spans="1:29" x14ac:dyDescent="0.25">
      <c r="A285">
        <v>0.33643780571146698</v>
      </c>
      <c r="B285">
        <v>0.33534883166642199</v>
      </c>
      <c r="C285">
        <v>0.33087434676806399</v>
      </c>
      <c r="D285">
        <v>0.33403432409239098</v>
      </c>
      <c r="E285">
        <v>0.339439605032541</v>
      </c>
      <c r="F285">
        <v>0.344881071654069</v>
      </c>
      <c r="G285">
        <v>0.31386833047949703</v>
      </c>
      <c r="H285">
        <v>0.248623039035827</v>
      </c>
      <c r="I285">
        <v>0.225881413111756</v>
      </c>
      <c r="J285">
        <v>0.219042140194212</v>
      </c>
      <c r="K285">
        <v>0.21972859331818201</v>
      </c>
      <c r="L285">
        <v>0.22040626872736099</v>
      </c>
      <c r="M285">
        <v>0.220374203197823</v>
      </c>
      <c r="N285">
        <v>0.21934183645632099</v>
      </c>
      <c r="O285">
        <v>0.22065079078222</v>
      </c>
      <c r="P285">
        <v>0.22914833524688899</v>
      </c>
      <c r="Q285">
        <v>0.27547783045558299</v>
      </c>
      <c r="R285">
        <v>0.38309100154516401</v>
      </c>
      <c r="S285">
        <v>0.40790273506333502</v>
      </c>
      <c r="T285">
        <v>0.41892414123562599</v>
      </c>
      <c r="U285">
        <v>0.41243669345782002</v>
      </c>
      <c r="V285">
        <v>0.40428936189956</v>
      </c>
      <c r="W285">
        <v>0.37415976631506398</v>
      </c>
      <c r="X285">
        <v>0.35224503695159898</v>
      </c>
      <c r="Y285" t="s">
        <v>97</v>
      </c>
      <c r="Z285" t="s">
        <v>262</v>
      </c>
      <c r="AA285" t="s">
        <v>250</v>
      </c>
      <c r="AB285" s="10">
        <f>INDEX(shelf!$B$1:$B$6,MATCH(AA285,shelf!$A$1:$A$6,0))</f>
        <v>92</v>
      </c>
      <c r="AC285" s="10" cm="1">
        <f t="array" ref="AC285">SUMPRODUCT(A285:X285*AB285)</f>
        <v>679.56789022068892</v>
      </c>
    </row>
    <row r="286" spans="1:29" x14ac:dyDescent="0.25">
      <c r="A286">
        <v>0.72707116627493895</v>
      </c>
      <c r="B286">
        <v>0.71759936341713404</v>
      </c>
      <c r="C286">
        <v>0.71471980350350195</v>
      </c>
      <c r="D286">
        <v>0.71357127565952105</v>
      </c>
      <c r="E286">
        <v>0.71433658202430494</v>
      </c>
      <c r="F286">
        <v>0.70227694494637305</v>
      </c>
      <c r="G286">
        <v>0.62571031633701402</v>
      </c>
      <c r="H286">
        <v>0.48654219538517701</v>
      </c>
      <c r="I286">
        <v>0.48753046352999801</v>
      </c>
      <c r="J286">
        <v>0.53957356952249202</v>
      </c>
      <c r="K286">
        <v>0.60738785902984904</v>
      </c>
      <c r="L286">
        <v>0.63927916029817</v>
      </c>
      <c r="M286">
        <v>0.64208844084018502</v>
      </c>
      <c r="N286">
        <v>0.64790003340582603</v>
      </c>
      <c r="O286">
        <v>0.65084172710352906</v>
      </c>
      <c r="P286">
        <v>0.65969806452094404</v>
      </c>
      <c r="Q286">
        <v>0.69475591558969096</v>
      </c>
      <c r="R286">
        <v>0.73910333567393705</v>
      </c>
      <c r="S286">
        <v>0.76264275765588796</v>
      </c>
      <c r="T286">
        <v>0.76365110562117</v>
      </c>
      <c r="U286">
        <v>0.76640241988902003</v>
      </c>
      <c r="V286">
        <v>0.76438250360989002</v>
      </c>
      <c r="W286">
        <v>0.75869820952868805</v>
      </c>
      <c r="X286">
        <v>0.74804491761218095</v>
      </c>
      <c r="Y286" t="s">
        <v>97</v>
      </c>
      <c r="Z286" t="s">
        <v>262</v>
      </c>
      <c r="AA286" t="s">
        <v>251</v>
      </c>
      <c r="AB286" s="10">
        <f>INDEX(shelf!$B$1:$B$6,MATCH(AA286,shelf!$A$1:$A$6,0))</f>
        <v>92</v>
      </c>
      <c r="AC286" s="10" cm="1">
        <f t="array" ref="AC286">SUMPRODUCT(A286:X286*AB286)</f>
        <v>1497.1903480501069</v>
      </c>
    </row>
    <row r="287" spans="1:29" x14ac:dyDescent="0.25">
      <c r="A287">
        <v>0.75740818820191702</v>
      </c>
      <c r="B287">
        <v>0.754781827806003</v>
      </c>
      <c r="C287">
        <v>0.75247400242775897</v>
      </c>
      <c r="D287">
        <v>0.75005999871029205</v>
      </c>
      <c r="E287">
        <v>0.75146868537877298</v>
      </c>
      <c r="F287">
        <v>0.75590250910651202</v>
      </c>
      <c r="G287">
        <v>0.75000893584486406</v>
      </c>
      <c r="H287">
        <v>0.63493809316761396</v>
      </c>
      <c r="I287">
        <v>0.53710596578937797</v>
      </c>
      <c r="J287">
        <v>0.57057916003398601</v>
      </c>
      <c r="K287">
        <v>0.63853302696331804</v>
      </c>
      <c r="L287">
        <v>0.67336600640210698</v>
      </c>
      <c r="M287">
        <v>0.67658134588073904</v>
      </c>
      <c r="N287">
        <v>0.684784905911759</v>
      </c>
      <c r="O287">
        <v>0.68420268117632099</v>
      </c>
      <c r="P287">
        <v>0.72041760006836697</v>
      </c>
      <c r="Q287">
        <v>0.76358166161480101</v>
      </c>
      <c r="R287">
        <v>0.763873449417248</v>
      </c>
      <c r="S287">
        <v>0.76412092870154602</v>
      </c>
      <c r="T287">
        <v>0.76472260595714703</v>
      </c>
      <c r="U287">
        <v>0.76488876290020802</v>
      </c>
      <c r="V287">
        <v>0.76283030802350005</v>
      </c>
      <c r="W287">
        <v>0.76240775605773403</v>
      </c>
      <c r="X287">
        <v>0.75961118611039202</v>
      </c>
      <c r="Y287" t="s">
        <v>97</v>
      </c>
      <c r="Z287" t="s">
        <v>262</v>
      </c>
      <c r="AA287" t="s">
        <v>252</v>
      </c>
      <c r="AB287" s="10">
        <f>INDEX(shelf!$B$1:$B$6,MATCH(AA287,shelf!$A$1:$A$6,0))</f>
        <v>61</v>
      </c>
      <c r="AC287" s="10" cm="1">
        <f t="array" ref="AC287">SUMPRODUCT(A287:X287*AB287)</f>
        <v>1049.1176250907895</v>
      </c>
    </row>
    <row r="288" spans="1:29" x14ac:dyDescent="0.25">
      <c r="A288">
        <v>0.65144544774327295</v>
      </c>
      <c r="B288">
        <v>0.65091806830773902</v>
      </c>
      <c r="C288">
        <v>0.62380746919982299</v>
      </c>
      <c r="D288">
        <v>0.57017957284896803</v>
      </c>
      <c r="E288">
        <v>0.56731194716825195</v>
      </c>
      <c r="F288">
        <v>0.42808377618729798</v>
      </c>
      <c r="G288">
        <v>0.28382901996141002</v>
      </c>
      <c r="H288">
        <v>0.28382901996141002</v>
      </c>
      <c r="I288">
        <v>0.28382901996141002</v>
      </c>
      <c r="J288">
        <v>0.28382901996141002</v>
      </c>
      <c r="K288">
        <v>0.28382901996141002</v>
      </c>
      <c r="L288">
        <v>0.28382901996141002</v>
      </c>
      <c r="M288">
        <v>0.28382901996141002</v>
      </c>
      <c r="N288">
        <v>0.28382901996141002</v>
      </c>
      <c r="O288">
        <v>0.28382901996141002</v>
      </c>
      <c r="P288">
        <v>0.28382901996141002</v>
      </c>
      <c r="Q288">
        <v>0.42808377618729798</v>
      </c>
      <c r="R288">
        <v>0.567888768425867</v>
      </c>
      <c r="S288">
        <v>0.68097869613317197</v>
      </c>
      <c r="T288">
        <v>0.68097869613317197</v>
      </c>
      <c r="U288">
        <v>0.68097869613317197</v>
      </c>
      <c r="V288">
        <v>0.68097869613317197</v>
      </c>
      <c r="W288">
        <v>0.68097869613317197</v>
      </c>
      <c r="X288">
        <v>0.68097869613317197</v>
      </c>
      <c r="Y288" t="s">
        <v>97</v>
      </c>
      <c r="Z288" t="s">
        <v>262</v>
      </c>
      <c r="AA288" t="s">
        <v>253</v>
      </c>
      <c r="AB288" s="10">
        <f>INDEX(shelf!$B$1:$B$6,MATCH(AA288,shelf!$A$1:$A$6,0))</f>
        <v>0</v>
      </c>
      <c r="AC288" s="10" cm="1">
        <f t="array" ref="AC288">SUMPRODUCT(A288:X288*AB288)</f>
        <v>0</v>
      </c>
    </row>
    <row r="289" spans="1:29" x14ac:dyDescent="0.25">
      <c r="A289">
        <v>0.76130517640793205</v>
      </c>
      <c r="B289">
        <v>0.76130517640793205</v>
      </c>
      <c r="C289">
        <v>0.76130517640793205</v>
      </c>
      <c r="D289">
        <v>0.76130517640793205</v>
      </c>
      <c r="E289">
        <v>0.76130517640793205</v>
      </c>
      <c r="F289">
        <v>0.76130517640793205</v>
      </c>
      <c r="G289">
        <v>0.762195129205396</v>
      </c>
      <c r="H289">
        <v>0.76130517640793205</v>
      </c>
      <c r="I289">
        <v>0.71230833072535904</v>
      </c>
      <c r="J289">
        <v>0.71230833072535904</v>
      </c>
      <c r="K289">
        <v>0.71230833072535904</v>
      </c>
      <c r="L289">
        <v>0.71230833072535904</v>
      </c>
      <c r="M289">
        <v>0.71230833072535904</v>
      </c>
      <c r="N289">
        <v>0.71230833072535904</v>
      </c>
      <c r="O289">
        <v>0.52845067501234699</v>
      </c>
      <c r="P289">
        <v>0.71230833072535904</v>
      </c>
      <c r="Q289">
        <v>0.78788839608031402</v>
      </c>
      <c r="R289">
        <v>0.78788839608031402</v>
      </c>
      <c r="S289">
        <v>0.78788839608031402</v>
      </c>
      <c r="T289">
        <v>0.78788839608031402</v>
      </c>
      <c r="U289">
        <v>0.78788839608031402</v>
      </c>
      <c r="V289">
        <v>0.78788839608031402</v>
      </c>
      <c r="W289">
        <v>0.76130517640793205</v>
      </c>
      <c r="X289">
        <v>0.76130517640793205</v>
      </c>
      <c r="Y289" t="s">
        <v>97</v>
      </c>
      <c r="Z289" t="s">
        <v>262</v>
      </c>
      <c r="AA289" t="s">
        <v>254</v>
      </c>
      <c r="AB289" s="10">
        <f>INDEX(shelf!$B$1:$B$6,MATCH(AA289,shelf!$A$1:$A$6,0))</f>
        <v>0</v>
      </c>
      <c r="AC289" s="10" cm="1">
        <f t="array" ref="AC289">SUMPRODUCT(A289:X289*AB289)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F703-6339-4C9A-931B-CF1E2124B3BC}">
  <sheetPr>
    <tabColor theme="5" tint="0.39997558519241921"/>
  </sheetPr>
  <dimension ref="A1:F49"/>
  <sheetViews>
    <sheetView topLeftCell="A22" workbookViewId="0">
      <selection activeCell="F44" sqref="F44"/>
    </sheetView>
  </sheetViews>
  <sheetFormatPr defaultRowHeight="15" x14ac:dyDescent="0.25"/>
  <cols>
    <col min="2" max="2" width="7.42578125" customWidth="1"/>
    <col min="5" max="5" width="10.7109375" bestFit="1" customWidth="1"/>
    <col min="6" max="6" width="20.42578125" bestFit="1" customWidth="1"/>
  </cols>
  <sheetData>
    <row r="1" spans="1:6" x14ac:dyDescent="0.25">
      <c r="A1" s="5" t="s">
        <v>43</v>
      </c>
      <c r="B1" s="5" t="s">
        <v>43</v>
      </c>
      <c r="C1" s="1" t="s">
        <v>265</v>
      </c>
      <c r="D1" s="1" t="s">
        <v>266</v>
      </c>
      <c r="E1" s="1" t="s">
        <v>268</v>
      </c>
      <c r="F1" s="1" t="s">
        <v>267</v>
      </c>
    </row>
    <row r="2" spans="1:6" x14ac:dyDescent="0.25">
      <c r="A2" s="6" t="s">
        <v>98</v>
      </c>
      <c r="B2" s="6" t="s">
        <v>49</v>
      </c>
      <c r="C2" s="11">
        <f>SUMIFS('all_csv_SYSHECF-hard-coal'!AC:AC,'all_csv_SYSHECF-hard-coal'!Y:Y,'CF coal 2023-2024'!B2)/8760</f>
        <v>0.64770469886378312</v>
      </c>
      <c r="D2" s="11">
        <f>SUMIFS('EIA data'!C:C,'EIA data'!A:A,"coal",'EIA data'!S:S,'CF coal 2023-2024'!A2)/100</f>
        <v>0.47899999999999998</v>
      </c>
      <c r="E2" s="11" t="s">
        <v>269</v>
      </c>
      <c r="F2" s="11">
        <f>IF(E2="Y",MIN(IFERROR(D2/C2*0.95,0),1),0)</f>
        <v>0.7025578180894132</v>
      </c>
    </row>
    <row r="3" spans="1:6" x14ac:dyDescent="0.25">
      <c r="A3" s="6" t="s">
        <v>42</v>
      </c>
      <c r="B3" s="6" t="s">
        <v>51</v>
      </c>
      <c r="C3" s="11">
        <f>SUMIFS('all_csv_SYSHECF-hard-coal'!AC:AC,'all_csv_SYSHECF-hard-coal'!Y:Y,'CF coal 2023-2024'!B3)/8760</f>
        <v>0.55217525352482744</v>
      </c>
      <c r="D3" s="11">
        <f>SUMIFS('EIA data'!C:C,'EIA data'!A:A,"coal",'EIA data'!S:S,'CF coal 2023-2024'!A3)/100</f>
        <v>0.48899999999999999</v>
      </c>
      <c r="E3" s="11" t="s">
        <v>269</v>
      </c>
      <c r="F3" s="11">
        <f t="shared" ref="F3:F49" si="0">IF(E3="Y",MIN(IFERROR(D3/C3*0.95,0),1),0)</f>
        <v>0.84130898122386144</v>
      </c>
    </row>
    <row r="4" spans="1:6" x14ac:dyDescent="0.25">
      <c r="A4" s="6" t="s">
        <v>100</v>
      </c>
      <c r="B4" s="6" t="s">
        <v>50</v>
      </c>
      <c r="C4" s="11">
        <f>SUMIFS('all_csv_SYSHECF-hard-coal'!AC:AC,'all_csv_SYSHECF-hard-coal'!Y:Y,'CF coal 2023-2024'!B4)/8760</f>
        <v>0.45330818184373056</v>
      </c>
      <c r="D4" s="11">
        <f>SUMIFS('EIA data'!C:C,'EIA data'!A:A,"coal",'EIA data'!S:S,'CF coal 2023-2024'!A4)/100</f>
        <v>0.40700000000000003</v>
      </c>
      <c r="E4" s="11" t="s">
        <v>269</v>
      </c>
      <c r="F4" s="11">
        <f t="shared" si="0"/>
        <v>0.85295173457356721</v>
      </c>
    </row>
    <row r="5" spans="1:6" x14ac:dyDescent="0.25">
      <c r="A5" s="6" t="s">
        <v>101</v>
      </c>
      <c r="B5" s="6" t="s">
        <v>52</v>
      </c>
      <c r="C5" s="11">
        <f>SUMIFS('all_csv_SYSHECF-hard-coal'!AC:AC,'all_csv_SYSHECF-hard-coal'!Y:Y,'CF coal 2023-2024'!B5)/8760</f>
        <v>0.39723199275227022</v>
      </c>
      <c r="D5" s="11">
        <f>SUMIFS('EIA data'!C:C,'EIA data'!A:A,"coal",'EIA data'!S:S,'CF coal 2023-2024'!A5)/100</f>
        <v>0.49</v>
      </c>
      <c r="E5" s="11" t="s">
        <v>270</v>
      </c>
      <c r="F5" s="11">
        <f t="shared" si="0"/>
        <v>0</v>
      </c>
    </row>
    <row r="6" spans="1:6" x14ac:dyDescent="0.25">
      <c r="A6" s="6" t="s">
        <v>102</v>
      </c>
      <c r="B6" s="6" t="s">
        <v>53</v>
      </c>
      <c r="C6" s="11">
        <f>SUMIFS('all_csv_SYSHECF-hard-coal'!AC:AC,'all_csv_SYSHECF-hard-coal'!Y:Y,'CF coal 2023-2024'!B6)/8760</f>
        <v>0.64391099353310488</v>
      </c>
      <c r="D6" s="11">
        <f>SUMIFS('EIA data'!C:C,'EIA data'!A:A,"coal",'EIA data'!S:S,'CF coal 2023-2024'!A6)/100</f>
        <v>0.56899999999999995</v>
      </c>
      <c r="E6" s="11" t="s">
        <v>269</v>
      </c>
      <c r="F6" s="11">
        <f t="shared" si="0"/>
        <v>0.83947937747425494</v>
      </c>
    </row>
    <row r="7" spans="1:6" x14ac:dyDescent="0.25">
      <c r="A7" s="6" t="s">
        <v>103</v>
      </c>
      <c r="B7" s="6" t="s">
        <v>54</v>
      </c>
      <c r="C7" s="11">
        <f>SUMIFS('all_csv_SYSHECF-hard-coal'!AC:AC,'all_csv_SYSHECF-hard-coal'!Y:Y,'CF coal 2023-2024'!B7)/8760</f>
        <v>0.11916959782614155</v>
      </c>
      <c r="D7" s="11">
        <f>SUMIFS('EIA data'!C:C,'EIA data'!A:A,"coal",'EIA data'!S:S,'CF coal 2023-2024'!A7)/100</f>
        <v>0</v>
      </c>
      <c r="E7" s="11" t="s">
        <v>269</v>
      </c>
      <c r="F7" s="11">
        <f t="shared" si="0"/>
        <v>0</v>
      </c>
    </row>
    <row r="8" spans="1:6" x14ac:dyDescent="0.25">
      <c r="A8" s="6" t="s">
        <v>104</v>
      </c>
      <c r="B8" s="6" t="s">
        <v>55</v>
      </c>
      <c r="C8" s="11">
        <f>SUMIFS('all_csv_SYSHECF-hard-coal'!AC:AC,'all_csv_SYSHECF-hard-coal'!Y:Y,'CF coal 2023-2024'!B8)/8760</f>
        <v>0.39723199275227022</v>
      </c>
      <c r="D8" s="11">
        <f>SUMIFS('EIA data'!C:C,'EIA data'!A:A,"coal",'EIA data'!S:S,'CF coal 2023-2024'!A8)/100</f>
        <v>4.0000000000000001E-3</v>
      </c>
      <c r="E8" s="11" t="s">
        <v>269</v>
      </c>
      <c r="F8" s="11">
        <f t="shared" si="0"/>
        <v>9.5661982653291264E-3</v>
      </c>
    </row>
    <row r="9" spans="1:6" x14ac:dyDescent="0.25">
      <c r="A9" s="6" t="s">
        <v>105</v>
      </c>
      <c r="B9" s="6" t="s">
        <v>56</v>
      </c>
      <c r="C9" s="11">
        <f>SUMIFS('all_csv_SYSHECF-hard-coal'!AC:AC,'all_csv_SYSHECF-hard-coal'!Y:Y,'CF coal 2023-2024'!B9)/8760</f>
        <v>0.41607212202762656</v>
      </c>
      <c r="D9" s="11">
        <f>SUMIFS('EIA data'!C:C,'EIA data'!A:A,"coal",'EIA data'!S:S,'CF coal 2023-2024'!A9)/100</f>
        <v>0.34799999999999998</v>
      </c>
      <c r="E9" s="11" t="s">
        <v>269</v>
      </c>
      <c r="F9" s="11">
        <f t="shared" si="0"/>
        <v>0.79457378299920955</v>
      </c>
    </row>
    <row r="10" spans="1:6" x14ac:dyDescent="0.25">
      <c r="A10" s="6" t="s">
        <v>106</v>
      </c>
      <c r="B10" s="6" t="s">
        <v>57</v>
      </c>
      <c r="C10" s="11">
        <f>SUMIFS('all_csv_SYSHECF-hard-coal'!AC:AC,'all_csv_SYSHECF-hard-coal'!Y:Y,'CF coal 2023-2024'!B10)/8760</f>
        <v>0.25033195387268209</v>
      </c>
      <c r="D10" s="11">
        <f>SUMIFS('EIA data'!C:C,'EIA data'!A:A,"coal",'EIA data'!S:S,'CF coal 2023-2024'!A10)/100</f>
        <v>0.33100000000000002</v>
      </c>
      <c r="E10" s="11" t="s">
        <v>269</v>
      </c>
      <c r="F10" s="11">
        <f t="shared" si="0"/>
        <v>1</v>
      </c>
    </row>
    <row r="11" spans="1:6" x14ac:dyDescent="0.25">
      <c r="A11" s="6" t="s">
        <v>108</v>
      </c>
      <c r="B11" s="6" t="s">
        <v>60</v>
      </c>
      <c r="C11" s="11">
        <f>SUMIFS('all_csv_SYSHECF-hard-coal'!AC:AC,'all_csv_SYSHECF-hard-coal'!Y:Y,'CF coal 2023-2024'!B11)/8760</f>
        <v>0.39723199275227022</v>
      </c>
      <c r="D11" s="11">
        <f>SUMIFS('EIA data'!C:C,'EIA data'!A:A,"coal",'EIA data'!S:S,'CF coal 2023-2024'!A11)/100</f>
        <v>0</v>
      </c>
      <c r="E11" s="11" t="s">
        <v>270</v>
      </c>
      <c r="F11" s="11">
        <f t="shared" si="0"/>
        <v>0</v>
      </c>
    </row>
    <row r="12" spans="1:6" x14ac:dyDescent="0.25">
      <c r="A12" s="6" t="s">
        <v>109</v>
      </c>
      <c r="B12" s="6" t="s">
        <v>61</v>
      </c>
      <c r="C12" s="11">
        <f>SUMIFS('all_csv_SYSHECF-hard-coal'!AC:AC,'all_csv_SYSHECF-hard-coal'!Y:Y,'CF coal 2023-2024'!B12)/8760</f>
        <v>0.51572610637677696</v>
      </c>
      <c r="D12" s="11">
        <f>SUMIFS('EIA data'!C:C,'EIA data'!A:A,"coal",'EIA data'!S:S,'CF coal 2023-2024'!A12)/100</f>
        <v>0.45399999999999996</v>
      </c>
      <c r="E12" s="11" t="s">
        <v>269</v>
      </c>
      <c r="F12" s="11">
        <f t="shared" si="0"/>
        <v>0.83629662075881539</v>
      </c>
    </row>
    <row r="13" spans="1:6" x14ac:dyDescent="0.25">
      <c r="A13" s="6" t="s">
        <v>110</v>
      </c>
      <c r="B13" s="6" t="s">
        <v>62</v>
      </c>
      <c r="C13" s="11">
        <f>SUMIFS('all_csv_SYSHECF-hard-coal'!AC:AC,'all_csv_SYSHECF-hard-coal'!Y:Y,'CF coal 2023-2024'!B13)/8760</f>
        <v>0.43816897415578077</v>
      </c>
      <c r="D13" s="11">
        <f>SUMIFS('EIA data'!C:C,'EIA data'!A:A,"coal",'EIA data'!S:S,'CF coal 2023-2024'!A13)/100</f>
        <v>0.36099999999999999</v>
      </c>
      <c r="E13" s="11" t="s">
        <v>269</v>
      </c>
      <c r="F13" s="11">
        <f t="shared" si="0"/>
        <v>0.78268891735376978</v>
      </c>
    </row>
    <row r="14" spans="1:6" x14ac:dyDescent="0.25">
      <c r="A14" s="6" t="s">
        <v>111</v>
      </c>
      <c r="B14" s="6" t="s">
        <v>59</v>
      </c>
      <c r="C14" s="11">
        <f>SUMIFS('all_csv_SYSHECF-hard-coal'!AC:AC,'all_csv_SYSHECF-hard-coal'!Y:Y,'CF coal 2023-2024'!B14)/8760</f>
        <v>0.49029065222999169</v>
      </c>
      <c r="D14" s="11">
        <f>SUMIFS('EIA data'!C:C,'EIA data'!A:A,"coal",'EIA data'!S:S,'CF coal 2023-2024'!A14)/100</f>
        <v>0.38299999999999995</v>
      </c>
      <c r="E14" s="11" t="s">
        <v>269</v>
      </c>
      <c r="F14" s="11">
        <f t="shared" si="0"/>
        <v>0.74211082415114171</v>
      </c>
    </row>
    <row r="15" spans="1:6" x14ac:dyDescent="0.25">
      <c r="A15" s="6" t="s">
        <v>112</v>
      </c>
      <c r="B15" s="6" t="s">
        <v>63</v>
      </c>
      <c r="C15" s="11">
        <f>SUMIFS('all_csv_SYSHECF-hard-coal'!AC:AC,'all_csv_SYSHECF-hard-coal'!Y:Y,'CF coal 2023-2024'!B15)/8760</f>
        <v>0.47481964324301945</v>
      </c>
      <c r="D15" s="11">
        <f>SUMIFS('EIA data'!C:C,'EIA data'!A:A,"coal",'EIA data'!S:S,'CF coal 2023-2024'!A15)/100</f>
        <v>0.41600000000000004</v>
      </c>
      <c r="E15" s="11" t="s">
        <v>269</v>
      </c>
      <c r="F15" s="11">
        <f t="shared" si="0"/>
        <v>0.83231602909429558</v>
      </c>
    </row>
    <row r="16" spans="1:6" x14ac:dyDescent="0.25">
      <c r="A16" s="6" t="s">
        <v>113</v>
      </c>
      <c r="B16" s="6" t="s">
        <v>64</v>
      </c>
      <c r="C16" s="11">
        <f>SUMIFS('all_csv_SYSHECF-hard-coal'!AC:AC,'all_csv_SYSHECF-hard-coal'!Y:Y,'CF coal 2023-2024'!B16)/8760</f>
        <v>0.60266170040511302</v>
      </c>
      <c r="D16" s="11">
        <f>SUMIFS('EIA data'!C:C,'EIA data'!A:A,"coal",'EIA data'!S:S,'CF coal 2023-2024'!A16)/100</f>
        <v>0.54600000000000004</v>
      </c>
      <c r="E16" s="11" t="s">
        <v>269</v>
      </c>
      <c r="F16" s="11">
        <f t="shared" si="0"/>
        <v>0.86068187119129447</v>
      </c>
    </row>
    <row r="17" spans="1:6" x14ac:dyDescent="0.25">
      <c r="A17" s="6" t="s">
        <v>114</v>
      </c>
      <c r="B17" s="6" t="s">
        <v>65</v>
      </c>
      <c r="C17" s="11">
        <f>SUMIFS('all_csv_SYSHECF-hard-coal'!AC:AC,'all_csv_SYSHECF-hard-coal'!Y:Y,'CF coal 2023-2024'!B17)/8760</f>
        <v>0.43155153034265425</v>
      </c>
      <c r="D17" s="11">
        <f>SUMIFS('EIA data'!C:C,'EIA data'!A:A,"coal",'EIA data'!S:S,'CF coal 2023-2024'!A17)/100</f>
        <v>0.249</v>
      </c>
      <c r="E17" s="11" t="s">
        <v>269</v>
      </c>
      <c r="F17" s="11">
        <f t="shared" si="0"/>
        <v>0.54813848026950107</v>
      </c>
    </row>
    <row r="18" spans="1:6" x14ac:dyDescent="0.25">
      <c r="A18" s="6" t="s">
        <v>115</v>
      </c>
      <c r="B18" s="6" t="s">
        <v>68</v>
      </c>
      <c r="C18" s="11">
        <f>SUMIFS('all_csv_SYSHECF-hard-coal'!AC:AC,'all_csv_SYSHECF-hard-coal'!Y:Y,'CF coal 2023-2024'!B18)/8760</f>
        <v>0.39723199275227022</v>
      </c>
      <c r="D18" s="11">
        <f>SUMIFS('EIA data'!C:C,'EIA data'!A:A,"coal",'EIA data'!S:S,'CF coal 2023-2024'!A18)/100</f>
        <v>0</v>
      </c>
      <c r="E18" s="11" t="s">
        <v>270</v>
      </c>
      <c r="F18" s="11">
        <f t="shared" si="0"/>
        <v>0</v>
      </c>
    </row>
    <row r="19" spans="1:6" x14ac:dyDescent="0.25">
      <c r="A19" s="6" t="s">
        <v>116</v>
      </c>
      <c r="B19" s="6" t="s">
        <v>67</v>
      </c>
      <c r="C19" s="11">
        <f>SUMIFS('all_csv_SYSHECF-hard-coal'!AC:AC,'all_csv_SYSHECF-hard-coal'!Y:Y,'CF coal 2023-2024'!B19)/8760</f>
        <v>0.18185716097979601</v>
      </c>
      <c r="D19" s="11">
        <f>SUMIFS('EIA data'!C:C,'EIA data'!A:A,"coal",'EIA data'!S:S,'CF coal 2023-2024'!A19)/100</f>
        <v>0.13300000000000001</v>
      </c>
      <c r="E19" s="11" t="s">
        <v>269</v>
      </c>
      <c r="F19" s="11">
        <f t="shared" si="0"/>
        <v>0.69477605016630195</v>
      </c>
    </row>
    <row r="20" spans="1:6" x14ac:dyDescent="0.25">
      <c r="A20" s="6" t="s">
        <v>117</v>
      </c>
      <c r="B20" s="6" t="s">
        <v>66</v>
      </c>
      <c r="C20" s="11">
        <f>SUMIFS('all_csv_SYSHECF-hard-coal'!AC:AC,'all_csv_SYSHECF-hard-coal'!Y:Y,'CF coal 2023-2024'!B20)/8760</f>
        <v>0.39723199275227022</v>
      </c>
      <c r="D20" s="11">
        <f>SUMIFS('EIA data'!C:C,'EIA data'!A:A,"coal",'EIA data'!S:S,'CF coal 2023-2024'!A20)/100</f>
        <v>0</v>
      </c>
      <c r="E20" s="11" t="s">
        <v>270</v>
      </c>
      <c r="F20" s="11">
        <f t="shared" si="0"/>
        <v>0</v>
      </c>
    </row>
    <row r="21" spans="1:6" x14ac:dyDescent="0.25">
      <c r="A21" s="6" t="s">
        <v>118</v>
      </c>
      <c r="B21" s="6" t="s">
        <v>69</v>
      </c>
      <c r="C21" s="11">
        <f>SUMIFS('all_csv_SYSHECF-hard-coal'!AC:AC,'all_csv_SYSHECF-hard-coal'!Y:Y,'CF coal 2023-2024'!B21)/8760</f>
        <v>0.52550418237260832</v>
      </c>
      <c r="D21" s="11">
        <f>SUMIFS('EIA data'!C:C,'EIA data'!A:A,"coal",'EIA data'!S:S,'CF coal 2023-2024'!A21)/100</f>
        <v>0.47600000000000003</v>
      </c>
      <c r="E21" s="11" t="s">
        <v>269</v>
      </c>
      <c r="F21" s="11">
        <f t="shared" si="0"/>
        <v>0.8605069477436964</v>
      </c>
    </row>
    <row r="22" spans="1:6" x14ac:dyDescent="0.25">
      <c r="A22" s="6" t="s">
        <v>119</v>
      </c>
      <c r="B22" s="6" t="s">
        <v>70</v>
      </c>
      <c r="C22" s="11">
        <f>SUMIFS('all_csv_SYSHECF-hard-coal'!AC:AC,'all_csv_SYSHECF-hard-coal'!Y:Y,'CF coal 2023-2024'!B22)/8760</f>
        <v>0.45810522009675403</v>
      </c>
      <c r="D22" s="11">
        <f>SUMIFS('EIA data'!C:C,'EIA data'!A:A,"coal",'EIA data'!S:S,'CF coal 2023-2024'!A22)/100</f>
        <v>0.38700000000000001</v>
      </c>
      <c r="E22" s="11" t="s">
        <v>269</v>
      </c>
      <c r="F22" s="11">
        <f t="shared" si="0"/>
        <v>0.802544882423192</v>
      </c>
    </row>
    <row r="23" spans="1:6" x14ac:dyDescent="0.25">
      <c r="A23" s="6" t="s">
        <v>120</v>
      </c>
      <c r="B23" s="6" t="s">
        <v>72</v>
      </c>
      <c r="C23" s="11">
        <f>SUMIFS('all_csv_SYSHECF-hard-coal'!AC:AC,'all_csv_SYSHECF-hard-coal'!Y:Y,'CF coal 2023-2024'!B23)/8760</f>
        <v>0.43032996045367916</v>
      </c>
      <c r="D23" s="11">
        <f>SUMIFS('EIA data'!C:C,'EIA data'!A:A,"coal",'EIA data'!S:S,'CF coal 2023-2024'!A23)/100</f>
        <v>0.32400000000000001</v>
      </c>
      <c r="E23" s="11" t="s">
        <v>269</v>
      </c>
      <c r="F23" s="11">
        <f t="shared" si="0"/>
        <v>0.7152650948948549</v>
      </c>
    </row>
    <row r="24" spans="1:6" x14ac:dyDescent="0.25">
      <c r="A24" s="6" t="s">
        <v>121</v>
      </c>
      <c r="B24" s="6" t="s">
        <v>71</v>
      </c>
      <c r="C24" s="11">
        <f>SUMIFS('all_csv_SYSHECF-hard-coal'!AC:AC,'all_csv_SYSHECF-hard-coal'!Y:Y,'CF coal 2023-2024'!B24)/8760</f>
        <v>0.64439776662399073</v>
      </c>
      <c r="D24" s="11">
        <f>SUMIFS('EIA data'!C:C,'EIA data'!A:A,"coal",'EIA data'!S:S,'CF coal 2023-2024'!A24)/100</f>
        <v>0.47700000000000004</v>
      </c>
      <c r="E24" s="11" t="s">
        <v>269</v>
      </c>
      <c r="F24" s="11">
        <f t="shared" si="0"/>
        <v>0.70321472772020832</v>
      </c>
    </row>
    <row r="25" spans="1:6" x14ac:dyDescent="0.25">
      <c r="A25" s="6" t="s">
        <v>122</v>
      </c>
      <c r="B25" s="6" t="s">
        <v>73</v>
      </c>
      <c r="C25" s="11">
        <f>SUMIFS('all_csv_SYSHECF-hard-coal'!AC:AC,'all_csv_SYSHECF-hard-coal'!Y:Y,'CF coal 2023-2024'!B25)/8760</f>
        <v>0.69121052952787776</v>
      </c>
      <c r="D25" s="11">
        <f>SUMIFS('EIA data'!C:C,'EIA data'!A:A,"coal",'EIA data'!S:S,'CF coal 2023-2024'!A25)/100</f>
        <v>0.81200000000000006</v>
      </c>
      <c r="E25" s="11" t="s">
        <v>269</v>
      </c>
      <c r="F25" s="11">
        <f t="shared" si="0"/>
        <v>1</v>
      </c>
    </row>
    <row r="26" spans="1:6" x14ac:dyDescent="0.25">
      <c r="A26" s="6" t="s">
        <v>123</v>
      </c>
      <c r="B26" s="6" t="s">
        <v>76</v>
      </c>
      <c r="C26" s="11">
        <f>SUMIFS('all_csv_SYSHECF-hard-coal'!AC:AC,'all_csv_SYSHECF-hard-coal'!Y:Y,'CF coal 2023-2024'!B26)/8760</f>
        <v>0.51281798112095034</v>
      </c>
      <c r="D26" s="11">
        <f>SUMIFS('EIA data'!C:C,'EIA data'!A:A,"coal",'EIA data'!S:S,'CF coal 2023-2024'!A26)/100</f>
        <v>0.53799999999999992</v>
      </c>
      <c r="E26" s="11" t="s">
        <v>269</v>
      </c>
      <c r="F26" s="11">
        <f t="shared" si="0"/>
        <v>0.99664992027542576</v>
      </c>
    </row>
    <row r="27" spans="1:6" x14ac:dyDescent="0.25">
      <c r="A27" s="6" t="s">
        <v>124</v>
      </c>
      <c r="B27" s="6" t="s">
        <v>80</v>
      </c>
      <c r="C27" s="11">
        <f>SUMIFS('all_csv_SYSHECF-hard-coal'!AC:AC,'all_csv_SYSHECF-hard-coal'!Y:Y,'CF coal 2023-2024'!B27)/8760</f>
        <v>0.41422273128897646</v>
      </c>
      <c r="D27" s="11">
        <f>SUMIFS('EIA data'!C:C,'EIA data'!A:A,"coal",'EIA data'!S:S,'CF coal 2023-2024'!A27)/100</f>
        <v>0.31900000000000001</v>
      </c>
      <c r="E27" s="11" t="s">
        <v>269</v>
      </c>
      <c r="F27" s="11">
        <f t="shared" si="0"/>
        <v>0.73161122533514844</v>
      </c>
    </row>
    <row r="28" spans="1:6" x14ac:dyDescent="0.25">
      <c r="A28" s="6" t="s">
        <v>125</v>
      </c>
      <c r="B28" s="6" t="s">
        <v>77</v>
      </c>
      <c r="C28" s="11">
        <f>SUMIFS('all_csv_SYSHECF-hard-coal'!AC:AC,'all_csv_SYSHECF-hard-coal'!Y:Y,'CF coal 2023-2024'!B28)/8760</f>
        <v>5.8248938183177841E-2</v>
      </c>
      <c r="D28" s="11">
        <f>SUMIFS('EIA data'!C:C,'EIA data'!A:A,"coal",'EIA data'!S:S,'CF coal 2023-2024'!A28)/100</f>
        <v>3.4000000000000002E-2</v>
      </c>
      <c r="E28" s="11" t="s">
        <v>269</v>
      </c>
      <c r="F28" s="11">
        <f t="shared" si="0"/>
        <v>0.55451654583685039</v>
      </c>
    </row>
    <row r="29" spans="1:6" x14ac:dyDescent="0.25">
      <c r="A29" s="6" t="s">
        <v>126</v>
      </c>
      <c r="B29" s="6" t="s">
        <v>78</v>
      </c>
      <c r="C29" s="11">
        <f>SUMIFS('all_csv_SYSHECF-hard-coal'!AC:AC,'all_csv_SYSHECF-hard-coal'!Y:Y,'CF coal 2023-2024'!B29)/8760</f>
        <v>0.21750329641469943</v>
      </c>
      <c r="D29" s="11">
        <f>SUMIFS('EIA data'!C:C,'EIA data'!A:A,"coal",'EIA data'!S:S,'CF coal 2023-2024'!A29)/100</f>
        <v>0</v>
      </c>
      <c r="E29" s="11" t="s">
        <v>269</v>
      </c>
      <c r="F29" s="11">
        <f t="shared" si="0"/>
        <v>0</v>
      </c>
    </row>
    <row r="30" spans="1:6" x14ac:dyDescent="0.25">
      <c r="A30" s="6" t="s">
        <v>127</v>
      </c>
      <c r="B30" s="6" t="s">
        <v>79</v>
      </c>
      <c r="C30" s="11">
        <f>SUMIFS('all_csv_SYSHECF-hard-coal'!AC:AC,'all_csv_SYSHECF-hard-coal'!Y:Y,'CF coal 2023-2024'!B30)/8760</f>
        <v>0.59655079739136141</v>
      </c>
      <c r="D30" s="11">
        <f>SUMIFS('EIA data'!C:C,'EIA data'!A:A,"coal",'EIA data'!S:S,'CF coal 2023-2024'!A30)/100</f>
        <v>0.55100000000000005</v>
      </c>
      <c r="E30" s="11" t="s">
        <v>269</v>
      </c>
      <c r="F30" s="11">
        <f t="shared" si="0"/>
        <v>0.87746090071286198</v>
      </c>
    </row>
    <row r="31" spans="1:6" x14ac:dyDescent="0.25">
      <c r="A31" s="6" t="s">
        <v>128</v>
      </c>
      <c r="B31" s="6" t="s">
        <v>81</v>
      </c>
      <c r="C31" s="11">
        <f>SUMIFS('all_csv_SYSHECF-hard-coal'!AC:AC,'all_csv_SYSHECF-hard-coal'!Y:Y,'CF coal 2023-2024'!B31)/8760</f>
        <v>0.42151659778852996</v>
      </c>
      <c r="D31" s="11">
        <f>SUMIFS('EIA data'!C:C,'EIA data'!A:A,"coal",'EIA data'!S:S,'CF coal 2023-2024'!A31)/100</f>
        <v>0</v>
      </c>
      <c r="E31" s="11" t="s">
        <v>269</v>
      </c>
      <c r="F31" s="11">
        <f t="shared" si="0"/>
        <v>0</v>
      </c>
    </row>
    <row r="32" spans="1:6" x14ac:dyDescent="0.25">
      <c r="A32" s="6" t="s">
        <v>129</v>
      </c>
      <c r="B32" s="6" t="s">
        <v>74</v>
      </c>
      <c r="C32" s="11">
        <f>SUMIFS('all_csv_SYSHECF-hard-coal'!AC:AC,'all_csv_SYSHECF-hard-coal'!Y:Y,'CF coal 2023-2024'!B32)/8760</f>
        <v>0.24758653868485914</v>
      </c>
      <c r="D32" s="11">
        <f>SUMIFS('EIA data'!C:C,'EIA data'!A:A,"coal",'EIA data'!S:S,'CF coal 2023-2024'!A32)/100</f>
        <v>0.23100000000000001</v>
      </c>
      <c r="E32" s="11" t="s">
        <v>269</v>
      </c>
      <c r="F32" s="11">
        <f t="shared" si="0"/>
        <v>0.8863567509190281</v>
      </c>
    </row>
    <row r="33" spans="1:6" x14ac:dyDescent="0.25">
      <c r="A33" s="6" t="s">
        <v>130</v>
      </c>
      <c r="B33" s="6" t="s">
        <v>75</v>
      </c>
      <c r="C33" s="11">
        <f>SUMIFS('all_csv_SYSHECF-hard-coal'!AC:AC,'all_csv_SYSHECF-hard-coal'!Y:Y,'CF coal 2023-2024'!B33)/8760</f>
        <v>0.60843245400463142</v>
      </c>
      <c r="D33" s="11">
        <f>SUMIFS('EIA data'!C:C,'EIA data'!A:A,"coal",'EIA data'!S:S,'CF coal 2023-2024'!A33)/100</f>
        <v>0.67200000000000004</v>
      </c>
      <c r="E33" s="11" t="s">
        <v>269</v>
      </c>
      <c r="F33" s="11">
        <f t="shared" si="0"/>
        <v>1</v>
      </c>
    </row>
    <row r="34" spans="1:6" x14ac:dyDescent="0.25">
      <c r="A34" s="6" t="s">
        <v>131</v>
      </c>
      <c r="B34" s="6" t="s">
        <v>82</v>
      </c>
      <c r="C34" s="11">
        <f>SUMIFS('all_csv_SYSHECF-hard-coal'!AC:AC,'all_csv_SYSHECF-hard-coal'!Y:Y,'CF coal 2023-2024'!B34)/8760</f>
        <v>0.51739763991075172</v>
      </c>
      <c r="D34" s="11">
        <f>SUMIFS('EIA data'!C:C,'EIA data'!A:A,"coal",'EIA data'!S:S,'CF coal 2023-2024'!A34)/100</f>
        <v>0.499</v>
      </c>
      <c r="E34" s="11" t="s">
        <v>269</v>
      </c>
      <c r="F34" s="11">
        <f t="shared" si="0"/>
        <v>0.91621987313620334</v>
      </c>
    </row>
    <row r="35" spans="1:6" x14ac:dyDescent="0.25">
      <c r="A35" s="6" t="s">
        <v>132</v>
      </c>
      <c r="B35" s="6" t="s">
        <v>83</v>
      </c>
      <c r="C35" s="11">
        <f>SUMIFS('all_csv_SYSHECF-hard-coal'!AC:AC,'all_csv_SYSHECF-hard-coal'!Y:Y,'CF coal 2023-2024'!B35)/8760</f>
        <v>0.32912481155056988</v>
      </c>
      <c r="D35" s="11">
        <f>SUMIFS('EIA data'!C:C,'EIA data'!A:A,"coal",'EIA data'!S:S,'CF coal 2023-2024'!A35)/100</f>
        <v>0.18600000000000003</v>
      </c>
      <c r="E35" s="11" t="s">
        <v>269</v>
      </c>
      <c r="F35" s="11">
        <f t="shared" si="0"/>
        <v>0.53687839323791042</v>
      </c>
    </row>
    <row r="36" spans="1:6" x14ac:dyDescent="0.25">
      <c r="A36" s="6" t="s">
        <v>133</v>
      </c>
      <c r="B36" s="6" t="s">
        <v>84</v>
      </c>
      <c r="C36" s="11">
        <f>SUMIFS('all_csv_SYSHECF-hard-coal'!AC:AC,'all_csv_SYSHECF-hard-coal'!Y:Y,'CF coal 2023-2024'!B36)/8760</f>
        <v>0.39723199275227022</v>
      </c>
      <c r="D36" s="11">
        <f>SUMIFS('EIA data'!C:C,'EIA data'!A:A,"coal",'EIA data'!S:S,'CF coal 2023-2024'!A36)/100</f>
        <v>0</v>
      </c>
      <c r="E36" s="11" t="s">
        <v>270</v>
      </c>
      <c r="F36" s="11">
        <f t="shared" si="0"/>
        <v>0</v>
      </c>
    </row>
    <row r="37" spans="1:6" x14ac:dyDescent="0.25">
      <c r="A37" s="6" t="s">
        <v>134</v>
      </c>
      <c r="B37" s="6" t="s">
        <v>85</v>
      </c>
      <c r="C37" s="11">
        <f>SUMIFS('all_csv_SYSHECF-hard-coal'!AC:AC,'all_csv_SYSHECF-hard-coal'!Y:Y,'CF coal 2023-2024'!B37)/8760</f>
        <v>0.32929518993961909</v>
      </c>
      <c r="D37" s="11">
        <f>SUMIFS('EIA data'!C:C,'EIA data'!A:A,"coal",'EIA data'!S:S,'CF coal 2023-2024'!A37)/100</f>
        <v>0.222</v>
      </c>
      <c r="E37" s="11" t="s">
        <v>269</v>
      </c>
      <c r="F37" s="11">
        <f t="shared" si="0"/>
        <v>0.64045879333576494</v>
      </c>
    </row>
    <row r="38" spans="1:6" x14ac:dyDescent="0.25">
      <c r="A38" s="6" t="s">
        <v>135</v>
      </c>
      <c r="B38" s="6" t="s">
        <v>86</v>
      </c>
      <c r="C38" s="11">
        <f>SUMIFS('all_csv_SYSHECF-hard-coal'!AC:AC,'all_csv_SYSHECF-hard-coal'!Y:Y,'CF coal 2023-2024'!B38)/8760</f>
        <v>0.39723199275227022</v>
      </c>
      <c r="D38" s="11">
        <f>SUMIFS('EIA data'!C:C,'EIA data'!A:A,"coal",'EIA data'!S:S,'CF coal 2023-2024'!A38)/100</f>
        <v>0</v>
      </c>
      <c r="E38" s="11" t="s">
        <v>270</v>
      </c>
      <c r="F38" s="11">
        <f t="shared" si="0"/>
        <v>0</v>
      </c>
    </row>
    <row r="39" spans="1:6" x14ac:dyDescent="0.25">
      <c r="A39" s="6" t="s">
        <v>136</v>
      </c>
      <c r="B39" s="6" t="s">
        <v>87</v>
      </c>
      <c r="C39" s="11">
        <f>SUMIFS('all_csv_SYSHECF-hard-coal'!AC:AC,'all_csv_SYSHECF-hard-coal'!Y:Y,'CF coal 2023-2024'!B39)/8760</f>
        <v>0.33421971853896904</v>
      </c>
      <c r="D39" s="11">
        <f>SUMIFS('EIA data'!C:C,'EIA data'!A:A,"coal",'EIA data'!S:S,'CF coal 2023-2024'!A39)/100</f>
        <v>0.35700000000000004</v>
      </c>
      <c r="E39" s="11" t="s">
        <v>269</v>
      </c>
      <c r="F39" s="11">
        <f t="shared" si="0"/>
        <v>1</v>
      </c>
    </row>
    <row r="40" spans="1:6" x14ac:dyDescent="0.25">
      <c r="A40" s="6" t="s">
        <v>137</v>
      </c>
      <c r="B40" s="6" t="s">
        <v>88</v>
      </c>
      <c r="C40" s="11">
        <f>SUMIFS('all_csv_SYSHECF-hard-coal'!AC:AC,'all_csv_SYSHECF-hard-coal'!Y:Y,'CF coal 2023-2024'!B40)/8760</f>
        <v>0.3900682004730362</v>
      </c>
      <c r="D40" s="11">
        <f>SUMIFS('EIA data'!C:C,'EIA data'!A:A,"coal",'EIA data'!S:S,'CF coal 2023-2024'!A40)/100</f>
        <v>0.377</v>
      </c>
      <c r="E40" s="11" t="s">
        <v>269</v>
      </c>
      <c r="F40" s="11">
        <f t="shared" si="0"/>
        <v>0.91817276969942951</v>
      </c>
    </row>
    <row r="41" spans="1:6" x14ac:dyDescent="0.25">
      <c r="A41" s="6" t="s">
        <v>138</v>
      </c>
      <c r="B41" s="6" t="s">
        <v>89</v>
      </c>
      <c r="C41" s="11">
        <f>SUMIFS('all_csv_SYSHECF-hard-coal'!AC:AC,'all_csv_SYSHECF-hard-coal'!Y:Y,'CF coal 2023-2024'!B41)/8760</f>
        <v>0.35423441355804408</v>
      </c>
      <c r="D41" s="11">
        <f>SUMIFS('EIA data'!C:C,'EIA data'!A:A,"coal",'EIA data'!S:S,'CF coal 2023-2024'!A41)/100</f>
        <v>0.33100000000000002</v>
      </c>
      <c r="E41" s="11" t="s">
        <v>269</v>
      </c>
      <c r="F41" s="11">
        <f t="shared" si="0"/>
        <v>0.88768902163277519</v>
      </c>
    </row>
    <row r="42" spans="1:6" x14ac:dyDescent="0.25">
      <c r="A42" s="6" t="s">
        <v>139</v>
      </c>
      <c r="B42" s="6" t="s">
        <v>90</v>
      </c>
      <c r="C42" s="11">
        <f>SUMIFS('all_csv_SYSHECF-hard-coal'!AC:AC,'all_csv_SYSHECF-hard-coal'!Y:Y,'CF coal 2023-2024'!B42)/8760</f>
        <v>0.52340289953818941</v>
      </c>
      <c r="D42" s="11">
        <f>SUMIFS('EIA data'!C:C,'EIA data'!A:A,"coal",'EIA data'!S:S,'CF coal 2023-2024'!A42)/100</f>
        <v>0.49299999999999999</v>
      </c>
      <c r="E42" s="11" t="s">
        <v>269</v>
      </c>
      <c r="F42" s="11">
        <f t="shared" si="0"/>
        <v>0.89481735850763555</v>
      </c>
    </row>
    <row r="43" spans="1:6" x14ac:dyDescent="0.25">
      <c r="A43" s="6" t="s">
        <v>140</v>
      </c>
      <c r="B43" s="6" t="s">
        <v>91</v>
      </c>
      <c r="C43" s="11">
        <f>SUMIFS('all_csv_SYSHECF-hard-coal'!AC:AC,'all_csv_SYSHECF-hard-coal'!Y:Y,'CF coal 2023-2024'!B43)/8760</f>
        <v>0.6557855707112823</v>
      </c>
      <c r="D43" s="11">
        <f>SUMIFS('EIA data'!C:C,'EIA data'!A:A,"coal",'EIA data'!S:S,'CF coal 2023-2024'!A43)/100</f>
        <v>0.39100000000000001</v>
      </c>
      <c r="E43" s="11" t="s">
        <v>269</v>
      </c>
      <c r="F43" s="11">
        <v>0</v>
      </c>
    </row>
    <row r="44" spans="1:6" x14ac:dyDescent="0.25">
      <c r="A44" s="6" t="s">
        <v>141</v>
      </c>
      <c r="B44" s="6" t="s">
        <v>93</v>
      </c>
      <c r="C44" s="11">
        <f>SUMIFS('all_csv_SYSHECF-hard-coal'!AC:AC,'all_csv_SYSHECF-hard-coal'!Y:Y,'CF coal 2023-2024'!B44)/8760</f>
        <v>0.39723199275227022</v>
      </c>
      <c r="D44" s="11">
        <f>SUMIFS('EIA data'!C:C,'EIA data'!A:A,"coal",'EIA data'!S:S,'CF coal 2023-2024'!A44)/100</f>
        <v>0</v>
      </c>
      <c r="E44" s="11" t="s">
        <v>270</v>
      </c>
      <c r="F44" s="11">
        <f t="shared" si="0"/>
        <v>0</v>
      </c>
    </row>
    <row r="45" spans="1:6" x14ac:dyDescent="0.25">
      <c r="A45" s="6" t="s">
        <v>142</v>
      </c>
      <c r="B45" s="6" t="s">
        <v>92</v>
      </c>
      <c r="C45" s="11">
        <f>SUMIFS('all_csv_SYSHECF-hard-coal'!AC:AC,'all_csv_SYSHECF-hard-coal'!Y:Y,'CF coal 2023-2024'!B45)/8760</f>
        <v>0.12321155175739436</v>
      </c>
      <c r="D45" s="11">
        <f>SUMIFS('EIA data'!C:C,'EIA data'!A:A,"coal",'EIA data'!S:S,'CF coal 2023-2024'!A45)/100</f>
        <v>9.9000000000000005E-2</v>
      </c>
      <c r="E45" s="11" t="s">
        <v>269</v>
      </c>
      <c r="F45" s="11">
        <f t="shared" si="0"/>
        <v>0.76332128488395357</v>
      </c>
    </row>
    <row r="46" spans="1:6" x14ac:dyDescent="0.25">
      <c r="A46" s="6" t="s">
        <v>143</v>
      </c>
      <c r="B46" s="6" t="s">
        <v>94</v>
      </c>
      <c r="C46" s="11">
        <f>SUMIFS('all_csv_SYSHECF-hard-coal'!AC:AC,'all_csv_SYSHECF-hard-coal'!Y:Y,'CF coal 2023-2024'!B46)/8760</f>
        <v>0.52773563366350373</v>
      </c>
      <c r="D46" s="11">
        <f>SUMIFS('EIA data'!C:C,'EIA data'!A:A,"coal",'EIA data'!S:S,'CF coal 2023-2024'!A46)/100</f>
        <v>0.70599999999999996</v>
      </c>
      <c r="E46" s="11" t="s">
        <v>269</v>
      </c>
      <c r="F46" s="11">
        <f t="shared" si="0"/>
        <v>1</v>
      </c>
    </row>
    <row r="47" spans="1:6" x14ac:dyDescent="0.25">
      <c r="A47" s="6" t="s">
        <v>144</v>
      </c>
      <c r="B47" s="6" t="s">
        <v>96</v>
      </c>
      <c r="C47" s="11">
        <f>SUMIFS('all_csv_SYSHECF-hard-coal'!AC:AC,'all_csv_SYSHECF-hard-coal'!Y:Y,'CF coal 2023-2024'!B47)/8760</f>
        <v>0.407953764100626</v>
      </c>
      <c r="D47" s="11">
        <f>SUMIFS('EIA data'!C:C,'EIA data'!A:A,"coal",'EIA data'!S:S,'CF coal 2023-2024'!A47)/100</f>
        <v>0.41</v>
      </c>
      <c r="E47" s="11" t="s">
        <v>269</v>
      </c>
      <c r="F47" s="11">
        <f t="shared" si="0"/>
        <v>0.95476505985596383</v>
      </c>
    </row>
    <row r="48" spans="1:6" x14ac:dyDescent="0.25">
      <c r="A48" s="6" t="s">
        <v>145</v>
      </c>
      <c r="B48" s="6" t="s">
        <v>95</v>
      </c>
      <c r="C48" s="11">
        <f>SUMIFS('all_csv_SYSHECF-hard-coal'!AC:AC,'all_csv_SYSHECF-hard-coal'!Y:Y,'CF coal 2023-2024'!B48)/8760</f>
        <v>0.58269108347884058</v>
      </c>
      <c r="D48" s="11">
        <f>SUMIFS('EIA data'!C:C,'EIA data'!A:A,"coal",'EIA data'!S:S,'CF coal 2023-2024'!A48)/100</f>
        <v>0.46200000000000002</v>
      </c>
      <c r="E48" s="11" t="s">
        <v>269</v>
      </c>
      <c r="F48" s="11">
        <f t="shared" si="0"/>
        <v>0.75322930527722398</v>
      </c>
    </row>
    <row r="49" spans="1:6" x14ac:dyDescent="0.25">
      <c r="A49" s="6" t="s">
        <v>146</v>
      </c>
      <c r="B49" s="6" t="s">
        <v>97</v>
      </c>
      <c r="C49" s="11">
        <f>SUMIFS('all_csv_SYSHECF-hard-coal'!AC:AC,'all_csv_SYSHECF-hard-coal'!Y:Y,'CF coal 2023-2024'!B49)/8760</f>
        <v>0.60255642022872813</v>
      </c>
      <c r="D49" s="11">
        <f>SUMIFS('EIA data'!C:C,'EIA data'!A:A,"coal",'EIA data'!S:S,'CF coal 2023-2024'!A49)/100</f>
        <v>0.58399999999999996</v>
      </c>
      <c r="E49" s="11" t="s">
        <v>269</v>
      </c>
      <c r="F49" s="11">
        <f t="shared" si="0"/>
        <v>0.92074365382979406</v>
      </c>
    </row>
  </sheetData>
  <conditionalFormatting sqref="E2:E49">
    <cfRule type="containsText" dxfId="1" priority="1" operator="containsText" text="y">
      <formula>NOT(ISERROR(SEARCH("y",E2)))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5EF2-9CE0-47A7-811B-D010884E9363}">
  <sheetPr>
    <tabColor theme="5" tint="0.39997558519241921"/>
  </sheetPr>
  <dimension ref="A1:G49"/>
  <sheetViews>
    <sheetView topLeftCell="A16" workbookViewId="0">
      <selection activeCell="A46" sqref="A46"/>
    </sheetView>
  </sheetViews>
  <sheetFormatPr defaultRowHeight="15" x14ac:dyDescent="0.25"/>
  <cols>
    <col min="1" max="2" width="12.7109375" bestFit="1" customWidth="1"/>
  </cols>
  <sheetData>
    <row r="1" spans="1:7" x14ac:dyDescent="0.25">
      <c r="A1" s="16" t="s">
        <v>271</v>
      </c>
      <c r="B1">
        <v>2023</v>
      </c>
      <c r="C1">
        <v>2024</v>
      </c>
      <c r="D1">
        <v>2025</v>
      </c>
      <c r="E1">
        <v>2026</v>
      </c>
      <c r="F1">
        <v>2027</v>
      </c>
      <c r="G1">
        <v>2028</v>
      </c>
    </row>
    <row r="2" spans="1:7" x14ac:dyDescent="0.25">
      <c r="A2" s="6" t="s">
        <v>98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s="6" t="s">
        <v>42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s="6" t="s">
        <v>100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s="6" t="s">
        <v>101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7" x14ac:dyDescent="0.25">
      <c r="A6" s="6" t="s">
        <v>102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s="6" t="s">
        <v>103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s="6" t="s">
        <v>104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 s="6" t="s">
        <v>105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s="6" t="s">
        <v>106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6" t="s">
        <v>108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6" t="s">
        <v>109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6" t="s">
        <v>110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6" t="s">
        <v>111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6" t="s">
        <v>112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s="6" t="s">
        <v>113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s="6" t="s">
        <v>114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s="6" t="s">
        <v>115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s="6" t="s">
        <v>116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s="6" t="s">
        <v>117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s="6" t="s">
        <v>118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s="6" t="s">
        <v>119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s="6" t="s">
        <v>120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s="6" t="s">
        <v>121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s="6" t="s">
        <v>122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s="6" t="s">
        <v>123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s="6" t="s">
        <v>124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s="6" t="s">
        <v>125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s="6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s="6" t="s">
        <v>127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s="6" t="s">
        <v>128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s="6" t="s">
        <v>129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s="6" t="s">
        <v>130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s="6" t="s">
        <v>131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s="6" t="s">
        <v>132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s="6" t="s">
        <v>133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6" t="s">
        <v>134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s="6" t="s">
        <v>135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s="6" t="s">
        <v>136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5">
      <c r="A40" s="6" t="s">
        <v>137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5">
      <c r="A41" s="6" t="s">
        <v>138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s="6" t="s">
        <v>139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5">
      <c r="A43" s="6" t="s">
        <v>140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</row>
    <row r="44" spans="1:7" x14ac:dyDescent="0.25">
      <c r="A44" s="6" t="s">
        <v>141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s="6" t="s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5">
      <c r="A46" s="6" t="s">
        <v>143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s="6" t="s">
        <v>144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6" t="s">
        <v>145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5">
      <c r="A49" s="6" t="s">
        <v>146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</sheetData>
  <conditionalFormatting sqref="B2:G49">
    <cfRule type="cellIs" dxfId="0" priority="1" operator="greaterThan">
      <formula>0.5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F25"/>
  <sheetViews>
    <sheetView tabSelected="1" workbookViewId="0">
      <selection activeCell="F6" sqref="F6"/>
    </sheetView>
  </sheetViews>
  <sheetFormatPr defaultColWidth="8.85546875" defaultRowHeight="15" x14ac:dyDescent="0.25"/>
  <cols>
    <col min="1" max="1" width="27.42578125" customWidth="1"/>
  </cols>
  <sheetData>
    <row r="1" spans="1:32" ht="30" x14ac:dyDescent="0.25">
      <c r="A1" s="17" t="s">
        <v>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14</v>
      </c>
      <c r="B2" s="18">
        <f>SUMIFS('coal and gas factors'!B:B,'coal and gas factors'!A:A,About!$B$2)</f>
        <v>0</v>
      </c>
      <c r="C2" s="18">
        <f>B2</f>
        <v>0</v>
      </c>
      <c r="D2" s="18">
        <f t="shared" ref="D2" si="0">C2</f>
        <v>0</v>
      </c>
      <c r="E2" s="19">
        <f>SUMIFS('CF coal 2023-2024'!F:F,'CF coal 2023-2024'!B:B,About!$B$2)</f>
        <v>0.95476505985596383</v>
      </c>
      <c r="F2" s="19">
        <f>E2</f>
        <v>0.95476505985596383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22</v>
      </c>
      <c r="B3" s="18">
        <f>SUMIFS('start year state specific CF'!$D:$D,'start year state specific CF'!$B:$B,About!$B$2)</f>
        <v>1</v>
      </c>
      <c r="C3" s="18">
        <f>B3</f>
        <v>1</v>
      </c>
      <c r="D3" s="18">
        <f t="shared" ref="D3:E4" si="1">C3</f>
        <v>1</v>
      </c>
      <c r="E3" s="18">
        <f t="shared" si="1"/>
        <v>1</v>
      </c>
      <c r="F3">
        <v>0</v>
      </c>
      <c r="G3">
        <f t="shared" ref="G3:V25" si="2">F3</f>
        <v>0</v>
      </c>
      <c r="H3">
        <f t="shared" si="2"/>
        <v>0</v>
      </c>
      <c r="I3">
        <f t="shared" si="2"/>
        <v>0</v>
      </c>
      <c r="J3">
        <f t="shared" si="2"/>
        <v>0</v>
      </c>
      <c r="K3">
        <f t="shared" si="2"/>
        <v>0</v>
      </c>
      <c r="L3">
        <f t="shared" si="2"/>
        <v>0</v>
      </c>
      <c r="M3">
        <f t="shared" si="2"/>
        <v>0</v>
      </c>
      <c r="N3">
        <f t="shared" si="2"/>
        <v>0</v>
      </c>
      <c r="O3">
        <f t="shared" si="2"/>
        <v>0</v>
      </c>
      <c r="P3">
        <f t="shared" si="2"/>
        <v>0</v>
      </c>
      <c r="Q3">
        <f t="shared" si="2"/>
        <v>0</v>
      </c>
      <c r="R3">
        <f t="shared" si="2"/>
        <v>0</v>
      </c>
      <c r="S3">
        <f t="shared" si="2"/>
        <v>0</v>
      </c>
      <c r="T3">
        <f t="shared" si="2"/>
        <v>0</v>
      </c>
      <c r="U3">
        <f t="shared" si="2"/>
        <v>0</v>
      </c>
      <c r="V3">
        <f t="shared" si="2"/>
        <v>0</v>
      </c>
      <c r="W3">
        <f t="shared" ref="H3:AF11" si="3">V3</f>
        <v>0</v>
      </c>
      <c r="X3">
        <f t="shared" si="3"/>
        <v>0</v>
      </c>
      <c r="Y3">
        <f t="shared" si="3"/>
        <v>0</v>
      </c>
      <c r="Z3">
        <f t="shared" si="3"/>
        <v>0</v>
      </c>
      <c r="AA3">
        <f t="shared" si="3"/>
        <v>0</v>
      </c>
      <c r="AB3">
        <f t="shared" si="3"/>
        <v>0</v>
      </c>
      <c r="AC3">
        <f t="shared" si="3"/>
        <v>0</v>
      </c>
      <c r="AD3">
        <f t="shared" si="3"/>
        <v>0</v>
      </c>
      <c r="AE3">
        <f t="shared" si="3"/>
        <v>0</v>
      </c>
      <c r="AF3">
        <f t="shared" si="3"/>
        <v>0</v>
      </c>
    </row>
    <row r="4" spans="1:32" x14ac:dyDescent="0.25">
      <c r="A4" t="s">
        <v>23</v>
      </c>
      <c r="B4" s="18">
        <f>SUMIFS('coal and gas factors'!C:C,'coal and gas factors'!A:A,About!$B$2)</f>
        <v>0.7</v>
      </c>
      <c r="C4" s="18">
        <f>B4</f>
        <v>0.7</v>
      </c>
      <c r="D4" s="18">
        <f t="shared" si="1"/>
        <v>0.7</v>
      </c>
      <c r="E4" s="19">
        <f>SUMIFS('CF nat gas 2023-2024'!B:B,'CF nat gas 2023-2024'!$A:$A,About!$B$1)</f>
        <v>0</v>
      </c>
      <c r="F4" s="19">
        <f>SUMIFS('CF nat gas 2023-2024'!C:C,'CF nat gas 2023-2024'!$A:$A,About!$B$1)</f>
        <v>0</v>
      </c>
      <c r="G4" s="19">
        <f>SUMIFS('CF nat gas 2023-2024'!D:D,'CF nat gas 2023-2024'!$A:$A,About!$B$1)</f>
        <v>0</v>
      </c>
      <c r="H4" s="19">
        <f>SUMIFS('CF nat gas 2023-2024'!E:E,'CF nat gas 2023-2024'!$A:$A,About!$B$1)</f>
        <v>0</v>
      </c>
      <c r="I4" s="19">
        <f>SUMIFS('CF nat gas 2023-2024'!F:F,'CF nat gas 2023-2024'!$A:$A,About!$B$1)</f>
        <v>0</v>
      </c>
      <c r="J4" s="19">
        <f>SUMIFS('CF nat gas 2023-2024'!G:G,'CF nat gas 2023-2024'!$A:$A,About!$B$1)</f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</v>
      </c>
      <c r="B5" s="18">
        <f>SUMIFS('start year state specific CF'!G:G,'start year state specific CF'!B:B,About!B2)</f>
        <v>1</v>
      </c>
      <c r="C5" s="18">
        <f>B5</f>
        <v>1</v>
      </c>
      <c r="D5" s="20">
        <v>1</v>
      </c>
      <c r="E5" s="20">
        <v>1</v>
      </c>
      <c r="F5">
        <v>1</v>
      </c>
      <c r="G5">
        <f t="shared" si="2"/>
        <v>1</v>
      </c>
      <c r="H5">
        <f t="shared" si="3"/>
        <v>1</v>
      </c>
      <c r="I5">
        <f t="shared" si="3"/>
        <v>1</v>
      </c>
      <c r="J5">
        <f t="shared" si="3"/>
        <v>1</v>
      </c>
      <c r="K5">
        <f t="shared" si="3"/>
        <v>1</v>
      </c>
      <c r="L5">
        <f t="shared" si="3"/>
        <v>1</v>
      </c>
      <c r="M5">
        <f t="shared" si="3"/>
        <v>1</v>
      </c>
      <c r="N5">
        <f t="shared" si="3"/>
        <v>1</v>
      </c>
      <c r="O5">
        <f t="shared" si="3"/>
        <v>1</v>
      </c>
      <c r="P5">
        <f t="shared" si="3"/>
        <v>1</v>
      </c>
      <c r="Q5">
        <f t="shared" si="3"/>
        <v>1</v>
      </c>
      <c r="R5">
        <f t="shared" si="3"/>
        <v>1</v>
      </c>
      <c r="S5">
        <f t="shared" si="3"/>
        <v>1</v>
      </c>
      <c r="T5">
        <f t="shared" si="3"/>
        <v>1</v>
      </c>
      <c r="U5">
        <f t="shared" si="3"/>
        <v>1</v>
      </c>
      <c r="V5">
        <f t="shared" si="3"/>
        <v>1</v>
      </c>
      <c r="W5">
        <f t="shared" si="3"/>
        <v>1</v>
      </c>
      <c r="X5">
        <f t="shared" si="3"/>
        <v>1</v>
      </c>
      <c r="Y5">
        <f t="shared" si="3"/>
        <v>1</v>
      </c>
      <c r="Z5">
        <f t="shared" si="3"/>
        <v>1</v>
      </c>
      <c r="AA5">
        <f t="shared" si="3"/>
        <v>1</v>
      </c>
      <c r="AB5">
        <f t="shared" si="3"/>
        <v>1</v>
      </c>
      <c r="AC5">
        <f t="shared" si="3"/>
        <v>1</v>
      </c>
      <c r="AD5">
        <f t="shared" si="3"/>
        <v>1</v>
      </c>
      <c r="AE5">
        <f t="shared" si="3"/>
        <v>1</v>
      </c>
      <c r="AF5">
        <f t="shared" si="3"/>
        <v>1</v>
      </c>
    </row>
    <row r="6" spans="1:32" x14ac:dyDescent="0.25">
      <c r="A6" t="s">
        <v>2</v>
      </c>
      <c r="B6" s="18">
        <f>SUMIFS('start year state specific CF'!$H:$H,'start year state specific CF'!$B:$B,About!$B$2)</f>
        <v>0.9</v>
      </c>
      <c r="C6" s="18">
        <f>SUMIFS('start year state specific CF'!$H:$H,'start year state specific CF'!$B:$B,About!$B$2)</f>
        <v>0.9</v>
      </c>
      <c r="D6" s="18">
        <f>SUMIFS('start year state specific CF'!$H:$H,'start year state specific CF'!$B:$B,About!$B$2)</f>
        <v>0.9</v>
      </c>
      <c r="E6" s="18">
        <f>SUMIFS('start year state specific CF'!$H:$H,'start year state specific CF'!$B:$B,About!$B$2)</f>
        <v>0.9</v>
      </c>
      <c r="F6">
        <f>E6</f>
        <v>0.9</v>
      </c>
      <c r="G6">
        <f t="shared" si="2"/>
        <v>0.9</v>
      </c>
      <c r="H6">
        <f t="shared" si="3"/>
        <v>0.9</v>
      </c>
      <c r="I6">
        <f t="shared" si="3"/>
        <v>0.9</v>
      </c>
      <c r="J6">
        <f t="shared" si="3"/>
        <v>0.9</v>
      </c>
      <c r="K6">
        <f t="shared" si="3"/>
        <v>0.9</v>
      </c>
      <c r="L6">
        <f t="shared" si="3"/>
        <v>0.9</v>
      </c>
      <c r="M6">
        <f t="shared" si="3"/>
        <v>0.9</v>
      </c>
      <c r="N6">
        <f t="shared" si="3"/>
        <v>0.9</v>
      </c>
      <c r="O6">
        <f t="shared" si="3"/>
        <v>0.9</v>
      </c>
      <c r="P6">
        <f t="shared" si="3"/>
        <v>0.9</v>
      </c>
      <c r="Q6">
        <f t="shared" si="3"/>
        <v>0.9</v>
      </c>
      <c r="R6">
        <f t="shared" si="3"/>
        <v>0.9</v>
      </c>
      <c r="S6">
        <f t="shared" si="3"/>
        <v>0.9</v>
      </c>
      <c r="T6">
        <f t="shared" si="3"/>
        <v>0.9</v>
      </c>
      <c r="U6">
        <f t="shared" si="3"/>
        <v>0.9</v>
      </c>
      <c r="V6">
        <f t="shared" si="3"/>
        <v>0.9</v>
      </c>
      <c r="W6">
        <f t="shared" si="3"/>
        <v>0.9</v>
      </c>
      <c r="X6">
        <f t="shared" si="3"/>
        <v>0.9</v>
      </c>
      <c r="Y6">
        <f t="shared" si="3"/>
        <v>0.9</v>
      </c>
      <c r="Z6">
        <f t="shared" si="3"/>
        <v>0.9</v>
      </c>
      <c r="AA6">
        <f t="shared" si="3"/>
        <v>0.9</v>
      </c>
      <c r="AB6">
        <f t="shared" si="3"/>
        <v>0.9</v>
      </c>
      <c r="AC6">
        <f t="shared" si="3"/>
        <v>0.9</v>
      </c>
      <c r="AD6">
        <f t="shared" si="3"/>
        <v>0.9</v>
      </c>
      <c r="AE6">
        <f t="shared" si="3"/>
        <v>0.9</v>
      </c>
      <c r="AF6">
        <f t="shared" si="3"/>
        <v>0.9</v>
      </c>
    </row>
    <row r="7" spans="1:32" x14ac:dyDescent="0.25">
      <c r="A7" t="s">
        <v>15</v>
      </c>
      <c r="B7" s="20">
        <v>1</v>
      </c>
      <c r="C7" s="20">
        <v>1</v>
      </c>
      <c r="D7" s="20">
        <v>1</v>
      </c>
      <c r="E7" s="20">
        <v>1</v>
      </c>
      <c r="F7">
        <v>0</v>
      </c>
      <c r="G7">
        <f t="shared" si="2"/>
        <v>0</v>
      </c>
      <c r="H7">
        <f t="shared" si="3"/>
        <v>0</v>
      </c>
      <c r="I7">
        <f t="shared" si="3"/>
        <v>0</v>
      </c>
      <c r="J7">
        <f t="shared" si="3"/>
        <v>0</v>
      </c>
      <c r="K7">
        <f t="shared" si="3"/>
        <v>0</v>
      </c>
      <c r="L7">
        <f t="shared" si="3"/>
        <v>0</v>
      </c>
      <c r="M7">
        <f t="shared" si="3"/>
        <v>0</v>
      </c>
      <c r="N7">
        <f t="shared" si="3"/>
        <v>0</v>
      </c>
      <c r="O7">
        <f t="shared" si="3"/>
        <v>0</v>
      </c>
      <c r="P7">
        <f t="shared" si="3"/>
        <v>0</v>
      </c>
      <c r="Q7">
        <f t="shared" si="3"/>
        <v>0</v>
      </c>
      <c r="R7">
        <f t="shared" si="3"/>
        <v>0</v>
      </c>
      <c r="S7">
        <f t="shared" si="3"/>
        <v>0</v>
      </c>
      <c r="T7">
        <f t="shared" si="3"/>
        <v>0</v>
      </c>
      <c r="U7">
        <f t="shared" si="3"/>
        <v>0</v>
      </c>
      <c r="V7">
        <f t="shared" si="3"/>
        <v>0</v>
      </c>
      <c r="W7">
        <f t="shared" si="3"/>
        <v>0</v>
      </c>
      <c r="X7">
        <f t="shared" si="3"/>
        <v>0</v>
      </c>
      <c r="Y7">
        <f t="shared" si="3"/>
        <v>0</v>
      </c>
      <c r="Z7">
        <f t="shared" si="3"/>
        <v>0</v>
      </c>
      <c r="AA7">
        <f t="shared" si="3"/>
        <v>0</v>
      </c>
      <c r="AB7">
        <f t="shared" si="3"/>
        <v>0</v>
      </c>
      <c r="AC7">
        <f t="shared" si="3"/>
        <v>0</v>
      </c>
      <c r="AD7">
        <f t="shared" si="3"/>
        <v>0</v>
      </c>
      <c r="AE7">
        <f t="shared" si="3"/>
        <v>0</v>
      </c>
      <c r="AF7">
        <f t="shared" si="3"/>
        <v>0</v>
      </c>
    </row>
    <row r="8" spans="1:32" x14ac:dyDescent="0.25">
      <c r="A8" t="s">
        <v>3</v>
      </c>
      <c r="B8" s="20">
        <v>1</v>
      </c>
      <c r="C8" s="20">
        <v>1</v>
      </c>
      <c r="D8" s="20">
        <v>1</v>
      </c>
      <c r="E8" s="20">
        <v>1</v>
      </c>
      <c r="F8">
        <v>0</v>
      </c>
      <c r="G8">
        <f t="shared" si="2"/>
        <v>0</v>
      </c>
      <c r="H8">
        <f t="shared" si="3"/>
        <v>0</v>
      </c>
      <c r="I8">
        <f t="shared" si="3"/>
        <v>0</v>
      </c>
      <c r="J8">
        <f t="shared" si="3"/>
        <v>0</v>
      </c>
      <c r="K8">
        <f t="shared" si="3"/>
        <v>0</v>
      </c>
      <c r="L8">
        <f t="shared" si="3"/>
        <v>0</v>
      </c>
      <c r="M8">
        <f t="shared" si="3"/>
        <v>0</v>
      </c>
      <c r="N8">
        <f t="shared" si="3"/>
        <v>0</v>
      </c>
      <c r="O8">
        <f t="shared" si="3"/>
        <v>0</v>
      </c>
      <c r="P8">
        <f t="shared" si="3"/>
        <v>0</v>
      </c>
      <c r="Q8">
        <f t="shared" si="3"/>
        <v>0</v>
      </c>
      <c r="R8">
        <f t="shared" si="3"/>
        <v>0</v>
      </c>
      <c r="S8">
        <f t="shared" si="3"/>
        <v>0</v>
      </c>
      <c r="T8">
        <f t="shared" si="3"/>
        <v>0</v>
      </c>
      <c r="U8">
        <f t="shared" si="3"/>
        <v>0</v>
      </c>
      <c r="V8">
        <f t="shared" si="3"/>
        <v>0</v>
      </c>
      <c r="W8">
        <f t="shared" si="3"/>
        <v>0</v>
      </c>
      <c r="X8">
        <f t="shared" si="3"/>
        <v>0</v>
      </c>
      <c r="Y8">
        <f t="shared" si="3"/>
        <v>0</v>
      </c>
      <c r="Z8">
        <f t="shared" si="3"/>
        <v>0</v>
      </c>
      <c r="AA8">
        <f t="shared" si="3"/>
        <v>0</v>
      </c>
      <c r="AB8">
        <f t="shared" si="3"/>
        <v>0</v>
      </c>
      <c r="AC8">
        <f t="shared" si="3"/>
        <v>0</v>
      </c>
      <c r="AD8">
        <f t="shared" si="3"/>
        <v>0</v>
      </c>
      <c r="AE8">
        <f t="shared" si="3"/>
        <v>0</v>
      </c>
      <c r="AF8">
        <f t="shared" si="3"/>
        <v>0</v>
      </c>
    </row>
    <row r="9" spans="1:32" x14ac:dyDescent="0.25">
      <c r="A9" t="s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f t="shared" si="2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0</v>
      </c>
      <c r="T9">
        <f t="shared" si="3"/>
        <v>0</v>
      </c>
      <c r="U9">
        <f t="shared" si="3"/>
        <v>0</v>
      </c>
      <c r="V9">
        <f t="shared" si="3"/>
        <v>0</v>
      </c>
      <c r="W9">
        <f t="shared" si="3"/>
        <v>0</v>
      </c>
      <c r="X9">
        <f t="shared" si="3"/>
        <v>0</v>
      </c>
      <c r="Y9">
        <f t="shared" si="3"/>
        <v>0</v>
      </c>
      <c r="Z9">
        <f t="shared" si="3"/>
        <v>0</v>
      </c>
      <c r="AA9">
        <f t="shared" si="3"/>
        <v>0</v>
      </c>
      <c r="AB9">
        <f t="shared" si="3"/>
        <v>0</v>
      </c>
      <c r="AC9">
        <f t="shared" si="3"/>
        <v>0</v>
      </c>
      <c r="AD9">
        <f t="shared" si="3"/>
        <v>0</v>
      </c>
      <c r="AE9">
        <f t="shared" si="3"/>
        <v>0</v>
      </c>
      <c r="AF9">
        <f t="shared" si="3"/>
        <v>0</v>
      </c>
    </row>
    <row r="10" spans="1:32" x14ac:dyDescent="0.25">
      <c r="A10" t="s">
        <v>5</v>
      </c>
      <c r="B10" s="20">
        <v>1</v>
      </c>
      <c r="C10" s="20">
        <v>1</v>
      </c>
      <c r="D10" s="20">
        <v>1</v>
      </c>
      <c r="E10" s="20">
        <v>1</v>
      </c>
      <c r="F10">
        <v>1</v>
      </c>
      <c r="G10">
        <f t="shared" si="2"/>
        <v>1</v>
      </c>
      <c r="H10">
        <f t="shared" si="3"/>
        <v>1</v>
      </c>
      <c r="I10">
        <f t="shared" si="3"/>
        <v>1</v>
      </c>
      <c r="J10">
        <f t="shared" si="3"/>
        <v>1</v>
      </c>
      <c r="K10">
        <f t="shared" si="3"/>
        <v>1</v>
      </c>
      <c r="L10">
        <f t="shared" si="3"/>
        <v>1</v>
      </c>
      <c r="M10">
        <f t="shared" si="3"/>
        <v>1</v>
      </c>
      <c r="N10">
        <f t="shared" si="3"/>
        <v>1</v>
      </c>
      <c r="O10">
        <f t="shared" si="3"/>
        <v>1</v>
      </c>
      <c r="P10">
        <f t="shared" si="3"/>
        <v>1</v>
      </c>
      <c r="Q10">
        <f t="shared" si="3"/>
        <v>1</v>
      </c>
      <c r="R10">
        <f t="shared" si="3"/>
        <v>1</v>
      </c>
      <c r="S10">
        <f t="shared" si="3"/>
        <v>1</v>
      </c>
      <c r="T10">
        <f t="shared" si="3"/>
        <v>1</v>
      </c>
      <c r="U10">
        <f t="shared" si="3"/>
        <v>1</v>
      </c>
      <c r="V10">
        <f t="shared" si="3"/>
        <v>1</v>
      </c>
      <c r="W10">
        <f t="shared" si="3"/>
        <v>1</v>
      </c>
      <c r="X10">
        <f t="shared" si="3"/>
        <v>1</v>
      </c>
      <c r="Y10">
        <f t="shared" si="3"/>
        <v>1</v>
      </c>
      <c r="Z10">
        <f t="shared" si="3"/>
        <v>1</v>
      </c>
      <c r="AA10">
        <f t="shared" si="3"/>
        <v>1</v>
      </c>
      <c r="AB10">
        <f t="shared" si="3"/>
        <v>1</v>
      </c>
      <c r="AC10">
        <f t="shared" si="3"/>
        <v>1</v>
      </c>
      <c r="AD10">
        <f t="shared" si="3"/>
        <v>1</v>
      </c>
      <c r="AE10">
        <f t="shared" si="3"/>
        <v>1</v>
      </c>
      <c r="AF10">
        <f t="shared" si="3"/>
        <v>1</v>
      </c>
    </row>
    <row r="11" spans="1:32" x14ac:dyDescent="0.25">
      <c r="A11" t="s">
        <v>7</v>
      </c>
      <c r="B11" s="20">
        <v>1</v>
      </c>
      <c r="C11" s="20">
        <v>1</v>
      </c>
      <c r="D11" s="20">
        <v>1</v>
      </c>
      <c r="E11" s="20">
        <v>1</v>
      </c>
      <c r="F11">
        <v>1</v>
      </c>
      <c r="G11">
        <f t="shared" si="2"/>
        <v>1</v>
      </c>
      <c r="H11">
        <f t="shared" si="3"/>
        <v>1</v>
      </c>
      <c r="I11">
        <f t="shared" si="3"/>
        <v>1</v>
      </c>
      <c r="J11">
        <f t="shared" si="3"/>
        <v>1</v>
      </c>
      <c r="K11">
        <f t="shared" si="3"/>
        <v>1</v>
      </c>
      <c r="L11">
        <f t="shared" si="3"/>
        <v>1</v>
      </c>
      <c r="M11">
        <f t="shared" si="3"/>
        <v>1</v>
      </c>
      <c r="N11">
        <f t="shared" si="3"/>
        <v>1</v>
      </c>
      <c r="O11">
        <f t="shared" si="3"/>
        <v>1</v>
      </c>
      <c r="P11">
        <f t="shared" si="3"/>
        <v>1</v>
      </c>
      <c r="Q11">
        <f t="shared" si="3"/>
        <v>1</v>
      </c>
      <c r="R11">
        <f t="shared" si="3"/>
        <v>1</v>
      </c>
      <c r="S11">
        <f t="shared" si="3"/>
        <v>1</v>
      </c>
      <c r="T11">
        <f t="shared" si="3"/>
        <v>1</v>
      </c>
      <c r="U11">
        <f t="shared" si="3"/>
        <v>1</v>
      </c>
      <c r="V11">
        <f t="shared" si="3"/>
        <v>1</v>
      </c>
      <c r="W11">
        <f t="shared" si="3"/>
        <v>1</v>
      </c>
      <c r="X11">
        <f t="shared" si="3"/>
        <v>1</v>
      </c>
      <c r="Y11">
        <f t="shared" si="3"/>
        <v>1</v>
      </c>
      <c r="Z11">
        <f t="shared" si="3"/>
        <v>1</v>
      </c>
      <c r="AA11">
        <f t="shared" si="3"/>
        <v>1</v>
      </c>
      <c r="AB11">
        <f t="shared" si="3"/>
        <v>1</v>
      </c>
      <c r="AC11">
        <f t="shared" si="3"/>
        <v>1</v>
      </c>
      <c r="AD11">
        <f t="shared" si="3"/>
        <v>1</v>
      </c>
      <c r="AE11">
        <f t="shared" si="3"/>
        <v>1</v>
      </c>
      <c r="AF11">
        <f t="shared" si="3"/>
        <v>1</v>
      </c>
    </row>
    <row r="12" spans="1:32" x14ac:dyDescent="0.25">
      <c r="A12" t="s">
        <v>8</v>
      </c>
      <c r="B12">
        <f>C12</f>
        <v>1</v>
      </c>
      <c r="C12" s="21">
        <f>SUMIFS('start year state specific CF'!I:I,'start year state specific CF'!B:B,About!$B$2)</f>
        <v>1</v>
      </c>
      <c r="D12" s="20">
        <v>0.5</v>
      </c>
      <c r="E12" s="20">
        <v>0.5</v>
      </c>
      <c r="F12" s="20">
        <v>0.5</v>
      </c>
      <c r="G12" s="20">
        <v>0.5</v>
      </c>
      <c r="H12" s="20">
        <v>0.5</v>
      </c>
      <c r="I12" s="20">
        <v>0.5</v>
      </c>
      <c r="J12" s="20">
        <v>0.5</v>
      </c>
      <c r="K12" s="20">
        <v>0.5</v>
      </c>
      <c r="L12" s="20">
        <v>0.5</v>
      </c>
      <c r="M12" s="20">
        <v>0.5</v>
      </c>
      <c r="N12" s="20">
        <v>0.5</v>
      </c>
      <c r="O12" s="20">
        <v>0.5</v>
      </c>
      <c r="P12" s="20">
        <v>0.5</v>
      </c>
      <c r="Q12" s="20">
        <v>0.5</v>
      </c>
      <c r="R12" s="20">
        <v>0.5</v>
      </c>
      <c r="S12" s="20">
        <v>0.5</v>
      </c>
      <c r="T12" s="20">
        <v>0.5</v>
      </c>
      <c r="U12" s="20">
        <v>0.5</v>
      </c>
      <c r="V12" s="20">
        <v>0.5</v>
      </c>
      <c r="W12" s="20">
        <v>0.5</v>
      </c>
      <c r="X12" s="20">
        <v>0.5</v>
      </c>
      <c r="Y12" s="20">
        <v>0.5</v>
      </c>
      <c r="Z12" s="20">
        <v>0.5</v>
      </c>
      <c r="AA12" s="20">
        <v>0.5</v>
      </c>
      <c r="AB12" s="20">
        <v>0.5</v>
      </c>
      <c r="AC12" s="20">
        <v>0.5</v>
      </c>
      <c r="AD12" s="20">
        <v>0.5</v>
      </c>
      <c r="AE12" s="20">
        <v>0.5</v>
      </c>
      <c r="AF12" s="20">
        <v>0.5</v>
      </c>
    </row>
    <row r="13" spans="1:32" x14ac:dyDescent="0.25">
      <c r="A13" t="s">
        <v>9</v>
      </c>
      <c r="B13" s="21">
        <f>SUMIFS('start year state specific CF'!F:F,'start year state specific CF'!B:B,About!B2)</f>
        <v>1</v>
      </c>
      <c r="C13" s="21">
        <f>B13</f>
        <v>1</v>
      </c>
      <c r="D13" s="20">
        <v>0.5</v>
      </c>
      <c r="E13" s="20">
        <v>0.5</v>
      </c>
      <c r="F13" s="20">
        <v>0.5</v>
      </c>
      <c r="G13" s="20">
        <v>0.5</v>
      </c>
      <c r="H13" s="20">
        <v>0.5</v>
      </c>
      <c r="I13" s="20">
        <v>0.5</v>
      </c>
      <c r="J13" s="20">
        <v>0.5</v>
      </c>
      <c r="K13" s="20">
        <v>0.5</v>
      </c>
      <c r="L13" s="20">
        <v>0.5</v>
      </c>
      <c r="M13" s="20">
        <v>0.5</v>
      </c>
      <c r="N13" s="20">
        <v>0.5</v>
      </c>
      <c r="O13" s="20">
        <v>0.5</v>
      </c>
      <c r="P13" s="20">
        <v>0.5</v>
      </c>
      <c r="Q13" s="20">
        <v>0.5</v>
      </c>
      <c r="R13" s="20">
        <v>0.5</v>
      </c>
      <c r="S13" s="20">
        <v>0.5</v>
      </c>
      <c r="T13" s="20">
        <v>0.5</v>
      </c>
      <c r="U13" s="20">
        <v>0.5</v>
      </c>
      <c r="V13" s="20">
        <v>0.5</v>
      </c>
      <c r="W13" s="20">
        <v>0.5</v>
      </c>
      <c r="X13" s="20">
        <v>0.5</v>
      </c>
      <c r="Y13" s="20">
        <v>0.5</v>
      </c>
      <c r="Z13" s="20">
        <v>0.5</v>
      </c>
      <c r="AA13" s="20">
        <v>0.5</v>
      </c>
      <c r="AB13" s="20">
        <v>0.5</v>
      </c>
      <c r="AC13" s="20">
        <v>0.5</v>
      </c>
      <c r="AD13" s="20">
        <v>0.5</v>
      </c>
      <c r="AE13" s="20">
        <v>0.5</v>
      </c>
      <c r="AF13" s="20">
        <v>0.5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f t="shared" si="2"/>
        <v>0</v>
      </c>
      <c r="H14">
        <f t="shared" ref="H14:AF20" si="4">G14</f>
        <v>0</v>
      </c>
      <c r="I14">
        <f t="shared" si="4"/>
        <v>0</v>
      </c>
      <c r="J14">
        <f t="shared" si="4"/>
        <v>0</v>
      </c>
      <c r="K14">
        <f t="shared" si="4"/>
        <v>0</v>
      </c>
      <c r="L14">
        <f t="shared" si="4"/>
        <v>0</v>
      </c>
      <c r="M14">
        <f t="shared" si="4"/>
        <v>0</v>
      </c>
      <c r="N14">
        <f t="shared" si="4"/>
        <v>0</v>
      </c>
      <c r="O14">
        <f t="shared" si="4"/>
        <v>0</v>
      </c>
      <c r="P14">
        <f t="shared" si="4"/>
        <v>0</v>
      </c>
      <c r="Q14">
        <f t="shared" si="4"/>
        <v>0</v>
      </c>
      <c r="R14">
        <f t="shared" si="4"/>
        <v>0</v>
      </c>
      <c r="S14">
        <f t="shared" si="4"/>
        <v>0</v>
      </c>
      <c r="T14">
        <f t="shared" si="4"/>
        <v>0</v>
      </c>
      <c r="U14">
        <f t="shared" si="4"/>
        <v>0</v>
      </c>
      <c r="V14">
        <f t="shared" si="4"/>
        <v>0</v>
      </c>
      <c r="W14">
        <f t="shared" si="4"/>
        <v>0</v>
      </c>
      <c r="X14">
        <f t="shared" si="4"/>
        <v>0</v>
      </c>
      <c r="Y14">
        <f t="shared" si="4"/>
        <v>0</v>
      </c>
      <c r="Z14">
        <f t="shared" si="4"/>
        <v>0</v>
      </c>
      <c r="AA14">
        <f t="shared" si="4"/>
        <v>0</v>
      </c>
      <c r="AB14">
        <f t="shared" si="4"/>
        <v>0</v>
      </c>
      <c r="AC14">
        <f t="shared" si="4"/>
        <v>0</v>
      </c>
      <c r="AD14">
        <f t="shared" si="4"/>
        <v>0</v>
      </c>
      <c r="AE14">
        <f t="shared" si="4"/>
        <v>0</v>
      </c>
      <c r="AF14">
        <f t="shared" si="4"/>
        <v>0</v>
      </c>
    </row>
    <row r="15" spans="1:32" x14ac:dyDescent="0.25">
      <c r="A15" t="s">
        <v>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</v>
      </c>
      <c r="B16" s="20">
        <f>SUMIFS('start year state specific CF'!J:J,'start year state specific CF'!B:B,About!$B$2)</f>
        <v>1</v>
      </c>
      <c r="C16" s="20">
        <f>B16</f>
        <v>1</v>
      </c>
      <c r="D16" s="20">
        <f t="shared" ref="D16:AF16" si="5">C16</f>
        <v>1</v>
      </c>
      <c r="E16" s="20">
        <f t="shared" si="5"/>
        <v>1</v>
      </c>
      <c r="F16" s="20">
        <f t="shared" si="5"/>
        <v>1</v>
      </c>
      <c r="G16" s="20">
        <f t="shared" si="5"/>
        <v>1</v>
      </c>
      <c r="H16" s="20">
        <f t="shared" si="5"/>
        <v>1</v>
      </c>
      <c r="I16" s="20">
        <f t="shared" si="5"/>
        <v>1</v>
      </c>
      <c r="J16" s="20">
        <f t="shared" si="5"/>
        <v>1</v>
      </c>
      <c r="K16" s="20">
        <f t="shared" si="5"/>
        <v>1</v>
      </c>
      <c r="L16" s="20">
        <f t="shared" si="5"/>
        <v>1</v>
      </c>
      <c r="M16" s="20">
        <f t="shared" si="5"/>
        <v>1</v>
      </c>
      <c r="N16" s="20">
        <f t="shared" si="5"/>
        <v>1</v>
      </c>
      <c r="O16" s="20">
        <f t="shared" si="5"/>
        <v>1</v>
      </c>
      <c r="P16" s="20">
        <f t="shared" si="5"/>
        <v>1</v>
      </c>
      <c r="Q16" s="20">
        <f t="shared" si="5"/>
        <v>1</v>
      </c>
      <c r="R16" s="20">
        <f t="shared" si="5"/>
        <v>1</v>
      </c>
      <c r="S16" s="20">
        <f t="shared" si="5"/>
        <v>1</v>
      </c>
      <c r="T16" s="20">
        <f t="shared" si="5"/>
        <v>1</v>
      </c>
      <c r="U16" s="20">
        <f t="shared" si="5"/>
        <v>1</v>
      </c>
      <c r="V16" s="20">
        <f t="shared" si="5"/>
        <v>1</v>
      </c>
      <c r="W16" s="20">
        <f t="shared" si="5"/>
        <v>1</v>
      </c>
      <c r="X16" s="20">
        <f t="shared" si="5"/>
        <v>1</v>
      </c>
      <c r="Y16" s="20">
        <f t="shared" si="5"/>
        <v>1</v>
      </c>
      <c r="Z16" s="20">
        <f t="shared" si="5"/>
        <v>1</v>
      </c>
      <c r="AA16" s="20">
        <f t="shared" si="5"/>
        <v>1</v>
      </c>
      <c r="AB16" s="20">
        <f t="shared" si="5"/>
        <v>1</v>
      </c>
      <c r="AC16" s="20">
        <f t="shared" si="5"/>
        <v>1</v>
      </c>
      <c r="AD16" s="20">
        <f t="shared" si="5"/>
        <v>1</v>
      </c>
      <c r="AE16" s="20">
        <f t="shared" si="5"/>
        <v>1</v>
      </c>
      <c r="AF16" s="20">
        <f t="shared" si="5"/>
        <v>1</v>
      </c>
    </row>
    <row r="17" spans="1:32" x14ac:dyDescent="0.25">
      <c r="A17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f t="shared" si="2"/>
        <v>0</v>
      </c>
      <c r="H17">
        <f t="shared" si="4"/>
        <v>0</v>
      </c>
      <c r="I17">
        <f t="shared" si="4"/>
        <v>0</v>
      </c>
      <c r="J17">
        <f t="shared" si="4"/>
        <v>0</v>
      </c>
      <c r="K17">
        <f t="shared" si="4"/>
        <v>0</v>
      </c>
      <c r="L17">
        <f t="shared" si="4"/>
        <v>0</v>
      </c>
      <c r="M17">
        <f t="shared" si="4"/>
        <v>0</v>
      </c>
      <c r="N17">
        <f t="shared" si="4"/>
        <v>0</v>
      </c>
      <c r="O17">
        <f t="shared" si="4"/>
        <v>0</v>
      </c>
      <c r="P17">
        <f t="shared" si="4"/>
        <v>0</v>
      </c>
      <c r="Q17">
        <f t="shared" si="4"/>
        <v>0</v>
      </c>
      <c r="R17">
        <f t="shared" si="4"/>
        <v>0</v>
      </c>
      <c r="S17">
        <f t="shared" si="4"/>
        <v>0</v>
      </c>
      <c r="T17">
        <f t="shared" si="4"/>
        <v>0</v>
      </c>
      <c r="U17">
        <f t="shared" si="4"/>
        <v>0</v>
      </c>
      <c r="V17">
        <f t="shared" si="4"/>
        <v>0</v>
      </c>
      <c r="W17">
        <f t="shared" si="4"/>
        <v>0</v>
      </c>
      <c r="X17">
        <f t="shared" si="4"/>
        <v>0</v>
      </c>
      <c r="Y17">
        <f t="shared" si="4"/>
        <v>0</v>
      </c>
      <c r="Z17">
        <f t="shared" si="4"/>
        <v>0</v>
      </c>
      <c r="AA17">
        <f t="shared" si="4"/>
        <v>0</v>
      </c>
      <c r="AB17">
        <f t="shared" si="4"/>
        <v>0</v>
      </c>
      <c r="AC17">
        <f t="shared" si="4"/>
        <v>0</v>
      </c>
      <c r="AD17">
        <f t="shared" si="4"/>
        <v>0</v>
      </c>
      <c r="AE17">
        <f t="shared" si="4"/>
        <v>0</v>
      </c>
      <c r="AF17">
        <f t="shared" si="4"/>
        <v>0</v>
      </c>
    </row>
    <row r="18" spans="1:32" x14ac:dyDescent="0.25">
      <c r="A18" t="s">
        <v>19</v>
      </c>
      <c r="B18">
        <v>0</v>
      </c>
      <c r="C18">
        <v>0</v>
      </c>
      <c r="D18">
        <v>0</v>
      </c>
      <c r="E18">
        <v>0</v>
      </c>
      <c r="F18">
        <v>0</v>
      </c>
      <c r="G18">
        <f t="shared" si="2"/>
        <v>0</v>
      </c>
      <c r="H18">
        <f t="shared" si="4"/>
        <v>0</v>
      </c>
      <c r="I18">
        <f t="shared" si="4"/>
        <v>0</v>
      </c>
      <c r="J18">
        <f t="shared" si="4"/>
        <v>0</v>
      </c>
      <c r="K18">
        <f t="shared" si="4"/>
        <v>0</v>
      </c>
      <c r="L18">
        <f t="shared" si="4"/>
        <v>0</v>
      </c>
      <c r="M18">
        <f t="shared" si="4"/>
        <v>0</v>
      </c>
      <c r="N18">
        <f t="shared" si="4"/>
        <v>0</v>
      </c>
      <c r="O18">
        <f t="shared" si="4"/>
        <v>0</v>
      </c>
      <c r="P18">
        <f t="shared" si="4"/>
        <v>0</v>
      </c>
      <c r="Q18">
        <f t="shared" si="4"/>
        <v>0</v>
      </c>
      <c r="R18">
        <f t="shared" si="4"/>
        <v>0</v>
      </c>
      <c r="S18">
        <f t="shared" si="4"/>
        <v>0</v>
      </c>
      <c r="T18">
        <f t="shared" si="4"/>
        <v>0</v>
      </c>
      <c r="U18">
        <f t="shared" si="4"/>
        <v>0</v>
      </c>
      <c r="V18">
        <f t="shared" si="4"/>
        <v>0</v>
      </c>
      <c r="W18">
        <f t="shared" si="4"/>
        <v>0</v>
      </c>
      <c r="X18">
        <f t="shared" si="4"/>
        <v>0</v>
      </c>
      <c r="Y18">
        <f t="shared" si="4"/>
        <v>0</v>
      </c>
      <c r="Z18">
        <f t="shared" si="4"/>
        <v>0</v>
      </c>
      <c r="AA18">
        <f t="shared" si="4"/>
        <v>0</v>
      </c>
      <c r="AB18">
        <f t="shared" si="4"/>
        <v>0</v>
      </c>
      <c r="AC18">
        <f t="shared" si="4"/>
        <v>0</v>
      </c>
      <c r="AD18">
        <f t="shared" si="4"/>
        <v>0</v>
      </c>
      <c r="AE18">
        <f t="shared" si="4"/>
        <v>0</v>
      </c>
      <c r="AF18">
        <f t="shared" si="4"/>
        <v>0</v>
      </c>
    </row>
    <row r="19" spans="1:32" x14ac:dyDescent="0.25">
      <c r="A19" t="s">
        <v>35</v>
      </c>
      <c r="B19">
        <v>0.15</v>
      </c>
      <c r="C19">
        <v>0.15</v>
      </c>
      <c r="D19">
        <v>0.15</v>
      </c>
      <c r="E19">
        <v>0.15</v>
      </c>
      <c r="F19">
        <v>0.15</v>
      </c>
      <c r="G19">
        <f t="shared" si="2"/>
        <v>0.15</v>
      </c>
      <c r="H19">
        <f t="shared" si="4"/>
        <v>0.15</v>
      </c>
      <c r="I19">
        <f t="shared" si="4"/>
        <v>0.15</v>
      </c>
      <c r="J19">
        <f t="shared" si="4"/>
        <v>0.15</v>
      </c>
      <c r="K19">
        <f t="shared" si="4"/>
        <v>0.15</v>
      </c>
      <c r="L19">
        <f t="shared" si="4"/>
        <v>0.15</v>
      </c>
      <c r="M19">
        <f t="shared" si="4"/>
        <v>0.15</v>
      </c>
      <c r="N19">
        <f t="shared" si="4"/>
        <v>0.15</v>
      </c>
      <c r="O19">
        <f t="shared" si="4"/>
        <v>0.15</v>
      </c>
      <c r="P19">
        <f t="shared" si="4"/>
        <v>0.15</v>
      </c>
      <c r="Q19">
        <f t="shared" si="4"/>
        <v>0.15</v>
      </c>
      <c r="R19">
        <f t="shared" si="4"/>
        <v>0.15</v>
      </c>
      <c r="S19">
        <f t="shared" si="4"/>
        <v>0.15</v>
      </c>
      <c r="T19">
        <f t="shared" si="4"/>
        <v>0.15</v>
      </c>
      <c r="U19">
        <f t="shared" si="4"/>
        <v>0.15</v>
      </c>
      <c r="V19">
        <f t="shared" si="4"/>
        <v>0.15</v>
      </c>
      <c r="W19">
        <f t="shared" si="4"/>
        <v>0.15</v>
      </c>
      <c r="X19">
        <f t="shared" si="4"/>
        <v>0.15</v>
      </c>
      <c r="Y19">
        <f t="shared" si="4"/>
        <v>0.15</v>
      </c>
      <c r="Z19">
        <f t="shared" si="4"/>
        <v>0.15</v>
      </c>
      <c r="AA19">
        <f t="shared" si="4"/>
        <v>0.15</v>
      </c>
      <c r="AB19">
        <f t="shared" si="4"/>
        <v>0.15</v>
      </c>
      <c r="AC19">
        <f t="shared" si="4"/>
        <v>0.15</v>
      </c>
      <c r="AD19">
        <f t="shared" si="4"/>
        <v>0.15</v>
      </c>
      <c r="AE19">
        <f t="shared" si="4"/>
        <v>0.15</v>
      </c>
      <c r="AF19">
        <f t="shared" si="4"/>
        <v>0.15</v>
      </c>
    </row>
    <row r="20" spans="1:32" x14ac:dyDescent="0.25">
      <c r="A20" t="s">
        <v>36</v>
      </c>
      <c r="B20">
        <v>0.15</v>
      </c>
      <c r="C20">
        <v>0.15</v>
      </c>
      <c r="D20">
        <v>0.15</v>
      </c>
      <c r="E20">
        <v>0.15</v>
      </c>
      <c r="F20">
        <v>0.15</v>
      </c>
      <c r="G20">
        <f t="shared" si="2"/>
        <v>0.15</v>
      </c>
      <c r="H20">
        <f t="shared" si="4"/>
        <v>0.15</v>
      </c>
      <c r="I20">
        <f t="shared" si="4"/>
        <v>0.15</v>
      </c>
      <c r="J20">
        <f t="shared" si="4"/>
        <v>0.15</v>
      </c>
      <c r="K20">
        <f t="shared" si="4"/>
        <v>0.15</v>
      </c>
      <c r="L20">
        <f t="shared" si="4"/>
        <v>0.15</v>
      </c>
      <c r="M20">
        <f t="shared" si="4"/>
        <v>0.15</v>
      </c>
      <c r="N20">
        <f t="shared" si="4"/>
        <v>0.15</v>
      </c>
      <c r="O20">
        <f t="shared" si="4"/>
        <v>0.15</v>
      </c>
      <c r="P20">
        <f t="shared" si="4"/>
        <v>0.15</v>
      </c>
      <c r="Q20">
        <f t="shared" si="4"/>
        <v>0.15</v>
      </c>
      <c r="R20">
        <f t="shared" si="4"/>
        <v>0.15</v>
      </c>
      <c r="S20">
        <f t="shared" si="4"/>
        <v>0.15</v>
      </c>
      <c r="T20">
        <f t="shared" si="4"/>
        <v>0.15</v>
      </c>
      <c r="U20">
        <f t="shared" si="4"/>
        <v>0.15</v>
      </c>
      <c r="V20">
        <f t="shared" si="4"/>
        <v>0.15</v>
      </c>
      <c r="W20">
        <f t="shared" si="4"/>
        <v>0.15</v>
      </c>
      <c r="X20">
        <f t="shared" si="4"/>
        <v>0.15</v>
      </c>
      <c r="Y20">
        <f t="shared" si="4"/>
        <v>0.15</v>
      </c>
      <c r="Z20">
        <f t="shared" si="4"/>
        <v>0.15</v>
      </c>
      <c r="AA20">
        <f t="shared" si="4"/>
        <v>0.15</v>
      </c>
      <c r="AB20">
        <f t="shared" si="4"/>
        <v>0.15</v>
      </c>
      <c r="AC20">
        <f t="shared" si="4"/>
        <v>0.15</v>
      </c>
      <c r="AD20">
        <f t="shared" si="4"/>
        <v>0.15</v>
      </c>
      <c r="AE20">
        <f t="shared" si="4"/>
        <v>0.15</v>
      </c>
      <c r="AF20">
        <f t="shared" si="4"/>
        <v>0.15</v>
      </c>
    </row>
    <row r="21" spans="1:32" x14ac:dyDescent="0.25">
      <c r="A21" t="s">
        <v>37</v>
      </c>
      <c r="B21">
        <v>0.15</v>
      </c>
      <c r="C21">
        <v>0.15</v>
      </c>
      <c r="D21">
        <v>0.15</v>
      </c>
      <c r="E21">
        <v>0.15</v>
      </c>
      <c r="F21">
        <v>0.15</v>
      </c>
      <c r="G21">
        <f t="shared" ref="G21:G22" si="6">F21</f>
        <v>0.15</v>
      </c>
      <c r="H21">
        <f t="shared" ref="H21:H22" si="7">G21</f>
        <v>0.15</v>
      </c>
      <c r="I21">
        <f t="shared" ref="I21:I22" si="8">H21</f>
        <v>0.15</v>
      </c>
      <c r="J21">
        <f t="shared" ref="J21:J22" si="9">I21</f>
        <v>0.15</v>
      </c>
      <c r="K21">
        <f t="shared" ref="K21:K22" si="10">J21</f>
        <v>0.15</v>
      </c>
      <c r="L21">
        <f t="shared" ref="L21:L22" si="11">K21</f>
        <v>0.15</v>
      </c>
      <c r="M21">
        <f t="shared" ref="M21:M22" si="12">L21</f>
        <v>0.15</v>
      </c>
      <c r="N21">
        <f t="shared" ref="N21:N22" si="13">M21</f>
        <v>0.15</v>
      </c>
      <c r="O21">
        <f t="shared" ref="O21:O22" si="14">N21</f>
        <v>0.15</v>
      </c>
      <c r="P21">
        <f t="shared" ref="P21:P22" si="15">O21</f>
        <v>0.15</v>
      </c>
      <c r="Q21">
        <f t="shared" ref="Q21:Q22" si="16">P21</f>
        <v>0.15</v>
      </c>
      <c r="R21">
        <f t="shared" ref="R21:R22" si="17">Q21</f>
        <v>0.15</v>
      </c>
      <c r="S21">
        <f t="shared" ref="S21:S22" si="18">R21</f>
        <v>0.15</v>
      </c>
      <c r="T21">
        <f t="shared" ref="T21:T22" si="19">S21</f>
        <v>0.15</v>
      </c>
      <c r="U21">
        <f t="shared" ref="U21:U22" si="20">T21</f>
        <v>0.15</v>
      </c>
      <c r="V21">
        <f t="shared" ref="V21:V22" si="21">U21</f>
        <v>0.15</v>
      </c>
      <c r="W21">
        <f t="shared" ref="W21:W22" si="22">V21</f>
        <v>0.15</v>
      </c>
      <c r="X21">
        <f t="shared" ref="X21:X22" si="23">W21</f>
        <v>0.15</v>
      </c>
      <c r="Y21">
        <f t="shared" ref="Y21:Y22" si="24">X21</f>
        <v>0.15</v>
      </c>
      <c r="Z21">
        <f t="shared" ref="Z21:Z22" si="25">Y21</f>
        <v>0.15</v>
      </c>
      <c r="AA21">
        <f t="shared" ref="AA21:AA22" si="26">Z21</f>
        <v>0.15</v>
      </c>
      <c r="AB21">
        <f t="shared" ref="AB21:AB22" si="27">AA21</f>
        <v>0.15</v>
      </c>
      <c r="AC21">
        <f t="shared" ref="AC21:AC22" si="28">AB21</f>
        <v>0.15</v>
      </c>
      <c r="AD21">
        <f t="shared" ref="AD21:AD22" si="29">AC21</f>
        <v>0.15</v>
      </c>
      <c r="AE21">
        <f t="shared" ref="AE21:AE22" si="30">AD21</f>
        <v>0.15</v>
      </c>
      <c r="AF21">
        <f t="shared" ref="AF21:AF22" si="31">AE21</f>
        <v>0.15</v>
      </c>
    </row>
    <row r="22" spans="1:32" x14ac:dyDescent="0.25">
      <c r="A22" t="s">
        <v>38</v>
      </c>
      <c r="B22">
        <v>0.15</v>
      </c>
      <c r="C22">
        <v>0.15</v>
      </c>
      <c r="D22">
        <v>0.15</v>
      </c>
      <c r="E22">
        <v>0.15</v>
      </c>
      <c r="F22">
        <v>0.15</v>
      </c>
      <c r="G22">
        <f t="shared" si="6"/>
        <v>0.15</v>
      </c>
      <c r="H22">
        <f t="shared" si="7"/>
        <v>0.15</v>
      </c>
      <c r="I22">
        <f t="shared" si="8"/>
        <v>0.15</v>
      </c>
      <c r="J22">
        <f t="shared" si="9"/>
        <v>0.15</v>
      </c>
      <c r="K22">
        <f t="shared" si="10"/>
        <v>0.15</v>
      </c>
      <c r="L22">
        <f t="shared" si="11"/>
        <v>0.15</v>
      </c>
      <c r="M22">
        <f t="shared" si="12"/>
        <v>0.15</v>
      </c>
      <c r="N22">
        <f t="shared" si="13"/>
        <v>0.15</v>
      </c>
      <c r="O22">
        <f t="shared" si="14"/>
        <v>0.15</v>
      </c>
      <c r="P22">
        <f t="shared" si="15"/>
        <v>0.15</v>
      </c>
      <c r="Q22">
        <f t="shared" si="16"/>
        <v>0.15</v>
      </c>
      <c r="R22">
        <f t="shared" si="17"/>
        <v>0.15</v>
      </c>
      <c r="S22">
        <f t="shared" si="18"/>
        <v>0.15</v>
      </c>
      <c r="T22">
        <f t="shared" si="19"/>
        <v>0.15</v>
      </c>
      <c r="U22">
        <f t="shared" si="20"/>
        <v>0.15</v>
      </c>
      <c r="V22">
        <f t="shared" si="21"/>
        <v>0.15</v>
      </c>
      <c r="W22">
        <f t="shared" si="22"/>
        <v>0.15</v>
      </c>
      <c r="X22">
        <f t="shared" si="23"/>
        <v>0.15</v>
      </c>
      <c r="Y22">
        <f t="shared" si="24"/>
        <v>0.15</v>
      </c>
      <c r="Z22">
        <f t="shared" si="25"/>
        <v>0.15</v>
      </c>
      <c r="AA22">
        <f t="shared" si="26"/>
        <v>0.15</v>
      </c>
      <c r="AB22">
        <f t="shared" si="27"/>
        <v>0.15</v>
      </c>
      <c r="AC22">
        <f t="shared" si="28"/>
        <v>0.15</v>
      </c>
      <c r="AD22">
        <f t="shared" si="29"/>
        <v>0.15</v>
      </c>
      <c r="AE22">
        <f t="shared" si="30"/>
        <v>0.15</v>
      </c>
      <c r="AF22">
        <f t="shared" si="31"/>
        <v>0.15</v>
      </c>
    </row>
    <row r="23" spans="1:32" x14ac:dyDescent="0.25">
      <c r="A23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f t="shared" si="2"/>
        <v>0</v>
      </c>
      <c r="H23">
        <f t="shared" ref="H23:AF25" si="32">G23</f>
        <v>0</v>
      </c>
      <c r="I23">
        <f t="shared" si="32"/>
        <v>0</v>
      </c>
      <c r="J23">
        <f t="shared" si="32"/>
        <v>0</v>
      </c>
      <c r="K23">
        <f t="shared" si="32"/>
        <v>0</v>
      </c>
      <c r="L23">
        <f t="shared" si="32"/>
        <v>0</v>
      </c>
      <c r="M23">
        <f t="shared" si="32"/>
        <v>0</v>
      </c>
      <c r="N23">
        <f t="shared" si="32"/>
        <v>0</v>
      </c>
      <c r="O23">
        <f t="shared" si="32"/>
        <v>0</v>
      </c>
      <c r="P23">
        <f t="shared" si="32"/>
        <v>0</v>
      </c>
      <c r="Q23">
        <f t="shared" si="32"/>
        <v>0</v>
      </c>
      <c r="R23">
        <f t="shared" si="32"/>
        <v>0</v>
      </c>
      <c r="S23">
        <f t="shared" si="32"/>
        <v>0</v>
      </c>
      <c r="T23">
        <f t="shared" si="32"/>
        <v>0</v>
      </c>
      <c r="U23">
        <f t="shared" si="32"/>
        <v>0</v>
      </c>
      <c r="V23">
        <f t="shared" si="32"/>
        <v>0</v>
      </c>
      <c r="W23">
        <f t="shared" si="32"/>
        <v>0</v>
      </c>
      <c r="X23">
        <f t="shared" si="32"/>
        <v>0</v>
      </c>
      <c r="Y23">
        <f t="shared" si="32"/>
        <v>0</v>
      </c>
      <c r="Z23">
        <f t="shared" si="32"/>
        <v>0</v>
      </c>
      <c r="AA23">
        <f t="shared" si="32"/>
        <v>0</v>
      </c>
      <c r="AB23">
        <f t="shared" si="32"/>
        <v>0</v>
      </c>
      <c r="AC23">
        <f t="shared" si="32"/>
        <v>0</v>
      </c>
      <c r="AD23">
        <f t="shared" si="32"/>
        <v>0</v>
      </c>
      <c r="AE23">
        <f t="shared" si="32"/>
        <v>0</v>
      </c>
      <c r="AF23">
        <f t="shared" si="32"/>
        <v>0</v>
      </c>
    </row>
    <row r="24" spans="1:32" x14ac:dyDescent="0.25">
      <c r="A24" s="22" t="s">
        <v>40</v>
      </c>
      <c r="B24">
        <v>1</v>
      </c>
      <c r="C24">
        <v>1</v>
      </c>
      <c r="D24">
        <v>1</v>
      </c>
      <c r="E24">
        <v>1</v>
      </c>
      <c r="F24">
        <v>1</v>
      </c>
      <c r="G24">
        <f t="shared" si="2"/>
        <v>1</v>
      </c>
      <c r="H24">
        <f t="shared" si="32"/>
        <v>1</v>
      </c>
      <c r="I24">
        <f t="shared" si="32"/>
        <v>1</v>
      </c>
      <c r="J24">
        <f t="shared" si="32"/>
        <v>1</v>
      </c>
      <c r="K24">
        <f t="shared" si="32"/>
        <v>1</v>
      </c>
      <c r="L24">
        <f t="shared" si="32"/>
        <v>1</v>
      </c>
      <c r="M24">
        <f t="shared" si="32"/>
        <v>1</v>
      </c>
      <c r="N24">
        <f t="shared" si="32"/>
        <v>1</v>
      </c>
      <c r="O24">
        <f t="shared" si="32"/>
        <v>1</v>
      </c>
      <c r="P24">
        <f t="shared" si="32"/>
        <v>1</v>
      </c>
      <c r="Q24">
        <f t="shared" si="32"/>
        <v>1</v>
      </c>
      <c r="R24">
        <f t="shared" si="32"/>
        <v>1</v>
      </c>
      <c r="S24">
        <f t="shared" si="32"/>
        <v>1</v>
      </c>
      <c r="T24">
        <f t="shared" si="32"/>
        <v>1</v>
      </c>
      <c r="U24">
        <f t="shared" si="32"/>
        <v>1</v>
      </c>
      <c r="V24">
        <f t="shared" si="32"/>
        <v>1</v>
      </c>
      <c r="W24">
        <f t="shared" si="32"/>
        <v>1</v>
      </c>
      <c r="X24">
        <f t="shared" si="32"/>
        <v>1</v>
      </c>
      <c r="Y24">
        <f t="shared" si="32"/>
        <v>1</v>
      </c>
      <c r="Z24">
        <f t="shared" si="32"/>
        <v>1</v>
      </c>
      <c r="AA24">
        <f t="shared" si="32"/>
        <v>1</v>
      </c>
      <c r="AB24">
        <f t="shared" si="32"/>
        <v>1</v>
      </c>
      <c r="AC24">
        <f t="shared" si="32"/>
        <v>1</v>
      </c>
      <c r="AD24">
        <f t="shared" si="32"/>
        <v>1</v>
      </c>
      <c r="AE24">
        <f t="shared" si="32"/>
        <v>1</v>
      </c>
      <c r="AF24">
        <f t="shared" si="32"/>
        <v>1</v>
      </c>
    </row>
    <row r="25" spans="1:32" x14ac:dyDescent="0.25">
      <c r="A25" s="22" t="s">
        <v>41</v>
      </c>
      <c r="B25">
        <v>1</v>
      </c>
      <c r="C25">
        <v>1</v>
      </c>
      <c r="D25">
        <v>1</v>
      </c>
      <c r="E25">
        <v>1</v>
      </c>
      <c r="F25">
        <v>1</v>
      </c>
      <c r="G25">
        <f t="shared" si="2"/>
        <v>1</v>
      </c>
      <c r="H25">
        <f t="shared" si="32"/>
        <v>1</v>
      </c>
      <c r="I25">
        <f t="shared" si="32"/>
        <v>1</v>
      </c>
      <c r="J25">
        <f t="shared" si="32"/>
        <v>1</v>
      </c>
      <c r="K25">
        <f t="shared" si="32"/>
        <v>1</v>
      </c>
      <c r="L25">
        <f t="shared" si="32"/>
        <v>1</v>
      </c>
      <c r="M25">
        <f t="shared" si="32"/>
        <v>1</v>
      </c>
      <c r="N25">
        <f t="shared" si="32"/>
        <v>1</v>
      </c>
      <c r="O25">
        <f t="shared" si="32"/>
        <v>1</v>
      </c>
      <c r="P25">
        <f t="shared" si="32"/>
        <v>1</v>
      </c>
      <c r="Q25">
        <f t="shared" si="32"/>
        <v>1</v>
      </c>
      <c r="R25">
        <f t="shared" si="32"/>
        <v>1</v>
      </c>
      <c r="S25">
        <f t="shared" si="32"/>
        <v>1</v>
      </c>
      <c r="T25">
        <f t="shared" si="32"/>
        <v>1</v>
      </c>
      <c r="U25">
        <f t="shared" si="32"/>
        <v>1</v>
      </c>
      <c r="V25">
        <f t="shared" si="32"/>
        <v>1</v>
      </c>
      <c r="W25">
        <f t="shared" si="32"/>
        <v>1</v>
      </c>
      <c r="X25">
        <f t="shared" si="32"/>
        <v>1</v>
      </c>
      <c r="Y25">
        <f t="shared" si="32"/>
        <v>1</v>
      </c>
      <c r="Z25">
        <f t="shared" si="32"/>
        <v>1</v>
      </c>
      <c r="AA25">
        <f t="shared" si="32"/>
        <v>1</v>
      </c>
      <c r="AB25">
        <f t="shared" si="32"/>
        <v>1</v>
      </c>
      <c r="AC25">
        <f t="shared" si="32"/>
        <v>1</v>
      </c>
      <c r="AD25">
        <f t="shared" si="32"/>
        <v>1</v>
      </c>
      <c r="AE25">
        <f t="shared" si="32"/>
        <v>1</v>
      </c>
      <c r="AF25">
        <f t="shared" si="32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petroleum adj</vt:lpstr>
      <vt:lpstr>coal and gas factors</vt:lpstr>
      <vt:lpstr>start year state specific CF</vt:lpstr>
      <vt:lpstr>EIA data</vt:lpstr>
      <vt:lpstr>shelf</vt:lpstr>
      <vt:lpstr>all_csv_SYSHECF-hard-coal</vt:lpstr>
      <vt:lpstr>CF coal 2023-2024</vt:lpstr>
      <vt:lpstr>CF nat gas 2023-2024</vt:lpstr>
      <vt:lpstr>BGDPbES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2025-03-31T18:47:44Z</dcterms:modified>
</cp:coreProperties>
</file>