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athan\Documents\state-eps-data-repository\WV\elec\BGDPbES\"/>
    </mc:Choice>
  </mc:AlternateContent>
  <xr:revisionPtr revIDLastSave="0" documentId="8_{CC459B0B-5309-4B67-B6A4-09254D0960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bout" sheetId="1" r:id="rId1"/>
    <sheet name="Wgtd Avg Expected Cap Factors" sheetId="8" r:id="rId2"/>
    <sheet name="Natural gas capacity factors" sheetId="9" r:id="rId3"/>
    <sheet name="Hard Coal" sheetId="10" r:id="rId4"/>
    <sheet name="BGDPbE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I2" i="10" s="1"/>
  <c r="I3" i="10" s="1"/>
  <c r="C12" i="2"/>
  <c r="D12" i="2"/>
  <c r="E12" i="2"/>
  <c r="F12" i="2"/>
  <c r="G12" i="2"/>
  <c r="H12" i="2"/>
  <c r="I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X4" i="9" l="1"/>
  <c r="H13" i="2" s="1"/>
  <c r="H14" i="2"/>
  <c r="H2" i="2"/>
  <c r="X2" i="9"/>
  <c r="Z4" i="9"/>
  <c r="H4" i="2" s="1"/>
  <c r="Y4" i="9"/>
  <c r="H3" i="2" s="1"/>
  <c r="G18" i="2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tc={B72AADE0-1605-441B-BDDB-6529B08009B7}</author>
  </authors>
  <commentList>
    <comment ref="S26" authorId="0" shapeId="0" xr:uid="{B72AADE0-1605-441B-BDDB-6529B08009B7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exception here, where you allocate the excess to peakers instead</t>
      </text>
    </comment>
  </commentList>
</comments>
</file>

<file path=xl/sharedStrings.xml><?xml version="1.0" encoding="utf-8"?>
<sst xmlns="http://schemas.openxmlformats.org/spreadsheetml/2006/main" count="414" uniqueCount="192">
  <si>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</si>
  <si>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</si>
  <si>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</si>
  <si>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</si>
  <si>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</si>
  <si>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</si>
  <si>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</si>
  <si>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</si>
  <si>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</si>
  <si>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</si>
  <si>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</si>
  <si>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</si>
  <si>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</si>
  <si>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</si>
  <si>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</si>
  <si>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</si>
  <si>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</si>
  <si>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</si>
  <si>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</si>
  <si>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</si>
  <si>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</si>
  <si>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</si>
  <si>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</si>
  <si>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</si>
  <si>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</si>
  <si>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</si>
  <si>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</si>
  <si>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</si>
  <si>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</si>
  <si>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</si>
  <si>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</si>
  <si>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</si>
  <si>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</si>
  <si>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</si>
  <si>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</si>
  <si>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</si>
  <si>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</si>
  <si>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</si>
  <si>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</si>
  <si>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</si>
  <si>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</si>
  <si>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</si>
  <si>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</si>
  <si>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</si>
  <si>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</si>
  <si>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</si>
  <si>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</si>
  <si>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</si>
  <si>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</si>
  <si>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</si>
  <si>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</si>
  <si>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</si>
  <si>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</si>
  <si>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</si>
  <si>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</si>
  <si>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</si>
  <si>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</si>
  <si>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</si>
  <si>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</si>
  <si>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</si>
  <si>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</si>
  <si>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</si>
  <si>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Source</t>
  </si>
  <si>
    <t>GW</t>
  </si>
  <si>
    <t>Generation (TWh)</t>
  </si>
  <si>
    <t>Capacity Factor</t>
  </si>
  <si>
    <t>Peaker</t>
  </si>
  <si>
    <t>Steam Turbine</t>
  </si>
  <si>
    <t>CCGT</t>
  </si>
  <si>
    <t>Total</t>
  </si>
  <si>
    <t>Comparison</t>
  </si>
  <si>
    <t>Excess</t>
  </si>
  <si>
    <t>AK</t>
  </si>
  <si>
    <t>Natural Gas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</si>
  <si>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</si>
  <si>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</si>
  <si>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</si>
  <si>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</si>
  <si>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</si>
  <si>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</si>
  <si>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</si>
  <si>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</si>
  <si>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</si>
  <si>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</si>
  <si>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</si>
  <si>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</si>
  <si>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</si>
  <si>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</si>
  <si>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</si>
  <si>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</si>
  <si>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</si>
  <si>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</si>
  <si>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</si>
  <si>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</si>
  <si>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</si>
  <si>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</si>
  <si>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</si>
  <si>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</si>
  <si>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</si>
  <si>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</si>
  <si>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</si>
  <si>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</si>
  <si>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</si>
  <si>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</si>
  <si>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</si>
  <si>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</si>
  <si>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</si>
  <si>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</si>
  <si>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</si>
  <si>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</si>
  <si>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</si>
  <si>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</si>
  <si>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</si>
  <si>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</si>
  <si>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</si>
  <si>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</si>
  <si>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</si>
  <si>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</si>
  <si>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</si>
  <si>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</si>
  <si>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</si>
  <si>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</si>
  <si>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</si>
  <si>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</si>
  <si>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</si>
  <si>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</si>
  <si>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</si>
  <si>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</si>
  <si>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</si>
  <si>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</si>
  <si>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</si>
  <si>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</si>
  <si>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</si>
  <si>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</si>
  <si>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</si>
  <si>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</si>
  <si>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</si>
  <si>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</si>
  <si>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</si>
  <si>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</si>
  <si>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</si>
  <si>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</si>
  <si>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</si>
  <si>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</si>
  <si>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</si>
  <si>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</si>
  <si>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</si>
  <si>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</si>
  <si>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</si>
  <si>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</si>
  <si>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</si>
  <si>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</si>
  <si>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</si>
  <si>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</si>
  <si>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</si>
  <si>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</si>
  <si>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</si>
  <si>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</si>
  <si>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</si>
  <si>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</si>
  <si>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</si>
  <si>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</si>
  <si>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</si>
  <si>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</si>
  <si>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</si>
  <si>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</si>
  <si>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</si>
  <si>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</si>
  <si>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</si>
  <si>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</si>
  <si>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</si>
  <si>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</si>
  <si>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peaker</t>
  </si>
  <si>
    <t>steam turbine</t>
  </si>
  <si>
    <t>combined cycle</t>
  </si>
  <si>
    <t>Year</t>
  </si>
  <si>
    <t>Coal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</si>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</sst>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11"/>
      <color rgb="FF000000"/>
      <name val="Calibri"/>
      <family val="2"/>
    </font>
    <font>
      <sz val="11"/>
      <name val="Cambria"/>
      <family val="2"/>
      <scheme val="major"/>
    </font>
    <font>
      <sz val="9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9" fontId="0" fillId="3" borderId="0" xfId="0" applyNumberFormat="1" applyFill="1"/>
    <xf numFmtId="0" fontId="0" fillId="3" borderId="0" xfId="0" applyFill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than Iyer" id="{6C9696F7-F670-48AC-938E-8E32F9D1F791}" userId="S::niyer@RMI.org::b7ea6424-44e3-4257-9802-f0d45785482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26" dT="2024-01-22T06:31:43.45" personId="{6C9696F7-F670-48AC-938E-8E32F9D1F791}" id="{B72AADE0-1605-441B-BDDB-6529B08009B7}">
    <text>One exception here, where you allocate the excess to peakers instead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workbookViewId="0">
      <selection activeCell="O17" sqref="O17"/>
    </sheetView>
  </sheetViews>
  <sheetFormatPr defaultRowHeight="15" x14ac:dyDescent="0.25"/>
  <cols>
    <col min="2" max="2" width="24.5703125" customWidth="1"/>
    <col min="3" max="3" width="13" customWidth="1"/>
  </cols>
  <sheetData>
    <row r="1" spans="1:7" x14ac:dyDescent="0.25">
      <c r="A1" s="1" t="s">
        <v>10</v>
      </c>
      <c r="B1" t="s">
        <v>169</v>
      </c>
      <c r="C1" s="7">
        <v>45313</v>
      </c>
      <c r="F1" s="12" t="s">
        <v>61</v>
      </c>
      <c r="G1" s="12" t="s">
        <v>61</v>
      </c>
    </row>
    <row r="2" spans="1:7" x14ac:dyDescent="0.25">
      <c r="B2" t="str">
        <f>LOOKUP(B1,F2:G51,G2:G51)</f>
        <v>WV</v>
      </c>
      <c r="F2" s="13" t="s">
        <v>123</v>
      </c>
      <c r="G2" s="13" t="s">
        <v>74</v>
      </c>
    </row>
    <row r="3" spans="1:7" x14ac:dyDescent="0.25">
      <c r="A3" s="1" t="s">
        <v>21</v>
      </c>
      <c r="B3" s="4" t="s">
        <v>42</v>
      </c>
      <c r="F3" s="13" t="s">
        <v>124</v>
      </c>
      <c r="G3" s="13" t="s">
        <v>72</v>
      </c>
    </row>
    <row r="4" spans="1:7" x14ac:dyDescent="0.25">
      <c r="B4" s="5" t="s">
        <v>43</v>
      </c>
      <c r="F4" s="13" t="s">
        <v>60</v>
      </c>
      <c r="G4" s="13" t="s">
        <v>76</v>
      </c>
    </row>
    <row r="5" spans="1:7" x14ac:dyDescent="0.25">
      <c r="F5" s="13" t="s">
        <v>125</v>
      </c>
      <c r="G5" s="13" t="s">
        <v>75</v>
      </c>
    </row>
    <row r="6" spans="1:7" x14ac:dyDescent="0.25">
      <c r="F6" s="13" t="s">
        <v>126</v>
      </c>
      <c r="G6" s="13" t="s">
        <v>77</v>
      </c>
    </row>
    <row r="7" spans="1:7" x14ac:dyDescent="0.25">
      <c r="F7" s="13" t="s">
        <v>127</v>
      </c>
      <c r="G7" s="13" t="s">
        <v>78</v>
      </c>
    </row>
    <row r="8" spans="1:7" x14ac:dyDescent="0.25">
      <c r="F8" s="13" t="s">
        <v>128</v>
      </c>
      <c r="G8" s="13" t="s">
        <v>79</v>
      </c>
    </row>
    <row r="9" spans="1:7" x14ac:dyDescent="0.25">
      <c r="A9" s="1" t="s">
        <v>0</v>
      </c>
      <c r="F9" s="13" t="s">
        <v>129</v>
      </c>
      <c r="G9" s="13" t="s">
        <v>80</v>
      </c>
    </row>
    <row r="10" spans="1:7" x14ac:dyDescent="0.25">
      <c r="A10" t="s">
        <v>6</v>
      </c>
      <c r="F10" s="13" t="s">
        <v>130</v>
      </c>
      <c r="G10" s="13" t="s">
        <v>81</v>
      </c>
    </row>
    <row r="11" spans="1:7" x14ac:dyDescent="0.25">
      <c r="A11" t="s">
        <v>11</v>
      </c>
      <c r="F11" s="13" t="s">
        <v>131</v>
      </c>
      <c r="G11" s="13" t="s">
        <v>82</v>
      </c>
    </row>
    <row r="12" spans="1:7" x14ac:dyDescent="0.25">
      <c r="A12" t="s">
        <v>12</v>
      </c>
      <c r="F12" s="13" t="s">
        <v>132</v>
      </c>
      <c r="G12" s="13" t="s">
        <v>83</v>
      </c>
    </row>
    <row r="13" spans="1:7" x14ac:dyDescent="0.25">
      <c r="F13" s="13" t="s">
        <v>133</v>
      </c>
      <c r="G13" s="13" t="s">
        <v>85</v>
      </c>
    </row>
    <row r="14" spans="1:7" x14ac:dyDescent="0.25">
      <c r="A14" t="s">
        <v>44</v>
      </c>
      <c r="F14" s="13" t="s">
        <v>134</v>
      </c>
      <c r="G14" s="13" t="s">
        <v>86</v>
      </c>
    </row>
    <row r="15" spans="1:7" x14ac:dyDescent="0.25">
      <c r="A15" t="s">
        <v>45</v>
      </c>
      <c r="F15" s="13" t="s">
        <v>135</v>
      </c>
      <c r="G15" s="13" t="s">
        <v>87</v>
      </c>
    </row>
    <row r="16" spans="1:7" x14ac:dyDescent="0.25">
      <c r="F16" s="13" t="s">
        <v>136</v>
      </c>
      <c r="G16" s="13" t="s">
        <v>84</v>
      </c>
    </row>
    <row r="17" spans="1:7" x14ac:dyDescent="0.25">
      <c r="A17" t="s">
        <v>46</v>
      </c>
      <c r="F17" s="13" t="s">
        <v>137</v>
      </c>
      <c r="G17" s="13" t="s">
        <v>88</v>
      </c>
    </row>
    <row r="18" spans="1:7" x14ac:dyDescent="0.25">
      <c r="A18" t="s">
        <v>47</v>
      </c>
      <c r="F18" s="13" t="s">
        <v>138</v>
      </c>
      <c r="G18" s="13" t="s">
        <v>89</v>
      </c>
    </row>
    <row r="19" spans="1:7" x14ac:dyDescent="0.25">
      <c r="A19" t="s">
        <v>48</v>
      </c>
      <c r="F19" s="13" t="s">
        <v>139</v>
      </c>
      <c r="G19" s="13" t="s">
        <v>90</v>
      </c>
    </row>
    <row r="20" spans="1:7" x14ac:dyDescent="0.25">
      <c r="A20" t="s">
        <v>49</v>
      </c>
      <c r="F20" s="13" t="s">
        <v>140</v>
      </c>
      <c r="G20" s="13" t="s">
        <v>93</v>
      </c>
    </row>
    <row r="21" spans="1:7" x14ac:dyDescent="0.25">
      <c r="A21" t="s">
        <v>50</v>
      </c>
      <c r="F21" s="13" t="s">
        <v>141</v>
      </c>
      <c r="G21" s="13" t="s">
        <v>92</v>
      </c>
    </row>
    <row r="22" spans="1:7" x14ac:dyDescent="0.25">
      <c r="A22" t="s">
        <v>51</v>
      </c>
      <c r="F22" s="13" t="s">
        <v>142</v>
      </c>
      <c r="G22" s="13" t="s">
        <v>91</v>
      </c>
    </row>
    <row r="23" spans="1:7" x14ac:dyDescent="0.25">
      <c r="A23" t="s">
        <v>52</v>
      </c>
      <c r="F23" s="13" t="s">
        <v>143</v>
      </c>
      <c r="G23" s="13" t="s">
        <v>94</v>
      </c>
    </row>
    <row r="24" spans="1:7" x14ac:dyDescent="0.25">
      <c r="F24" s="13" t="s">
        <v>144</v>
      </c>
      <c r="G24" s="13" t="s">
        <v>95</v>
      </c>
    </row>
    <row r="25" spans="1:7" x14ac:dyDescent="0.25">
      <c r="F25" s="13" t="s">
        <v>145</v>
      </c>
      <c r="G25" s="13" t="s">
        <v>97</v>
      </c>
    </row>
    <row r="26" spans="1:7" x14ac:dyDescent="0.25">
      <c r="F26" s="13" t="s">
        <v>146</v>
      </c>
      <c r="G26" s="13" t="s">
        <v>96</v>
      </c>
    </row>
    <row r="27" spans="1:7" x14ac:dyDescent="0.25">
      <c r="F27" s="13" t="s">
        <v>147</v>
      </c>
      <c r="G27" s="13" t="s">
        <v>98</v>
      </c>
    </row>
    <row r="28" spans="1:7" x14ac:dyDescent="0.25">
      <c r="F28" s="13" t="s">
        <v>148</v>
      </c>
      <c r="G28" s="13" t="s">
        <v>101</v>
      </c>
    </row>
    <row r="29" spans="1:7" x14ac:dyDescent="0.25">
      <c r="F29" s="13" t="s">
        <v>149</v>
      </c>
      <c r="G29" s="13" t="s">
        <v>105</v>
      </c>
    </row>
    <row r="30" spans="1:7" x14ac:dyDescent="0.25">
      <c r="F30" s="13" t="s">
        <v>150</v>
      </c>
      <c r="G30" s="13" t="s">
        <v>102</v>
      </c>
    </row>
    <row r="31" spans="1:7" x14ac:dyDescent="0.25">
      <c r="F31" s="13" t="s">
        <v>151</v>
      </c>
      <c r="G31" s="13" t="s">
        <v>103</v>
      </c>
    </row>
    <row r="32" spans="1:7" x14ac:dyDescent="0.25">
      <c r="F32" s="13" t="s">
        <v>152</v>
      </c>
      <c r="G32" s="13" t="s">
        <v>104</v>
      </c>
    </row>
    <row r="33" spans="6:7" x14ac:dyDescent="0.25">
      <c r="F33" s="13" t="s">
        <v>153</v>
      </c>
      <c r="G33" s="13" t="s">
        <v>106</v>
      </c>
    </row>
    <row r="34" spans="6:7" x14ac:dyDescent="0.25">
      <c r="F34" s="13" t="s">
        <v>154</v>
      </c>
      <c r="G34" s="13" t="s">
        <v>99</v>
      </c>
    </row>
    <row r="35" spans="6:7" x14ac:dyDescent="0.25">
      <c r="F35" s="13" t="s">
        <v>155</v>
      </c>
      <c r="G35" s="13" t="s">
        <v>100</v>
      </c>
    </row>
    <row r="36" spans="6:7" x14ac:dyDescent="0.25">
      <c r="F36" s="13" t="s">
        <v>156</v>
      </c>
      <c r="G36" s="13" t="s">
        <v>107</v>
      </c>
    </row>
    <row r="37" spans="6:7" x14ac:dyDescent="0.25">
      <c r="F37" s="13" t="s">
        <v>157</v>
      </c>
      <c r="G37" s="13" t="s">
        <v>108</v>
      </c>
    </row>
    <row r="38" spans="6:7" x14ac:dyDescent="0.25">
      <c r="F38" s="13" t="s">
        <v>158</v>
      </c>
      <c r="G38" s="13" t="s">
        <v>109</v>
      </c>
    </row>
    <row r="39" spans="6:7" x14ac:dyDescent="0.25">
      <c r="F39" s="13" t="s">
        <v>159</v>
      </c>
      <c r="G39" s="13" t="s">
        <v>110</v>
      </c>
    </row>
    <row r="40" spans="6:7" x14ac:dyDescent="0.25">
      <c r="F40" s="13" t="s">
        <v>160</v>
      </c>
      <c r="G40" s="13" t="s">
        <v>111</v>
      </c>
    </row>
    <row r="41" spans="6:7" x14ac:dyDescent="0.25">
      <c r="F41" s="13" t="s">
        <v>161</v>
      </c>
      <c r="G41" s="13" t="s">
        <v>112</v>
      </c>
    </row>
    <row r="42" spans="6:7" x14ac:dyDescent="0.25">
      <c r="F42" s="13" t="s">
        <v>162</v>
      </c>
      <c r="G42" s="13" t="s">
        <v>113</v>
      </c>
    </row>
    <row r="43" spans="6:7" x14ac:dyDescent="0.25">
      <c r="F43" s="13" t="s">
        <v>163</v>
      </c>
      <c r="G43" s="13" t="s">
        <v>114</v>
      </c>
    </row>
    <row r="44" spans="6:7" x14ac:dyDescent="0.25">
      <c r="F44" s="13" t="s">
        <v>164</v>
      </c>
      <c r="G44" s="13" t="s">
        <v>115</v>
      </c>
    </row>
    <row r="45" spans="6:7" x14ac:dyDescent="0.25">
      <c r="F45" s="13" t="s">
        <v>165</v>
      </c>
      <c r="G45" s="13" t="s">
        <v>116</v>
      </c>
    </row>
    <row r="46" spans="6:7" x14ac:dyDescent="0.25">
      <c r="F46" s="13" t="s">
        <v>166</v>
      </c>
      <c r="G46" s="13" t="s">
        <v>118</v>
      </c>
    </row>
    <row r="47" spans="6:7" x14ac:dyDescent="0.25">
      <c r="F47" s="13" t="s">
        <v>167</v>
      </c>
      <c r="G47" s="13" t="s">
        <v>117</v>
      </c>
    </row>
    <row r="48" spans="6:7" x14ac:dyDescent="0.25">
      <c r="F48" s="13" t="s">
        <v>168</v>
      </c>
      <c r="G48" s="13" t="s">
        <v>119</v>
      </c>
    </row>
    <row r="49" spans="1:7" x14ac:dyDescent="0.25">
      <c r="F49" s="13" t="s">
        <v>169</v>
      </c>
      <c r="G49" s="13" t="s">
        <v>121</v>
      </c>
    </row>
    <row r="50" spans="1:7" x14ac:dyDescent="0.25">
      <c r="F50" s="13" t="s">
        <v>170</v>
      </c>
      <c r="G50" s="13" t="s">
        <v>120</v>
      </c>
    </row>
    <row r="51" spans="1:7" x14ac:dyDescent="0.25">
      <c r="F51" s="13" t="s">
        <v>171</v>
      </c>
      <c r="G51" s="13" t="s">
        <v>122</v>
      </c>
    </row>
    <row r="54" spans="1:7" x14ac:dyDescent="0.25">
      <c r="A54" s="1" t="s">
        <v>61</v>
      </c>
    </row>
    <row r="55" spans="1:7" x14ac:dyDescent="0.25">
      <c r="B55" t="s">
        <v>177</v>
      </c>
      <c r="C55" t="s">
        <v>178</v>
      </c>
      <c r="D55" t="s">
        <v>179</v>
      </c>
    </row>
    <row r="56" spans="1:7" x14ac:dyDescent="0.25">
      <c r="A56" t="s">
        <v>180</v>
      </c>
      <c r="B56">
        <v>5172</v>
      </c>
      <c r="C56">
        <v>18.2</v>
      </c>
      <c r="D56">
        <v>1.2260020528185958E-2</v>
      </c>
    </row>
    <row r="57" spans="1:7" x14ac:dyDescent="0.25">
      <c r="A57" t="s">
        <v>181</v>
      </c>
      <c r="B57">
        <v>74000</v>
      </c>
      <c r="C57">
        <v>12.5</v>
      </c>
      <c r="D57">
        <v>0.17541406014805894</v>
      </c>
    </row>
    <row r="58" spans="1:7" x14ac:dyDescent="0.25">
      <c r="A58" t="s">
        <v>182</v>
      </c>
      <c r="B58">
        <v>130100</v>
      </c>
      <c r="C58">
        <v>11.7</v>
      </c>
      <c r="D58">
        <v>0.3083968814224658</v>
      </c>
    </row>
    <row r="59" spans="1:7" x14ac:dyDescent="0.25">
      <c r="A59" t="s">
        <v>68</v>
      </c>
      <c r="B59">
        <v>212587</v>
      </c>
      <c r="C59">
        <v>55</v>
      </c>
      <c r="D59">
        <v>0.50392903790128929</v>
      </c>
    </row>
    <row r="60" spans="1:7" x14ac:dyDescent="0.25">
      <c r="A60" t="s">
        <v>69</v>
      </c>
      <c r="B60">
        <v>421859</v>
      </c>
    </row>
    <row r="62" spans="1:7" x14ac:dyDescent="0.25">
      <c r="A62" t="s">
        <v>183</v>
      </c>
    </row>
    <row r="63" spans="1:7" x14ac:dyDescent="0.25">
      <c r="A63" t="s">
        <v>184</v>
      </c>
    </row>
    <row r="64" spans="1:7" x14ac:dyDescent="0.25">
      <c r="A64" t="s">
        <v>185</v>
      </c>
    </row>
    <row r="66" spans="1:2" x14ac:dyDescent="0.25">
      <c r="A66" t="s">
        <v>67</v>
      </c>
      <c r="B66">
        <v>12.5</v>
      </c>
    </row>
    <row r="67" spans="1:2" x14ac:dyDescent="0.25">
      <c r="A67" t="s">
        <v>68</v>
      </c>
      <c r="B67">
        <v>55</v>
      </c>
    </row>
    <row r="68" spans="1:2" x14ac:dyDescent="0.25">
      <c r="A68" t="s">
        <v>66</v>
      </c>
      <c r="B68">
        <v>11.7</v>
      </c>
    </row>
    <row r="70" spans="1:2" x14ac:dyDescent="0.25">
      <c r="A70" t="s">
        <v>186</v>
      </c>
    </row>
    <row r="72" spans="1:2" x14ac:dyDescent="0.25">
      <c r="A72" t="s">
        <v>187</v>
      </c>
    </row>
    <row r="73" spans="1:2" x14ac:dyDescent="0.25">
      <c r="A73" t="s">
        <v>188</v>
      </c>
    </row>
    <row r="74" spans="1:2" x14ac:dyDescent="0.25">
      <c r="A74" t="s">
        <v>189</v>
      </c>
    </row>
    <row r="76" spans="1:2" x14ac:dyDescent="0.25">
      <c r="A76" s="17" t="s">
        <v>190</v>
      </c>
    </row>
    <row r="77" spans="1:2" x14ac:dyDescent="0.25">
      <c r="A77" s="16"/>
    </row>
    <row r="78" spans="1:2" x14ac:dyDescent="0.25">
      <c r="A78" s="17" t="s">
        <v>191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>
      <selection activeCell="A37" sqref="A37"/>
    </sheetView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ECC5-9967-4458-A66D-966E0E0F0B8A}">
  <dimension ref="A1:Z51"/>
  <sheetViews>
    <sheetView workbookViewId="0">
      <selection activeCell="Z12" sqref="Z12"/>
    </sheetView>
  </sheetViews>
  <sheetFormatPr defaultRowHeight="15" x14ac:dyDescent="0.25"/>
  <cols>
    <col min="3" max="18" width="0" hidden="1" customWidth="1"/>
  </cols>
  <sheetData>
    <row r="1" spans="1:26" x14ac:dyDescent="0.25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66</v>
      </c>
      <c r="J1" t="s">
        <v>67</v>
      </c>
      <c r="K1" t="s">
        <v>68</v>
      </c>
      <c r="L1" t="s">
        <v>69</v>
      </c>
      <c r="M1" s="8" t="s">
        <v>70</v>
      </c>
      <c r="N1" t="s">
        <v>66</v>
      </c>
      <c r="O1" t="s">
        <v>67</v>
      </c>
      <c r="P1" t="s">
        <v>68</v>
      </c>
      <c r="Q1" t="s">
        <v>69</v>
      </c>
      <c r="R1" s="1" t="s">
        <v>71</v>
      </c>
      <c r="S1" t="s">
        <v>9</v>
      </c>
      <c r="T1" s="9" t="s">
        <v>22</v>
      </c>
      <c r="U1" t="s">
        <v>23</v>
      </c>
    </row>
    <row r="2" spans="1:26" x14ac:dyDescent="0.25">
      <c r="A2" t="s">
        <v>72</v>
      </c>
      <c r="B2" t="s">
        <v>73</v>
      </c>
      <c r="C2">
        <v>1.2522</v>
      </c>
      <c r="D2">
        <v>3020.4929999999999</v>
      </c>
      <c r="E2">
        <v>0.2753594769096801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s="8">
        <v>0</v>
      </c>
      <c r="N2" s="9">
        <v>0</v>
      </c>
      <c r="O2" s="9">
        <v>0</v>
      </c>
      <c r="P2" s="9">
        <v>0</v>
      </c>
      <c r="Q2">
        <v>0</v>
      </c>
      <c r="R2">
        <v>0</v>
      </c>
      <c r="S2" s="9">
        <v>0</v>
      </c>
      <c r="T2" s="9">
        <v>0</v>
      </c>
      <c r="U2" s="9">
        <v>0</v>
      </c>
      <c r="X2" t="str">
        <f>About!B2</f>
        <v>WV</v>
      </c>
    </row>
    <row r="3" spans="1:26" x14ac:dyDescent="0.25">
      <c r="A3" t="s">
        <v>74</v>
      </c>
      <c r="B3" t="s">
        <v>73</v>
      </c>
      <c r="C3">
        <v>14.173299999999999</v>
      </c>
      <c r="D3">
        <v>52765.227000000006</v>
      </c>
      <c r="E3">
        <v>0.42498414199417417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 s="8">
        <v>0</v>
      </c>
      <c r="N3" s="9">
        <v>0</v>
      </c>
      <c r="O3" s="9">
        <v>0</v>
      </c>
      <c r="P3" s="9">
        <v>0</v>
      </c>
      <c r="Q3">
        <v>0</v>
      </c>
      <c r="R3">
        <v>0</v>
      </c>
      <c r="S3" s="9">
        <v>0</v>
      </c>
      <c r="T3" s="9">
        <v>0</v>
      </c>
      <c r="U3" s="9">
        <v>0</v>
      </c>
      <c r="X3" t="s">
        <v>172</v>
      </c>
      <c r="Y3" t="s">
        <v>173</v>
      </c>
      <c r="Z3" t="s">
        <v>174</v>
      </c>
    </row>
    <row r="4" spans="1:26" x14ac:dyDescent="0.25">
      <c r="A4" t="s">
        <v>75</v>
      </c>
      <c r="B4" t="s">
        <v>73</v>
      </c>
      <c r="C4">
        <v>6.0857000000000001</v>
      </c>
      <c r="D4">
        <v>20346.075000000001</v>
      </c>
      <c r="E4">
        <v>0.38165064025007195</v>
      </c>
      <c r="F4">
        <v>0.71560000000000001</v>
      </c>
      <c r="G4">
        <v>0.77800000000000002</v>
      </c>
      <c r="H4">
        <v>4.5971000000000002</v>
      </c>
      <c r="I4">
        <v>733.43275200000005</v>
      </c>
      <c r="J4">
        <v>851.91000000000008</v>
      </c>
      <c r="K4">
        <v>22148.827800000003</v>
      </c>
      <c r="L4">
        <v>23734.170552000003</v>
      </c>
      <c r="M4" s="8">
        <v>1.1665233000468151</v>
      </c>
      <c r="N4" s="9">
        <v>0.1002980394779123</v>
      </c>
      <c r="O4" s="9">
        <v>0.10715602508323964</v>
      </c>
      <c r="P4" s="9">
        <v>0.47148651036625444</v>
      </c>
      <c r="Q4">
        <v>20346.074999999997</v>
      </c>
      <c r="R4">
        <v>0</v>
      </c>
      <c r="S4" s="9">
        <v>0.1002980394779123</v>
      </c>
      <c r="T4" s="9">
        <v>0.10715602508323964</v>
      </c>
      <c r="U4" s="9">
        <v>0.47148651036625444</v>
      </c>
      <c r="X4">
        <f>SUMIFS(S:S,$A:$A,About!$B$2)</f>
        <v>0.20179266489650602</v>
      </c>
      <c r="Y4">
        <f>SUMIFS(T:T,$A:$A,About!$B$2)</f>
        <v>0</v>
      </c>
      <c r="Z4">
        <f>SUMIFS(U:U,$A:$A,About!$B$2)</f>
        <v>0.8</v>
      </c>
    </row>
    <row r="5" spans="1:26" x14ac:dyDescent="0.25">
      <c r="A5" t="s">
        <v>76</v>
      </c>
      <c r="B5" t="s">
        <v>73</v>
      </c>
      <c r="C5">
        <v>14.134499999999999</v>
      </c>
      <c r="D5">
        <v>47921.024000000005</v>
      </c>
      <c r="E5">
        <v>0.3870272404174443</v>
      </c>
      <c r="F5">
        <v>3.0781000000000001</v>
      </c>
      <c r="G5">
        <v>1.095</v>
      </c>
      <c r="H5">
        <v>9.3961000000000006</v>
      </c>
      <c r="I5">
        <v>3154.8062519999999</v>
      </c>
      <c r="J5">
        <v>1199.0249999999999</v>
      </c>
      <c r="K5">
        <v>45270.409800000001</v>
      </c>
      <c r="L5">
        <v>49624.241051999998</v>
      </c>
      <c r="M5" s="8">
        <v>1.035542167295924</v>
      </c>
      <c r="N5" s="9">
        <v>0.11298429334415046</v>
      </c>
      <c r="O5" s="9">
        <v>0.12070971511127185</v>
      </c>
      <c r="P5" s="9">
        <v>0.53112274648959623</v>
      </c>
      <c r="Q5">
        <v>47921.024000000019</v>
      </c>
      <c r="R5">
        <v>0</v>
      </c>
      <c r="S5" s="9">
        <v>0.11298429334415046</v>
      </c>
      <c r="T5" s="9">
        <v>0.12070971511127185</v>
      </c>
      <c r="U5" s="9">
        <v>0.53112274648959623</v>
      </c>
    </row>
    <row r="6" spans="1:26" x14ac:dyDescent="0.25">
      <c r="A6" t="s">
        <v>77</v>
      </c>
      <c r="B6" t="s">
        <v>73</v>
      </c>
      <c r="C6">
        <v>35.08</v>
      </c>
      <c r="D6">
        <v>85528.414999999994</v>
      </c>
      <c r="E6">
        <v>0.27832148500752357</v>
      </c>
      <c r="F6">
        <v>10.843299999999999</v>
      </c>
      <c r="G6">
        <v>4.6574999999999998</v>
      </c>
      <c r="H6">
        <v>19.417000000000002</v>
      </c>
      <c r="I6">
        <v>11113.515035999999</v>
      </c>
      <c r="J6">
        <v>5099.9624999999996</v>
      </c>
      <c r="K6">
        <v>93551.106000000014</v>
      </c>
      <c r="L6">
        <v>109764.58353600002</v>
      </c>
      <c r="M6" s="8">
        <v>1.283369784603164</v>
      </c>
      <c r="N6" s="9">
        <v>9.1166241720563854E-2</v>
      </c>
      <c r="O6" s="9">
        <v>9.7399830898038289E-2</v>
      </c>
      <c r="P6" s="9">
        <v>0.42855925595136851</v>
      </c>
      <c r="Q6">
        <v>85528.414999999994</v>
      </c>
      <c r="R6">
        <v>0</v>
      </c>
      <c r="S6" s="9">
        <v>9.1166241720563854E-2</v>
      </c>
      <c r="T6" s="9">
        <v>9.7399830898038289E-2</v>
      </c>
      <c r="U6" s="9">
        <v>0.42855925595136851</v>
      </c>
    </row>
    <row r="7" spans="1:26" x14ac:dyDescent="0.25">
      <c r="A7" t="s">
        <v>78</v>
      </c>
      <c r="B7" t="s">
        <v>73</v>
      </c>
      <c r="C7">
        <v>6.5632999999999999</v>
      </c>
      <c r="D7">
        <v>14373.442999999999</v>
      </c>
      <c r="E7">
        <v>0.24999679969432906</v>
      </c>
      <c r="F7">
        <v>2.7667999999999999</v>
      </c>
      <c r="G7">
        <v>0.496</v>
      </c>
      <c r="H7">
        <v>3.2185000000000001</v>
      </c>
      <c r="I7">
        <v>2835.7486559999998</v>
      </c>
      <c r="J7">
        <v>543.12</v>
      </c>
      <c r="K7">
        <v>15506.733000000002</v>
      </c>
      <c r="L7">
        <v>18885.601656000003</v>
      </c>
      <c r="M7" s="8">
        <v>1.3139232997967156</v>
      </c>
      <c r="N7" s="9">
        <v>8.90462936596845E-2</v>
      </c>
      <c r="O7" s="9">
        <v>9.5134929123594544E-2</v>
      </c>
      <c r="P7" s="9">
        <v>0.41859368814381598</v>
      </c>
      <c r="Q7">
        <v>14373.442999999999</v>
      </c>
      <c r="R7">
        <v>0</v>
      </c>
      <c r="S7" s="9">
        <v>8.90462936596845E-2</v>
      </c>
      <c r="T7" s="9">
        <v>9.5134929123594544E-2</v>
      </c>
      <c r="U7" s="9">
        <v>0.41859368814381598</v>
      </c>
    </row>
    <row r="8" spans="1:26" x14ac:dyDescent="0.25">
      <c r="A8" t="s">
        <v>79</v>
      </c>
      <c r="B8" t="s">
        <v>73</v>
      </c>
      <c r="C8">
        <v>5.27</v>
      </c>
      <c r="D8">
        <v>23537.863000000001</v>
      </c>
      <c r="E8">
        <v>0.50986160571166161</v>
      </c>
      <c r="F8">
        <v>0.48039999999999999</v>
      </c>
      <c r="G8">
        <v>0.86660000000000004</v>
      </c>
      <c r="H8">
        <v>2.3262999999999998</v>
      </c>
      <c r="I8">
        <v>492.37156800000002</v>
      </c>
      <c r="J8">
        <v>948.92700000000002</v>
      </c>
      <c r="K8">
        <v>11208.1134</v>
      </c>
      <c r="L8">
        <v>12649.411968</v>
      </c>
      <c r="M8" s="8">
        <v>0.53740698414295296</v>
      </c>
      <c r="N8" s="9">
        <v>0.2177120942828637</v>
      </c>
      <c r="O8" s="9">
        <v>0.23259839132784582</v>
      </c>
      <c r="P8" s="9">
        <v>1.0234329218425215</v>
      </c>
      <c r="Q8">
        <v>23537.863000000001</v>
      </c>
      <c r="R8">
        <v>4659.8976180000145</v>
      </c>
      <c r="S8" s="9">
        <v>0.2177120942828637</v>
      </c>
      <c r="T8" s="9">
        <v>0.84643612831920745</v>
      </c>
      <c r="U8" s="9">
        <v>0.8</v>
      </c>
    </row>
    <row r="9" spans="1:26" x14ac:dyDescent="0.25">
      <c r="A9" t="s">
        <v>80</v>
      </c>
      <c r="B9" t="s">
        <v>73</v>
      </c>
      <c r="C9">
        <v>2.4293</v>
      </c>
      <c r="D9">
        <v>2975.9190000000003</v>
      </c>
      <c r="E9">
        <v>0.13984142791006374</v>
      </c>
      <c r="F9">
        <v>0.18640000000000001</v>
      </c>
      <c r="G9">
        <v>0.71309999999999996</v>
      </c>
      <c r="H9">
        <v>1.504</v>
      </c>
      <c r="I9">
        <v>191.04508800000002</v>
      </c>
      <c r="J9">
        <v>780.84449999999993</v>
      </c>
      <c r="K9">
        <v>7246.2720000000008</v>
      </c>
      <c r="L9">
        <v>8218.1615880000008</v>
      </c>
      <c r="M9" s="8">
        <v>2.7615541914951316</v>
      </c>
      <c r="N9" s="9">
        <v>4.2367446693723977E-2</v>
      </c>
      <c r="O9" s="9">
        <v>4.5264366125773475E-2</v>
      </c>
      <c r="P9" s="9">
        <v>0.19916321095340331</v>
      </c>
      <c r="Q9">
        <v>2975.9189999999994</v>
      </c>
      <c r="R9">
        <v>0</v>
      </c>
      <c r="S9" s="9">
        <v>4.2367446693723977E-2</v>
      </c>
      <c r="T9" s="9">
        <v>4.5264366125773475E-2</v>
      </c>
      <c r="U9" s="9">
        <v>0.19916321095340331</v>
      </c>
    </row>
    <row r="10" spans="1:26" x14ac:dyDescent="0.25">
      <c r="A10" t="s">
        <v>81</v>
      </c>
      <c r="B10" t="s">
        <v>73</v>
      </c>
      <c r="C10">
        <v>47.264300000000006</v>
      </c>
      <c r="D10">
        <v>180774.63700000002</v>
      </c>
      <c r="E10">
        <v>0.43661651789528227</v>
      </c>
      <c r="F10">
        <v>8.6274999999999995</v>
      </c>
      <c r="G10">
        <v>4.6128999999999998</v>
      </c>
      <c r="H10">
        <v>31.8582</v>
      </c>
      <c r="I10">
        <v>8842.4973000000009</v>
      </c>
      <c r="J10">
        <v>5051.1255000000001</v>
      </c>
      <c r="K10">
        <v>153492.8076</v>
      </c>
      <c r="L10">
        <v>167386.43040000001</v>
      </c>
      <c r="M10" s="8">
        <v>0.92593979541499505</v>
      </c>
      <c r="N10" s="9">
        <v>0.12635810727582134</v>
      </c>
      <c r="O10" s="9">
        <v>0.13499797785878348</v>
      </c>
      <c r="P10" s="9">
        <v>0.59399110257864729</v>
      </c>
      <c r="Q10">
        <v>180774.63700000002</v>
      </c>
      <c r="R10">
        <v>0</v>
      </c>
      <c r="S10" s="9">
        <v>0.12635810727582134</v>
      </c>
      <c r="T10" s="9">
        <v>0.13499797785878348</v>
      </c>
      <c r="U10" s="9">
        <v>0.59399110257864729</v>
      </c>
    </row>
    <row r="11" spans="1:26" x14ac:dyDescent="0.25">
      <c r="A11" t="s">
        <v>82</v>
      </c>
      <c r="B11" t="s">
        <v>73</v>
      </c>
      <c r="C11">
        <v>16.518599999999999</v>
      </c>
      <c r="D11">
        <v>55901.096000000005</v>
      </c>
      <c r="E11">
        <v>0.38631625276767023</v>
      </c>
      <c r="F11">
        <v>7.7077999999999998</v>
      </c>
      <c r="G11">
        <v>0.72399999999999998</v>
      </c>
      <c r="H11">
        <v>7.9983000000000004</v>
      </c>
      <c r="I11">
        <v>7899.8783760000006</v>
      </c>
      <c r="J11">
        <v>792.78</v>
      </c>
      <c r="K11">
        <v>38535.809400000006</v>
      </c>
      <c r="L11">
        <v>47228.467776000005</v>
      </c>
      <c r="M11" s="8">
        <v>0.84485763527784863</v>
      </c>
      <c r="N11" s="9">
        <v>0.13848487024860962</v>
      </c>
      <c r="O11" s="9">
        <v>0.14795392120577949</v>
      </c>
      <c r="P11" s="9">
        <v>0.65099725330542979</v>
      </c>
      <c r="Q11">
        <v>55901.096000000012</v>
      </c>
      <c r="R11">
        <v>0</v>
      </c>
      <c r="S11" s="9">
        <v>0.13848487024860962</v>
      </c>
      <c r="T11" s="9">
        <v>0.14795392120577949</v>
      </c>
      <c r="U11" s="9">
        <v>0.65099725330542979</v>
      </c>
    </row>
    <row r="12" spans="1:26" x14ac:dyDescent="0.25">
      <c r="A12" t="s">
        <v>83</v>
      </c>
      <c r="B12" t="s">
        <v>73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s="8" t="e">
        <v>#DIV/0!</v>
      </c>
      <c r="N12" s="9">
        <v>0</v>
      </c>
      <c r="O12" s="9">
        <v>0</v>
      </c>
      <c r="P12" s="9">
        <v>0</v>
      </c>
      <c r="Q12">
        <v>0</v>
      </c>
      <c r="R12">
        <v>0</v>
      </c>
      <c r="S12" s="9">
        <v>0</v>
      </c>
      <c r="T12" s="9">
        <v>0</v>
      </c>
      <c r="U12" s="9">
        <v>0</v>
      </c>
    </row>
    <row r="13" spans="1:26" x14ac:dyDescent="0.25">
      <c r="A13" t="s">
        <v>84</v>
      </c>
      <c r="B13" t="s">
        <v>73</v>
      </c>
      <c r="C13">
        <v>3.2936999999999999</v>
      </c>
      <c r="D13">
        <v>5837.1459999999997</v>
      </c>
      <c r="E13">
        <v>0.20230769881285748</v>
      </c>
      <c r="F13">
        <v>1.3306</v>
      </c>
      <c r="G13">
        <v>0.32329999999999998</v>
      </c>
      <c r="H13">
        <v>1.7682</v>
      </c>
      <c r="I13">
        <v>1363.7585520000002</v>
      </c>
      <c r="J13">
        <v>354.01349999999996</v>
      </c>
      <c r="K13">
        <v>8519.1876000000011</v>
      </c>
      <c r="L13">
        <v>10236.959652000001</v>
      </c>
      <c r="M13" s="8">
        <v>1.7537611106523636</v>
      </c>
      <c r="N13" s="9">
        <v>6.6713761235404734E-2</v>
      </c>
      <c r="O13" s="9">
        <v>7.1275385935261462E-2</v>
      </c>
      <c r="P13" s="9">
        <v>0.31361169811515044</v>
      </c>
      <c r="Q13">
        <v>5837.1459999999988</v>
      </c>
      <c r="R13">
        <v>0</v>
      </c>
      <c r="S13" s="9">
        <v>6.6713761235404734E-2</v>
      </c>
      <c r="T13" s="9">
        <v>7.1275385935261462E-2</v>
      </c>
      <c r="U13" s="9">
        <v>0.31361169811515044</v>
      </c>
    </row>
    <row r="14" spans="1:26" x14ac:dyDescent="0.25">
      <c r="A14" t="s">
        <v>85</v>
      </c>
      <c r="B14" t="s">
        <v>73</v>
      </c>
      <c r="C14">
        <v>1.1015999999999999</v>
      </c>
      <c r="D14">
        <v>4770.5029999999997</v>
      </c>
      <c r="E14">
        <v>0.49435182283635593</v>
      </c>
      <c r="F14">
        <v>0</v>
      </c>
      <c r="G14">
        <v>0.54769999999999996</v>
      </c>
      <c r="H14">
        <v>0.5474</v>
      </c>
      <c r="I14">
        <v>0</v>
      </c>
      <c r="J14">
        <v>599.73149999999998</v>
      </c>
      <c r="K14">
        <v>2637.3732</v>
      </c>
      <c r="L14">
        <v>3237.1046999999999</v>
      </c>
      <c r="M14" s="8">
        <v>0.67856674652547122</v>
      </c>
      <c r="N14" s="9">
        <v>0.17242224232042913</v>
      </c>
      <c r="O14" s="9">
        <v>0.1842117973508858</v>
      </c>
      <c r="P14" s="9">
        <v>0.81053190834389766</v>
      </c>
      <c r="Q14">
        <v>4770.5029999999997</v>
      </c>
      <c r="R14">
        <v>40.934179214173007</v>
      </c>
      <c r="S14" s="9">
        <v>0.17242224232042913</v>
      </c>
      <c r="T14" s="9">
        <v>0.19274356932179548</v>
      </c>
      <c r="U14" s="9">
        <v>0.8</v>
      </c>
    </row>
    <row r="15" spans="1:26" x14ac:dyDescent="0.25">
      <c r="A15" t="s">
        <v>86</v>
      </c>
      <c r="B15" t="s">
        <v>73</v>
      </c>
      <c r="C15">
        <v>15.4312</v>
      </c>
      <c r="D15">
        <v>19390.11</v>
      </c>
      <c r="E15">
        <v>0.14344204447562917</v>
      </c>
      <c r="F15">
        <v>1.3782000000000001</v>
      </c>
      <c r="G15">
        <v>2.5739999999999998</v>
      </c>
      <c r="H15">
        <v>10.540100000000001</v>
      </c>
      <c r="I15">
        <v>1412.544744</v>
      </c>
      <c r="J15">
        <v>2818.5299999999997</v>
      </c>
      <c r="K15">
        <v>50782.20180000001</v>
      </c>
      <c r="L15">
        <v>55013.276544000008</v>
      </c>
      <c r="M15" s="8">
        <v>2.8371822823078365</v>
      </c>
      <c r="N15" s="9">
        <v>4.1238097646947525E-2</v>
      </c>
      <c r="O15" s="9">
        <v>4.4057796631354194E-2</v>
      </c>
      <c r="P15" s="9">
        <v>0.19385430517795846</v>
      </c>
      <c r="Q15">
        <v>19390.11</v>
      </c>
      <c r="R15">
        <v>0</v>
      </c>
      <c r="S15" s="9">
        <v>4.1238097646947525E-2</v>
      </c>
      <c r="T15" s="9">
        <v>4.4057796631354194E-2</v>
      </c>
      <c r="U15" s="9">
        <v>0.19385430517795846</v>
      </c>
    </row>
    <row r="16" spans="1:26" x14ac:dyDescent="0.25">
      <c r="A16" t="s">
        <v>87</v>
      </c>
      <c r="B16" t="s">
        <v>73</v>
      </c>
      <c r="C16">
        <v>7.726</v>
      </c>
      <c r="D16">
        <v>25561.313999999998</v>
      </c>
      <c r="E16">
        <v>0.3776803286536477</v>
      </c>
      <c r="F16">
        <v>0.64339999999999997</v>
      </c>
      <c r="G16">
        <v>3.875</v>
      </c>
      <c r="H16">
        <v>3.1701999999999999</v>
      </c>
      <c r="I16">
        <v>659.43352800000002</v>
      </c>
      <c r="J16">
        <v>4243.125</v>
      </c>
      <c r="K16">
        <v>15274.0236</v>
      </c>
      <c r="L16">
        <v>20176.582128000002</v>
      </c>
      <c r="M16" s="8">
        <v>0.78934056864212865</v>
      </c>
      <c r="N16" s="9">
        <v>0.14822499266858977</v>
      </c>
      <c r="O16" s="9">
        <v>0.15836003490233949</v>
      </c>
      <c r="P16" s="9">
        <v>0.69678415357029388</v>
      </c>
      <c r="Q16">
        <v>25561.313999999995</v>
      </c>
      <c r="R16">
        <v>0</v>
      </c>
      <c r="S16" s="9">
        <v>0.14822499266858977</v>
      </c>
      <c r="T16" s="9">
        <v>0.15836003490233949</v>
      </c>
      <c r="U16" s="9">
        <v>0.69678415357029388</v>
      </c>
    </row>
    <row r="17" spans="1:21" x14ac:dyDescent="0.25">
      <c r="A17" t="s">
        <v>88</v>
      </c>
      <c r="B17" t="s">
        <v>73</v>
      </c>
      <c r="C17">
        <v>3.7251999999999996</v>
      </c>
      <c r="D17">
        <v>2436.0059999999999</v>
      </c>
      <c r="E17">
        <v>7.4649113258973693E-2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s="8">
        <v>0</v>
      </c>
      <c r="N17" s="9">
        <v>0</v>
      </c>
      <c r="O17" s="9">
        <v>0</v>
      </c>
      <c r="P17" s="9">
        <v>0</v>
      </c>
      <c r="Q17">
        <v>0</v>
      </c>
      <c r="R17">
        <v>0</v>
      </c>
      <c r="S17" s="9">
        <v>0</v>
      </c>
      <c r="T17" s="9">
        <v>0</v>
      </c>
      <c r="U17" s="9">
        <v>0</v>
      </c>
    </row>
    <row r="18" spans="1:21" x14ac:dyDescent="0.25">
      <c r="A18" t="s">
        <v>89</v>
      </c>
      <c r="B18" t="s">
        <v>73</v>
      </c>
      <c r="C18">
        <v>6.9056000000000006</v>
      </c>
      <c r="D18">
        <v>14318.564</v>
      </c>
      <c r="E18">
        <v>0.2366976467513891</v>
      </c>
      <c r="F18">
        <v>0.26</v>
      </c>
      <c r="G18">
        <v>1.7629999999999999</v>
      </c>
      <c r="H18">
        <v>4.9025999999999996</v>
      </c>
      <c r="I18">
        <v>266.47920000000005</v>
      </c>
      <c r="J18">
        <v>1930.4849999999999</v>
      </c>
      <c r="K18">
        <v>23620.7268</v>
      </c>
      <c r="L18">
        <v>25817.690999999999</v>
      </c>
      <c r="M18" s="8">
        <v>1.8030921955581578</v>
      </c>
      <c r="N18" s="9">
        <v>6.4888528877350041E-2</v>
      </c>
      <c r="O18" s="9">
        <v>6.9325351364690202E-2</v>
      </c>
      <c r="P18" s="9">
        <v>0.30503154600463694</v>
      </c>
      <c r="Q18">
        <v>14318.564000000002</v>
      </c>
      <c r="R18">
        <v>0</v>
      </c>
      <c r="S18" s="9">
        <v>6.4888528877350041E-2</v>
      </c>
      <c r="T18" s="9">
        <v>6.9325351364690202E-2</v>
      </c>
      <c r="U18" s="9">
        <v>0.30503154600463694</v>
      </c>
    </row>
    <row r="19" spans="1:21" x14ac:dyDescent="0.25">
      <c r="A19" t="s">
        <v>90</v>
      </c>
      <c r="B19" t="s">
        <v>73</v>
      </c>
      <c r="C19">
        <v>14.5481</v>
      </c>
      <c r="D19">
        <v>40195.649000000005</v>
      </c>
      <c r="E19">
        <v>0.31540506364354759</v>
      </c>
      <c r="F19">
        <v>5.7209000000000003</v>
      </c>
      <c r="G19">
        <v>7.0369999999999999</v>
      </c>
      <c r="H19">
        <v>1.7822</v>
      </c>
      <c r="I19">
        <v>5863.4648280000001</v>
      </c>
      <c r="J19">
        <v>7705.5150000000003</v>
      </c>
      <c r="K19">
        <v>8586.6396000000004</v>
      </c>
      <c r="L19">
        <v>22155.619427999998</v>
      </c>
      <c r="M19" s="8">
        <v>0.55119446953076923</v>
      </c>
      <c r="N19" s="9">
        <v>0.21226628071867606</v>
      </c>
      <c r="O19" s="9">
        <v>0.22678021444302998</v>
      </c>
      <c r="P19" s="9">
        <v>0.99783294354933194</v>
      </c>
      <c r="Q19">
        <v>40195.649000000012</v>
      </c>
      <c r="R19">
        <v>3081.8890267737543</v>
      </c>
      <c r="S19" s="9">
        <v>0.21226628071867606</v>
      </c>
      <c r="T19" s="9">
        <v>0.27677507245663702</v>
      </c>
      <c r="U19" s="9">
        <v>0.8</v>
      </c>
    </row>
    <row r="20" spans="1:21" x14ac:dyDescent="0.25">
      <c r="A20" t="s">
        <v>91</v>
      </c>
      <c r="B20" t="s">
        <v>73</v>
      </c>
      <c r="C20">
        <v>6.9496000000000002</v>
      </c>
      <c r="D20">
        <v>14282.079</v>
      </c>
      <c r="E20">
        <v>0.23459973452695021</v>
      </c>
      <c r="F20">
        <v>9.1800000000000007E-2</v>
      </c>
      <c r="G20">
        <v>6.1440999999999999</v>
      </c>
      <c r="H20">
        <v>0.8841</v>
      </c>
      <c r="I20">
        <v>94.08765600000001</v>
      </c>
      <c r="J20">
        <v>6727.7894999999999</v>
      </c>
      <c r="K20">
        <v>4259.5938000000006</v>
      </c>
      <c r="L20">
        <v>11081.470956000001</v>
      </c>
      <c r="M20" s="8">
        <v>0.77590041029740842</v>
      </c>
      <c r="N20" s="9">
        <v>0.15079254817657983</v>
      </c>
      <c r="O20" s="9">
        <v>0.16110314976130322</v>
      </c>
      <c r="P20" s="9">
        <v>0.70885385894973418</v>
      </c>
      <c r="Q20">
        <v>14282.079</v>
      </c>
      <c r="R20">
        <v>0</v>
      </c>
      <c r="S20" s="9">
        <v>0.15079254817657983</v>
      </c>
      <c r="T20" s="9">
        <v>0.16110314976130322</v>
      </c>
      <c r="U20" s="9">
        <v>0.70885385894973418</v>
      </c>
    </row>
    <row r="21" spans="1:21" x14ac:dyDescent="0.25">
      <c r="A21" t="s">
        <v>92</v>
      </c>
      <c r="B21" t="s">
        <v>73</v>
      </c>
      <c r="C21">
        <v>5.5937000000000001</v>
      </c>
      <c r="D21">
        <v>13707.98</v>
      </c>
      <c r="E21">
        <v>0.27975005801944669</v>
      </c>
      <c r="F21">
        <v>1.3109</v>
      </c>
      <c r="G21">
        <v>1.6963999999999999</v>
      </c>
      <c r="H21">
        <v>1.7209000000000001</v>
      </c>
      <c r="I21">
        <v>1343.567628</v>
      </c>
      <c r="J21">
        <v>1857.558</v>
      </c>
      <c r="K21">
        <v>8291.2962000000007</v>
      </c>
      <c r="L21">
        <v>11492.421828</v>
      </c>
      <c r="M21" s="8">
        <v>0.83837456926549359</v>
      </c>
      <c r="N21" s="9">
        <v>0.13955575978706583</v>
      </c>
      <c r="O21" s="9">
        <v>0.14909803396054042</v>
      </c>
      <c r="P21" s="9">
        <v>0.65603134942637786</v>
      </c>
      <c r="Q21">
        <v>13707.980000000001</v>
      </c>
      <c r="R21">
        <v>0</v>
      </c>
      <c r="S21" s="9">
        <v>0.13955575978706583</v>
      </c>
      <c r="T21" s="9">
        <v>0.14909803396054042</v>
      </c>
      <c r="U21" s="9">
        <v>0.65603134942637786</v>
      </c>
    </row>
    <row r="22" spans="1:21" x14ac:dyDescent="0.25">
      <c r="A22" t="s">
        <v>93</v>
      </c>
      <c r="B22" t="s">
        <v>73</v>
      </c>
      <c r="C22">
        <v>1.4607999999999999</v>
      </c>
      <c r="D22">
        <v>2741.136</v>
      </c>
      <c r="E22">
        <v>0.21420801512400789</v>
      </c>
      <c r="F22">
        <v>1.2827999999999999</v>
      </c>
      <c r="G22">
        <v>0.17799999999999999</v>
      </c>
      <c r="H22">
        <v>0</v>
      </c>
      <c r="I22">
        <v>1314.7673760000002</v>
      </c>
      <c r="J22">
        <v>194.91</v>
      </c>
      <c r="K22">
        <v>0</v>
      </c>
      <c r="L22">
        <v>1509.6773760000003</v>
      </c>
      <c r="M22" s="8">
        <v>0.55074880487505917</v>
      </c>
      <c r="N22" s="9">
        <v>0.2124380461007849</v>
      </c>
      <c r="O22" s="9">
        <v>0.22696372446665053</v>
      </c>
      <c r="P22" s="9">
        <v>0.99864038765326235</v>
      </c>
      <c r="Q22">
        <v>2741.1359999999995</v>
      </c>
      <c r="R22">
        <v>0</v>
      </c>
      <c r="S22" s="9">
        <v>0.2124380461007849</v>
      </c>
      <c r="T22" s="9">
        <v>0.22696372446665053</v>
      </c>
      <c r="U22" s="9">
        <v>0.8</v>
      </c>
    </row>
    <row r="23" spans="1:21" x14ac:dyDescent="0.25">
      <c r="A23" t="s">
        <v>94</v>
      </c>
      <c r="B23" t="s">
        <v>73</v>
      </c>
      <c r="C23">
        <v>10.581</v>
      </c>
      <c r="D23">
        <v>29342.095000000001</v>
      </c>
      <c r="E23">
        <v>0.31656310592045106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 s="8">
        <v>0</v>
      </c>
      <c r="N23" s="9">
        <v>0</v>
      </c>
      <c r="O23" s="9">
        <v>0</v>
      </c>
      <c r="P23" s="9">
        <v>0</v>
      </c>
      <c r="Q23">
        <v>0</v>
      </c>
      <c r="R23">
        <v>0</v>
      </c>
      <c r="S23" s="9">
        <v>0</v>
      </c>
      <c r="T23" s="9">
        <v>0</v>
      </c>
      <c r="U23" s="9">
        <v>0</v>
      </c>
    </row>
    <row r="24" spans="1:21" x14ac:dyDescent="0.25">
      <c r="A24" t="s">
        <v>95</v>
      </c>
      <c r="B24" t="s">
        <v>73</v>
      </c>
      <c r="C24">
        <v>5.4331000000000005</v>
      </c>
      <c r="D24">
        <v>12551.895999999999</v>
      </c>
      <c r="E24">
        <v>0.26372878102421232</v>
      </c>
      <c r="F24">
        <v>2.4830000000000001</v>
      </c>
      <c r="G24">
        <v>2.7858999999999998</v>
      </c>
      <c r="H24">
        <v>0.16819999999999999</v>
      </c>
      <c r="I24">
        <v>2544.8763600000002</v>
      </c>
      <c r="J24">
        <v>3050.5604999999996</v>
      </c>
      <c r="K24">
        <v>810.38759999999991</v>
      </c>
      <c r="L24">
        <v>6405.8244599999998</v>
      </c>
      <c r="M24" s="8">
        <v>0.51034715870813463</v>
      </c>
      <c r="N24" s="9">
        <v>0.22925570957653124</v>
      </c>
      <c r="O24" s="9">
        <v>0.2449313136501402</v>
      </c>
      <c r="P24" s="9">
        <v>1.0776977800606169</v>
      </c>
      <c r="Q24">
        <v>12551.896000000001</v>
      </c>
      <c r="R24">
        <v>440.96030254839172</v>
      </c>
      <c r="S24" s="9">
        <v>0.22925570957653124</v>
      </c>
      <c r="T24" s="9">
        <v>0.26300013668071082</v>
      </c>
      <c r="U24" s="9">
        <v>0.8</v>
      </c>
    </row>
    <row r="25" spans="1:21" x14ac:dyDescent="0.25">
      <c r="A25" t="s">
        <v>96</v>
      </c>
      <c r="B25" t="s">
        <v>73</v>
      </c>
      <c r="C25">
        <v>5.7125000000000004</v>
      </c>
      <c r="D25">
        <v>5875.2509999999993</v>
      </c>
      <c r="E25">
        <v>0.11740757171547614</v>
      </c>
      <c r="F25">
        <v>1.8222</v>
      </c>
      <c r="G25">
        <v>3.4575</v>
      </c>
      <c r="H25">
        <v>0.51700000000000002</v>
      </c>
      <c r="I25">
        <v>1867.609224</v>
      </c>
      <c r="J25">
        <v>3785.9625000000001</v>
      </c>
      <c r="K25">
        <v>2490.9060000000004</v>
      </c>
      <c r="L25">
        <v>8144.4777240000003</v>
      </c>
      <c r="M25" s="8">
        <v>1.3862348560087052</v>
      </c>
      <c r="N25" s="9">
        <v>8.4401282721219703E-2</v>
      </c>
      <c r="O25" s="9">
        <v>9.0172310599593686E-2</v>
      </c>
      <c r="P25" s="9">
        <v>0.39675816663821228</v>
      </c>
      <c r="Q25">
        <v>5875.2509999999993</v>
      </c>
      <c r="R25">
        <v>0</v>
      </c>
      <c r="S25" s="9">
        <v>8.4401282721219703E-2</v>
      </c>
      <c r="T25" s="9">
        <v>9.0172310599593686E-2</v>
      </c>
      <c r="U25" s="9">
        <v>0.39675816663821228</v>
      </c>
    </row>
    <row r="26" spans="1:21" x14ac:dyDescent="0.25">
      <c r="A26" t="s">
        <v>97</v>
      </c>
      <c r="B26" t="s">
        <v>73</v>
      </c>
      <c r="C26">
        <v>11.193299999999999</v>
      </c>
      <c r="D26">
        <v>48080.938000000002</v>
      </c>
      <c r="E26">
        <v>0.49035508317577625</v>
      </c>
      <c r="F26">
        <v>7.8554000000000004</v>
      </c>
      <c r="G26">
        <v>1.3565</v>
      </c>
      <c r="H26">
        <v>1.9807999999999999</v>
      </c>
      <c r="I26">
        <v>8051.1565680000003</v>
      </c>
      <c r="J26">
        <v>1485.3675000000001</v>
      </c>
      <c r="K26">
        <v>9543.4943999999996</v>
      </c>
      <c r="L26">
        <v>19080.018468000002</v>
      </c>
      <c r="M26" s="8">
        <v>0.39683124459843111</v>
      </c>
      <c r="N26" s="9">
        <v>0.29483565518737526</v>
      </c>
      <c r="O26" s="9">
        <v>0.31499535810617013</v>
      </c>
      <c r="P26" s="9">
        <v>1.3859795756671487</v>
      </c>
      <c r="Q26">
        <v>48080.938000000002</v>
      </c>
      <c r="R26">
        <v>14092.370182576897</v>
      </c>
      <c r="S26" s="10">
        <v>0.49962701620932093</v>
      </c>
      <c r="T26" s="10">
        <v>0.31499535810617013</v>
      </c>
      <c r="U26" s="9">
        <v>0.8</v>
      </c>
    </row>
    <row r="27" spans="1:21" x14ac:dyDescent="0.25">
      <c r="A27" t="s">
        <v>98</v>
      </c>
      <c r="B27" t="s">
        <v>73</v>
      </c>
      <c r="C27">
        <v>0.38800000000000001</v>
      </c>
      <c r="D27">
        <v>524.39400000000001</v>
      </c>
      <c r="E27">
        <v>0.15428435249258579</v>
      </c>
      <c r="F27">
        <v>0.38799999999999901</v>
      </c>
      <c r="G27">
        <v>0</v>
      </c>
      <c r="H27">
        <v>0</v>
      </c>
      <c r="I27">
        <v>397.668959999999</v>
      </c>
      <c r="J27">
        <v>0</v>
      </c>
      <c r="K27">
        <v>0</v>
      </c>
      <c r="L27">
        <v>397.668959999999</v>
      </c>
      <c r="M27" s="8">
        <v>0.75834002677375978</v>
      </c>
      <c r="N27" s="9">
        <v>0.15428435249258621</v>
      </c>
      <c r="O27" s="9">
        <v>0.16483370992797669</v>
      </c>
      <c r="P27" s="9">
        <v>0.72526832368309757</v>
      </c>
      <c r="Q27">
        <v>524.39400000000012</v>
      </c>
      <c r="R27">
        <v>0</v>
      </c>
      <c r="S27" s="9">
        <v>0.15428435249258621</v>
      </c>
      <c r="T27" s="9">
        <v>0</v>
      </c>
      <c r="U27" s="9">
        <v>0.72526832368309757</v>
      </c>
    </row>
    <row r="28" spans="1:21" x14ac:dyDescent="0.25">
      <c r="A28" t="s">
        <v>99</v>
      </c>
      <c r="B28" t="s">
        <v>73</v>
      </c>
      <c r="C28">
        <v>11.4933</v>
      </c>
      <c r="D28">
        <v>47127.082999999999</v>
      </c>
      <c r="E28">
        <v>0.46808175157994575</v>
      </c>
      <c r="F28">
        <v>0</v>
      </c>
      <c r="G28">
        <v>5.5539999999999896</v>
      </c>
      <c r="H28">
        <v>5.9393000000000002</v>
      </c>
      <c r="I28">
        <v>0</v>
      </c>
      <c r="J28">
        <v>6081.6299999999883</v>
      </c>
      <c r="K28">
        <v>28615.547400000003</v>
      </c>
      <c r="L28">
        <v>34697.177399999993</v>
      </c>
      <c r="M28" s="8">
        <v>0.73624708323237398</v>
      </c>
      <c r="N28" s="9">
        <v>0.15891404212608951</v>
      </c>
      <c r="O28" s="9">
        <v>0.16977995953642042</v>
      </c>
      <c r="P28" s="9">
        <v>0.74703182196024986</v>
      </c>
      <c r="Q28">
        <v>47127.082999999991</v>
      </c>
      <c r="R28">
        <v>0</v>
      </c>
      <c r="S28" s="9">
        <v>0.15891404212608951</v>
      </c>
      <c r="T28" s="9">
        <v>0.16977995953642042</v>
      </c>
      <c r="U28" s="9">
        <v>0.74703182196024986</v>
      </c>
    </row>
    <row r="29" spans="1:21" x14ac:dyDescent="0.25">
      <c r="A29" t="s">
        <v>100</v>
      </c>
      <c r="B29" t="s">
        <v>73</v>
      </c>
      <c r="C29">
        <v>0.56079999999999997</v>
      </c>
      <c r="D29">
        <v>1562.316</v>
      </c>
      <c r="E29">
        <v>0.31802171066773499</v>
      </c>
      <c r="F29">
        <v>9.3100000000000002E-2</v>
      </c>
      <c r="G29">
        <v>0</v>
      </c>
      <c r="H29">
        <v>0.52080000000000004</v>
      </c>
      <c r="I29">
        <v>95.420052000000013</v>
      </c>
      <c r="J29">
        <v>0</v>
      </c>
      <c r="K29">
        <v>2509.2144000000003</v>
      </c>
      <c r="L29">
        <v>2604.6344520000002</v>
      </c>
      <c r="M29" s="8">
        <v>1.6671623743212003</v>
      </c>
      <c r="N29" s="9">
        <v>7.0179127001734051E-2</v>
      </c>
      <c r="O29" s="9">
        <v>7.4977699788177407E-2</v>
      </c>
      <c r="P29" s="9">
        <v>0.32990187906798063</v>
      </c>
      <c r="Q29">
        <v>1562.316</v>
      </c>
      <c r="R29">
        <v>0</v>
      </c>
      <c r="S29" s="9">
        <v>7.0179127001734051E-2</v>
      </c>
      <c r="T29" s="9">
        <v>0</v>
      </c>
      <c r="U29" s="9">
        <v>0.32990187906798063</v>
      </c>
    </row>
    <row r="30" spans="1:21" x14ac:dyDescent="0.25">
      <c r="A30" t="s">
        <v>101</v>
      </c>
      <c r="B30" t="s">
        <v>73</v>
      </c>
      <c r="C30">
        <v>1.9235</v>
      </c>
      <c r="D30">
        <v>1170.758</v>
      </c>
      <c r="E30">
        <v>6.9481764240177657E-2</v>
      </c>
      <c r="F30">
        <v>0.38190000000000002</v>
      </c>
      <c r="G30">
        <v>0.33850000000000002</v>
      </c>
      <c r="H30">
        <v>1.2387999999999999</v>
      </c>
      <c r="I30">
        <v>391.41694799999999</v>
      </c>
      <c r="J30">
        <v>370.65750000000003</v>
      </c>
      <c r="K30">
        <v>5968.5383999999995</v>
      </c>
      <c r="L30">
        <v>6730.6128479999998</v>
      </c>
      <c r="M30" s="8">
        <v>5.7489360294783376</v>
      </c>
      <c r="N30" s="9">
        <v>2.0351591911976219E-2</v>
      </c>
      <c r="O30" s="9">
        <v>2.1743153752111343E-2</v>
      </c>
      <c r="P30" s="9">
        <v>9.5669876509289917E-2</v>
      </c>
      <c r="Q30">
        <v>1170.758</v>
      </c>
      <c r="R30">
        <v>0</v>
      </c>
      <c r="S30" s="9">
        <v>2.0351591911976219E-2</v>
      </c>
      <c r="T30" s="9">
        <v>2.1743153752111343E-2</v>
      </c>
      <c r="U30" s="9">
        <v>9.5669876509289917E-2</v>
      </c>
    </row>
    <row r="31" spans="1:21" x14ac:dyDescent="0.25">
      <c r="A31" t="s">
        <v>102</v>
      </c>
      <c r="B31" t="s">
        <v>73</v>
      </c>
      <c r="C31">
        <v>1.6387</v>
      </c>
      <c r="D31">
        <v>4425.2130000000006</v>
      </c>
      <c r="E31">
        <v>0.30826954376631666</v>
      </c>
      <c r="F31">
        <v>0.4002</v>
      </c>
      <c r="G31">
        <v>1.2384999999999999</v>
      </c>
      <c r="H31">
        <v>0</v>
      </c>
      <c r="I31">
        <v>410.17298399999999</v>
      </c>
      <c r="J31">
        <v>1356.1575</v>
      </c>
      <c r="K31">
        <v>0</v>
      </c>
      <c r="L31">
        <v>1766.3304840000001</v>
      </c>
      <c r="M31" s="8">
        <v>0.3991515174523802</v>
      </c>
      <c r="N31" s="9">
        <v>0.29312177176918386</v>
      </c>
      <c r="O31" s="9">
        <v>0.31316428607818791</v>
      </c>
      <c r="P31" s="9">
        <v>1.3779228587440269</v>
      </c>
      <c r="Q31">
        <v>4425.2130000000006</v>
      </c>
      <c r="R31">
        <v>0</v>
      </c>
      <c r="S31" s="9">
        <v>0.29312177176918386</v>
      </c>
      <c r="T31" s="9">
        <v>0.31316428607818791</v>
      </c>
      <c r="U31" s="9">
        <v>0.8</v>
      </c>
    </row>
    <row r="32" spans="1:21" x14ac:dyDescent="0.25">
      <c r="A32" t="s">
        <v>103</v>
      </c>
      <c r="B32" t="s">
        <v>73</v>
      </c>
      <c r="C32">
        <v>11.559200000000001</v>
      </c>
      <c r="D32">
        <v>29021.577000000001</v>
      </c>
      <c r="E32">
        <v>0.28660853787103813</v>
      </c>
      <c r="F32">
        <v>7.0906000000000002</v>
      </c>
      <c r="G32">
        <v>2.7343999999999999</v>
      </c>
      <c r="H32">
        <v>0</v>
      </c>
      <c r="I32">
        <v>7267.2977520000013</v>
      </c>
      <c r="J32">
        <v>2994.1680000000001</v>
      </c>
      <c r="K32">
        <v>0</v>
      </c>
      <c r="L32">
        <v>10261.465752000002</v>
      </c>
      <c r="M32" s="8">
        <v>0.3535805704838163</v>
      </c>
      <c r="N32" s="9">
        <v>0.3309005351733692</v>
      </c>
      <c r="O32" s="9">
        <v>0.35352621279206109</v>
      </c>
      <c r="P32" s="9">
        <v>1.5555153362850689</v>
      </c>
      <c r="Q32">
        <v>29021.576999999994</v>
      </c>
      <c r="R32">
        <v>0</v>
      </c>
      <c r="S32" s="9">
        <v>0.3309005351733692</v>
      </c>
      <c r="T32" s="9">
        <v>0.35352621279206109</v>
      </c>
      <c r="U32" s="9">
        <v>0.8</v>
      </c>
    </row>
    <row r="33" spans="1:21" x14ac:dyDescent="0.25">
      <c r="A33" t="s">
        <v>104</v>
      </c>
      <c r="B33" t="s">
        <v>73</v>
      </c>
      <c r="C33">
        <v>3.0612999999999997</v>
      </c>
      <c r="D33">
        <v>9912.7290000000012</v>
      </c>
      <c r="E33">
        <v>0.36964363783136278</v>
      </c>
      <c r="F33">
        <v>1.4294</v>
      </c>
      <c r="G33">
        <v>0.98560000000000003</v>
      </c>
      <c r="H33">
        <v>0.79200000000000004</v>
      </c>
      <c r="I33">
        <v>1465.0206480000002</v>
      </c>
      <c r="J33">
        <v>1079.232</v>
      </c>
      <c r="K33">
        <v>3815.8560000000002</v>
      </c>
      <c r="L33">
        <v>6360.1086480000004</v>
      </c>
      <c r="M33" s="8">
        <v>0.64161026171501301</v>
      </c>
      <c r="N33" s="9">
        <v>0.18235369192391196</v>
      </c>
      <c r="O33" s="9">
        <v>0.19482232043152986</v>
      </c>
      <c r="P33" s="9">
        <v>0.85721820989873143</v>
      </c>
      <c r="Q33">
        <v>9912.729000000003</v>
      </c>
      <c r="R33">
        <v>340.29450989097973</v>
      </c>
      <c r="S33" s="9">
        <v>0.18235369192391196</v>
      </c>
      <c r="T33" s="9">
        <v>0.23423628678572661</v>
      </c>
      <c r="U33" s="9">
        <v>0.8</v>
      </c>
    </row>
    <row r="34" spans="1:21" x14ac:dyDescent="0.25">
      <c r="A34" t="s">
        <v>105</v>
      </c>
      <c r="B34" t="s">
        <v>73</v>
      </c>
      <c r="C34">
        <v>6.9566000000000008</v>
      </c>
      <c r="D34">
        <v>25732.841</v>
      </c>
      <c r="E34">
        <v>0.42226647024992653</v>
      </c>
      <c r="F34">
        <v>5.4450000000000003</v>
      </c>
      <c r="G34">
        <v>1.1776</v>
      </c>
      <c r="H34">
        <v>0.33399999999999902</v>
      </c>
      <c r="I34">
        <v>5580.6894000000011</v>
      </c>
      <c r="J34">
        <v>1289.472</v>
      </c>
      <c r="K34">
        <v>1609.2119999999954</v>
      </c>
      <c r="L34">
        <v>8479.3733999999968</v>
      </c>
      <c r="M34" s="8">
        <v>0.3295156333496172</v>
      </c>
      <c r="N34" s="9">
        <v>0.35506661341273182</v>
      </c>
      <c r="O34" s="9">
        <v>0.37934467244949976</v>
      </c>
      <c r="P34" s="9">
        <v>1.6691165587777992</v>
      </c>
      <c r="Q34">
        <v>25732.840999999997</v>
      </c>
      <c r="R34">
        <v>4244.389808055098</v>
      </c>
      <c r="S34" s="9">
        <v>0.35506661341273182</v>
      </c>
      <c r="T34" s="9">
        <v>0.79079116062984589</v>
      </c>
      <c r="U34" s="9">
        <v>0.8</v>
      </c>
    </row>
    <row r="35" spans="1:21" x14ac:dyDescent="0.25">
      <c r="A35" t="s">
        <v>106</v>
      </c>
      <c r="B35" t="s">
        <v>73</v>
      </c>
      <c r="C35">
        <v>22.548200000000001</v>
      </c>
      <c r="D35">
        <v>55173.313999999998</v>
      </c>
      <c r="E35">
        <v>0.27932710885932066</v>
      </c>
      <c r="F35">
        <v>7.8594999999999997</v>
      </c>
      <c r="G35">
        <v>3.0371000000000001</v>
      </c>
      <c r="H35">
        <v>9.5710999999999995</v>
      </c>
      <c r="I35">
        <v>8055.3587400000006</v>
      </c>
      <c r="J35">
        <v>3325.6245000000004</v>
      </c>
      <c r="K35">
        <v>46113.559799999995</v>
      </c>
      <c r="L35">
        <v>57494.543039999997</v>
      </c>
      <c r="M35" s="8">
        <v>1.0420715898994213</v>
      </c>
      <c r="N35" s="9">
        <v>0.11227635522746822</v>
      </c>
      <c r="O35" s="9">
        <v>0.11995337096951732</v>
      </c>
      <c r="P35" s="9">
        <v>0.5277948322658762</v>
      </c>
      <c r="Q35">
        <v>55173.313999999991</v>
      </c>
      <c r="R35">
        <v>0</v>
      </c>
      <c r="S35" s="9">
        <v>0.11227635522746822</v>
      </c>
      <c r="T35" s="9">
        <v>0.11995337096951732</v>
      </c>
      <c r="U35" s="9">
        <v>0.5277948322658762</v>
      </c>
    </row>
    <row r="36" spans="1:21" x14ac:dyDescent="0.25">
      <c r="A36" t="s">
        <v>107</v>
      </c>
      <c r="B36" t="s">
        <v>73</v>
      </c>
      <c r="C36">
        <v>14.3588</v>
      </c>
      <c r="D36">
        <v>55882.908000000003</v>
      </c>
      <c r="E36">
        <v>0.44427998142325781</v>
      </c>
      <c r="F36">
        <v>8.6448</v>
      </c>
      <c r="G36">
        <v>5.5946999999999996</v>
      </c>
      <c r="H36">
        <v>3.4000000000000002E-2</v>
      </c>
      <c r="I36">
        <v>8860.2284160000017</v>
      </c>
      <c r="J36">
        <v>6126.1964999999991</v>
      </c>
      <c r="K36">
        <v>163.81200000000001</v>
      </c>
      <c r="L36">
        <v>15150.236916</v>
      </c>
      <c r="M36" s="8">
        <v>0.2711068099033071</v>
      </c>
      <c r="N36" s="9">
        <v>0.43156422386338877</v>
      </c>
      <c r="O36" s="9">
        <v>0.46107288874293667</v>
      </c>
      <c r="P36" s="9">
        <v>2.0287207104689218</v>
      </c>
      <c r="Q36">
        <v>55882.908000000003</v>
      </c>
      <c r="R36">
        <v>742.43504652326237</v>
      </c>
      <c r="S36" s="9">
        <v>0.43156422386338877</v>
      </c>
      <c r="T36" s="9">
        <v>0.47622166511917724</v>
      </c>
      <c r="U36" s="9">
        <v>0.8</v>
      </c>
    </row>
    <row r="37" spans="1:21" x14ac:dyDescent="0.25">
      <c r="A37" t="s">
        <v>108</v>
      </c>
      <c r="B37" t="s">
        <v>73</v>
      </c>
      <c r="C37">
        <v>14.7751</v>
      </c>
      <c r="D37">
        <v>33361.047999999995</v>
      </c>
      <c r="E37">
        <v>0.25775384347891978</v>
      </c>
      <c r="F37">
        <v>7.3348000000000004</v>
      </c>
      <c r="G37">
        <v>1.6960999999999999</v>
      </c>
      <c r="H37">
        <v>5.6479999999999997</v>
      </c>
      <c r="I37">
        <v>7517.5832160000009</v>
      </c>
      <c r="J37">
        <v>1857.2294999999999</v>
      </c>
      <c r="K37">
        <v>27212.064000000002</v>
      </c>
      <c r="L37">
        <v>36586.876715999999</v>
      </c>
      <c r="M37" s="8">
        <v>1.0966944658333277</v>
      </c>
      <c r="N37" s="9">
        <v>0.1066842257757698</v>
      </c>
      <c r="O37" s="9">
        <v>0.11397887369206175</v>
      </c>
      <c r="P37" s="9">
        <v>0.50150704424507175</v>
      </c>
      <c r="Q37">
        <v>33361.047999999995</v>
      </c>
      <c r="R37">
        <v>0</v>
      </c>
      <c r="S37" s="9">
        <v>0.1066842257757698</v>
      </c>
      <c r="T37" s="9">
        <v>0.11397887369206175</v>
      </c>
      <c r="U37" s="9">
        <v>0.50150704424507175</v>
      </c>
    </row>
    <row r="38" spans="1:21" x14ac:dyDescent="0.25">
      <c r="A38" t="s">
        <v>109</v>
      </c>
      <c r="B38" t="s">
        <v>73</v>
      </c>
      <c r="C38">
        <v>3.7336999999999998</v>
      </c>
      <c r="D38">
        <v>21183.567999999999</v>
      </c>
      <c r="E38">
        <v>0.64767269065917321</v>
      </c>
      <c r="F38">
        <v>0.35820000000000002</v>
      </c>
      <c r="G38">
        <v>0</v>
      </c>
      <c r="H38">
        <v>3.3805000000000001</v>
      </c>
      <c r="I38">
        <v>367.12634400000007</v>
      </c>
      <c r="J38">
        <v>0</v>
      </c>
      <c r="K38">
        <v>16287.249000000002</v>
      </c>
      <c r="L38">
        <v>16654.375344</v>
      </c>
      <c r="M38" s="8">
        <v>0.78619311647594026</v>
      </c>
      <c r="N38" s="9">
        <v>0.14881839785680767</v>
      </c>
      <c r="O38" s="9">
        <v>0.15899401480428169</v>
      </c>
      <c r="P38" s="9">
        <v>0.69957366513883945</v>
      </c>
      <c r="Q38">
        <v>21183.567999999999</v>
      </c>
      <c r="R38">
        <v>0</v>
      </c>
      <c r="S38" s="9">
        <v>0.14881839785680767</v>
      </c>
      <c r="T38" s="9">
        <v>0</v>
      </c>
      <c r="U38" s="9">
        <v>0.69957366513883945</v>
      </c>
    </row>
    <row r="39" spans="1:21" x14ac:dyDescent="0.25">
      <c r="A39" t="s">
        <v>110</v>
      </c>
      <c r="B39" t="s">
        <v>73</v>
      </c>
      <c r="C39">
        <v>23.892499999999998</v>
      </c>
      <c r="D39">
        <v>124783.606</v>
      </c>
      <c r="E39">
        <v>0.59619980668739314</v>
      </c>
      <c r="F39">
        <v>1.9363999999999999</v>
      </c>
      <c r="G39">
        <v>4.8223000000000003</v>
      </c>
      <c r="H39">
        <v>16.5932</v>
      </c>
      <c r="I39">
        <v>1984.655088</v>
      </c>
      <c r="J39">
        <v>5280.4185000000007</v>
      </c>
      <c r="K39">
        <v>79946.037599999996</v>
      </c>
      <c r="L39">
        <v>87211.111187999995</v>
      </c>
      <c r="M39" s="8">
        <v>0.69889878954131202</v>
      </c>
      <c r="N39" s="9">
        <v>0.16740621353313148</v>
      </c>
      <c r="O39" s="9">
        <v>0.17885279223625158</v>
      </c>
      <c r="P39" s="9">
        <v>0.78695228583950705</v>
      </c>
      <c r="Q39">
        <v>124783.60600000001</v>
      </c>
      <c r="R39">
        <v>0</v>
      </c>
      <c r="S39" s="9">
        <v>0.16740621353313148</v>
      </c>
      <c r="T39" s="9">
        <v>0.17885279223625158</v>
      </c>
      <c r="U39" s="9">
        <v>0.78695228583950705</v>
      </c>
    </row>
    <row r="40" spans="1:21" x14ac:dyDescent="0.25">
      <c r="A40" t="s">
        <v>111</v>
      </c>
      <c r="B40" t="s">
        <v>73</v>
      </c>
      <c r="C40">
        <v>1.7352000000000001</v>
      </c>
      <c r="D40">
        <v>8439.2209999999995</v>
      </c>
      <c r="E40">
        <v>0.55519905065356379</v>
      </c>
      <c r="F40">
        <v>0</v>
      </c>
      <c r="G40">
        <v>1.2402</v>
      </c>
      <c r="H40">
        <v>0</v>
      </c>
      <c r="I40">
        <v>0</v>
      </c>
      <c r="J40">
        <v>1358.019</v>
      </c>
      <c r="K40">
        <v>0</v>
      </c>
      <c r="L40">
        <v>1358.019</v>
      </c>
      <c r="M40" s="8">
        <v>0.16091757758210148</v>
      </c>
      <c r="N40" s="9">
        <v>0.72708029637287841</v>
      </c>
      <c r="O40" s="9">
        <v>0.77679518843256234</v>
      </c>
      <c r="P40" s="9">
        <v>3.4178988291032746</v>
      </c>
      <c r="Q40">
        <v>8439.2209999999977</v>
      </c>
      <c r="R40">
        <v>0</v>
      </c>
      <c r="S40" s="9">
        <v>0.72708029637287841</v>
      </c>
      <c r="T40" s="9">
        <v>0.77679518843256234</v>
      </c>
      <c r="U40" s="9">
        <v>0.8</v>
      </c>
    </row>
    <row r="41" spans="1:21" x14ac:dyDescent="0.25">
      <c r="A41" t="s">
        <v>112</v>
      </c>
      <c r="B41" t="s">
        <v>73</v>
      </c>
      <c r="C41">
        <v>6.7462</v>
      </c>
      <c r="D41">
        <v>23080.749</v>
      </c>
      <c r="E41">
        <v>0.39055893667992897</v>
      </c>
      <c r="F41">
        <v>0.93</v>
      </c>
      <c r="G41">
        <v>3.1850000000000001</v>
      </c>
      <c r="H41">
        <v>2.3862000000000001</v>
      </c>
      <c r="I41">
        <v>953.17560000000014</v>
      </c>
      <c r="J41">
        <v>3487.5750000000003</v>
      </c>
      <c r="K41">
        <v>11496.711600000001</v>
      </c>
      <c r="L41">
        <v>15937.462200000002</v>
      </c>
      <c r="M41" s="8">
        <v>0.69050888253236509</v>
      </c>
      <c r="N41" s="9">
        <v>0.16944025335476559</v>
      </c>
      <c r="O41" s="9">
        <v>0.18102591170380938</v>
      </c>
      <c r="P41" s="9">
        <v>0.79651401149676127</v>
      </c>
      <c r="Q41">
        <v>23080.748999999993</v>
      </c>
      <c r="R41">
        <v>0</v>
      </c>
      <c r="S41" s="9">
        <v>0.16944025335476559</v>
      </c>
      <c r="T41" s="9">
        <v>0.18102591170380938</v>
      </c>
      <c r="U41" s="9">
        <v>0.79651401149676127</v>
      </c>
    </row>
    <row r="42" spans="1:21" x14ac:dyDescent="0.25">
      <c r="A42" t="s">
        <v>113</v>
      </c>
      <c r="B42" t="s">
        <v>73</v>
      </c>
      <c r="C42">
        <v>1.2112000000000001</v>
      </c>
      <c r="D42">
        <v>1280.241</v>
      </c>
      <c r="E42">
        <v>0.12066234550587213</v>
      </c>
      <c r="F42">
        <v>0.29499999999999998</v>
      </c>
      <c r="G42">
        <v>0.86970000000000003</v>
      </c>
      <c r="H42">
        <v>0</v>
      </c>
      <c r="I42">
        <v>302.35139999999996</v>
      </c>
      <c r="J42">
        <v>952.32150000000001</v>
      </c>
      <c r="K42">
        <v>0</v>
      </c>
      <c r="L42">
        <v>1254.6729</v>
      </c>
      <c r="M42" s="8">
        <v>0.9800286820996984</v>
      </c>
      <c r="N42" s="9">
        <v>0.11938426102930892</v>
      </c>
      <c r="O42" s="9">
        <v>0.12754728742447533</v>
      </c>
      <c r="P42" s="9">
        <v>0.56120806466769158</v>
      </c>
      <c r="Q42">
        <v>1280.241</v>
      </c>
      <c r="R42">
        <v>0</v>
      </c>
      <c r="S42" s="9">
        <v>0.11938426102930892</v>
      </c>
      <c r="T42" s="9">
        <v>0.12754728742447533</v>
      </c>
      <c r="U42" s="9">
        <v>0.56120806466769158</v>
      </c>
    </row>
    <row r="43" spans="1:21" x14ac:dyDescent="0.25">
      <c r="A43" t="s">
        <v>114</v>
      </c>
      <c r="B43" t="s">
        <v>73</v>
      </c>
      <c r="C43">
        <v>6.2078999999999995</v>
      </c>
      <c r="D43">
        <v>12617.067999999999</v>
      </c>
      <c r="E43">
        <v>0.23201156046489885</v>
      </c>
      <c r="F43">
        <v>3.7528000000000001</v>
      </c>
      <c r="G43">
        <v>0</v>
      </c>
      <c r="H43">
        <v>2.4550999999999998</v>
      </c>
      <c r="I43">
        <v>3846.3197760000007</v>
      </c>
      <c r="J43">
        <v>0</v>
      </c>
      <c r="K43">
        <v>11828.6718</v>
      </c>
      <c r="L43">
        <v>15674.991576</v>
      </c>
      <c r="M43" s="8">
        <v>1.2423640402033183</v>
      </c>
      <c r="N43" s="9">
        <v>9.4175295013249463E-2</v>
      </c>
      <c r="O43" s="9">
        <v>0.10061463142441181</v>
      </c>
      <c r="P43" s="9">
        <v>0.44270437826741199</v>
      </c>
      <c r="Q43">
        <v>12617.068000000001</v>
      </c>
      <c r="R43">
        <v>0</v>
      </c>
      <c r="S43" s="9">
        <v>9.4175295013249463E-2</v>
      </c>
      <c r="T43" s="9">
        <v>0</v>
      </c>
      <c r="U43" s="9">
        <v>0.44270437826741199</v>
      </c>
    </row>
    <row r="44" spans="1:21" x14ac:dyDescent="0.25">
      <c r="A44" t="s">
        <v>115</v>
      </c>
      <c r="B44" t="s">
        <v>73</v>
      </c>
      <c r="C44">
        <v>64.056399999999996</v>
      </c>
      <c r="D44">
        <v>193040.954</v>
      </c>
      <c r="E44">
        <v>0.34401931086472054</v>
      </c>
      <c r="F44">
        <v>9.5656999999999996</v>
      </c>
      <c r="G44">
        <v>16.109100000000002</v>
      </c>
      <c r="H44">
        <v>38.516300000000001</v>
      </c>
      <c r="I44">
        <v>9804.0772440000001</v>
      </c>
      <c r="J44">
        <v>17639.464500000002</v>
      </c>
      <c r="K44">
        <v>185571.53340000001</v>
      </c>
      <c r="L44">
        <v>213015.075144</v>
      </c>
      <c r="M44" s="8">
        <v>1.1034708994651985</v>
      </c>
      <c r="N44" s="9">
        <v>0.10602907612398706</v>
      </c>
      <c r="O44" s="9">
        <v>0.11327892748289216</v>
      </c>
      <c r="P44" s="9">
        <v>0.49842728092472555</v>
      </c>
      <c r="Q44">
        <v>193040.95400000003</v>
      </c>
      <c r="R44">
        <v>0</v>
      </c>
      <c r="S44" s="9">
        <v>0.10602907612398706</v>
      </c>
      <c r="T44" s="9">
        <v>0.11327892748289216</v>
      </c>
      <c r="U44" s="9">
        <v>0.49842728092472555</v>
      </c>
    </row>
    <row r="45" spans="1:21" x14ac:dyDescent="0.25">
      <c r="A45" t="s">
        <v>116</v>
      </c>
      <c r="B45" t="s">
        <v>73</v>
      </c>
      <c r="C45">
        <v>2.6071</v>
      </c>
      <c r="D45">
        <v>10340.092000000001</v>
      </c>
      <c r="E45">
        <v>0.45275432437833535</v>
      </c>
      <c r="F45">
        <v>0.54299999999999904</v>
      </c>
      <c r="G45">
        <v>0.23749999999999999</v>
      </c>
      <c r="H45">
        <v>1.83</v>
      </c>
      <c r="I45">
        <v>556.5315599999991</v>
      </c>
      <c r="J45">
        <v>260.0625</v>
      </c>
      <c r="K45">
        <v>8816.9400000000023</v>
      </c>
      <c r="L45">
        <v>9633.5340600000018</v>
      </c>
      <c r="M45" s="8">
        <v>0.93166811862022125</v>
      </c>
      <c r="N45" s="9">
        <v>0.12558119963713504</v>
      </c>
      <c r="O45" s="9">
        <v>0.13416794833027246</v>
      </c>
      <c r="P45" s="9">
        <v>0.5903389726531989</v>
      </c>
      <c r="Q45">
        <v>10340.091999999999</v>
      </c>
      <c r="R45">
        <v>0</v>
      </c>
      <c r="S45" s="9">
        <v>0.12558119963713504</v>
      </c>
      <c r="T45" s="9">
        <v>0.13416794833027246</v>
      </c>
      <c r="U45" s="9">
        <v>0.5903389726531989</v>
      </c>
    </row>
    <row r="46" spans="1:21" x14ac:dyDescent="0.25">
      <c r="A46" t="s">
        <v>117</v>
      </c>
      <c r="B46" t="s">
        <v>73</v>
      </c>
      <c r="C46">
        <v>13.586099999999998</v>
      </c>
      <c r="D46">
        <v>52792.583999999995</v>
      </c>
      <c r="E46">
        <v>0.44358209382615371</v>
      </c>
      <c r="F46">
        <v>4.1923000000000004</v>
      </c>
      <c r="G46">
        <v>1.3049999999999999</v>
      </c>
      <c r="H46">
        <v>8.8771000000000004</v>
      </c>
      <c r="I46">
        <v>4296.772116000001</v>
      </c>
      <c r="J46">
        <v>1428.9749999999999</v>
      </c>
      <c r="K46">
        <v>42769.8678</v>
      </c>
      <c r="L46">
        <v>48495.614915999999</v>
      </c>
      <c r="M46" s="8">
        <v>0.91860657769659471</v>
      </c>
      <c r="N46" s="9">
        <v>0.12736682148888745</v>
      </c>
      <c r="O46" s="9">
        <v>0.13607566398385412</v>
      </c>
      <c r="P46" s="9">
        <v>0.59873292152895818</v>
      </c>
      <c r="Q46">
        <v>52792.584000000003</v>
      </c>
      <c r="R46">
        <v>0</v>
      </c>
      <c r="S46" s="9">
        <v>0.12736682148888745</v>
      </c>
      <c r="T46" s="9">
        <v>0.13607566398385412</v>
      </c>
      <c r="U46" s="9">
        <v>0.59873292152895818</v>
      </c>
    </row>
    <row r="47" spans="1:21" x14ac:dyDescent="0.25">
      <c r="A47" t="s">
        <v>118</v>
      </c>
      <c r="B47" t="s">
        <v>73</v>
      </c>
      <c r="C47">
        <v>0</v>
      </c>
      <c r="D47">
        <v>0.55400000000000005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s="8">
        <v>0</v>
      </c>
      <c r="N47" s="9">
        <v>0</v>
      </c>
      <c r="O47" s="9">
        <v>0</v>
      </c>
      <c r="P47" s="9">
        <v>0</v>
      </c>
      <c r="Q47">
        <v>0</v>
      </c>
      <c r="R47">
        <v>0</v>
      </c>
      <c r="S47" s="9">
        <v>0</v>
      </c>
      <c r="T47" s="9">
        <v>0</v>
      </c>
      <c r="U47" s="9">
        <v>0</v>
      </c>
    </row>
    <row r="48" spans="1:21" x14ac:dyDescent="0.25">
      <c r="A48" t="s">
        <v>119</v>
      </c>
      <c r="B48" t="s">
        <v>73</v>
      </c>
      <c r="C48">
        <v>3.2504</v>
      </c>
      <c r="D48">
        <v>15754.416000000001</v>
      </c>
      <c r="E48">
        <v>0.55330092144612764</v>
      </c>
      <c r="F48">
        <v>2.6356000000000002</v>
      </c>
      <c r="G48">
        <v>0.62380000000000002</v>
      </c>
      <c r="H48">
        <v>0</v>
      </c>
      <c r="I48">
        <v>2701.2791520000005</v>
      </c>
      <c r="J48">
        <v>683.06100000000004</v>
      </c>
      <c r="K48">
        <v>0</v>
      </c>
      <c r="L48">
        <v>3384.3401520000007</v>
      </c>
      <c r="M48" s="8">
        <v>0.21481850879143985</v>
      </c>
      <c r="N48" s="9">
        <v>0.54464580663108231</v>
      </c>
      <c r="O48" s="9">
        <v>0.58188654554602814</v>
      </c>
      <c r="P48" s="9">
        <v>2.5603008004025236</v>
      </c>
      <c r="Q48">
        <v>15754.415999999999</v>
      </c>
      <c r="R48">
        <v>0</v>
      </c>
      <c r="S48" s="9">
        <v>0.54464580663108231</v>
      </c>
      <c r="T48" s="9">
        <v>0.58188654554602814</v>
      </c>
      <c r="U48" s="9">
        <v>0.8</v>
      </c>
    </row>
    <row r="49" spans="1:21" x14ac:dyDescent="0.25">
      <c r="A49" t="s">
        <v>120</v>
      </c>
      <c r="B49" t="s">
        <v>73</v>
      </c>
      <c r="C49">
        <v>7.1665000000000001</v>
      </c>
      <c r="D49">
        <v>20369.475000000002</v>
      </c>
      <c r="E49">
        <v>0.32446557374542323</v>
      </c>
      <c r="F49">
        <v>3.4870000000000001</v>
      </c>
      <c r="G49">
        <v>3.2422</v>
      </c>
      <c r="H49">
        <v>0.45910000000000001</v>
      </c>
      <c r="I49">
        <v>3573.8960400000005</v>
      </c>
      <c r="J49">
        <v>3550.2089999999998</v>
      </c>
      <c r="K49">
        <v>2211.9438000000005</v>
      </c>
      <c r="L49">
        <v>9336.0488400000013</v>
      </c>
      <c r="M49" s="8">
        <v>0.45833527079122072</v>
      </c>
      <c r="N49" s="9">
        <v>0.25527164819330572</v>
      </c>
      <c r="O49" s="9">
        <v>0.27272611986464285</v>
      </c>
      <c r="P49" s="9">
        <v>1.1999949274044286</v>
      </c>
      <c r="Q49">
        <v>20369.475000000002</v>
      </c>
      <c r="R49">
        <v>1930.39103924145</v>
      </c>
      <c r="S49" s="9">
        <v>0.25527164819330572</v>
      </c>
      <c r="T49" s="9">
        <v>0.34069363386316553</v>
      </c>
      <c r="U49" s="9">
        <v>0.8</v>
      </c>
    </row>
    <row r="50" spans="1:21" x14ac:dyDescent="0.25">
      <c r="A50" t="s">
        <v>121</v>
      </c>
      <c r="B50" t="s">
        <v>73</v>
      </c>
      <c r="C50">
        <v>1.0894999999999999</v>
      </c>
      <c r="D50">
        <v>1926.0900000000001</v>
      </c>
      <c r="E50">
        <v>0.20181118648116836</v>
      </c>
      <c r="F50">
        <v>1.0895999999999999</v>
      </c>
      <c r="G50">
        <v>0</v>
      </c>
      <c r="H50">
        <v>0</v>
      </c>
      <c r="I50">
        <v>1116.7528319999999</v>
      </c>
      <c r="J50">
        <v>0</v>
      </c>
      <c r="K50">
        <v>0</v>
      </c>
      <c r="L50">
        <v>1116.7528319999999</v>
      </c>
      <c r="M50" s="8">
        <v>0.57980303724125026</v>
      </c>
      <c r="N50" s="9">
        <v>0.20179266489650602</v>
      </c>
      <c r="O50" s="9">
        <v>0.21559045394925855</v>
      </c>
      <c r="P50" s="9">
        <v>0.94859799737673767</v>
      </c>
      <c r="Q50">
        <v>1926.0900000000004</v>
      </c>
      <c r="R50">
        <v>0</v>
      </c>
      <c r="S50" s="9">
        <v>0.20179266489650602</v>
      </c>
      <c r="T50" s="9">
        <v>0</v>
      </c>
      <c r="U50" s="9">
        <v>0.8</v>
      </c>
    </row>
    <row r="51" spans="1:21" x14ac:dyDescent="0.25">
      <c r="A51" t="s">
        <v>122</v>
      </c>
      <c r="B51" t="s">
        <v>73</v>
      </c>
      <c r="C51">
        <v>0.48599999999999999</v>
      </c>
      <c r="D51">
        <v>865.73599999999999</v>
      </c>
      <c r="E51">
        <v>0.20335043313226978</v>
      </c>
      <c r="F51">
        <v>0.15</v>
      </c>
      <c r="G51">
        <v>0.247</v>
      </c>
      <c r="H51">
        <v>9.4E-2</v>
      </c>
      <c r="I51">
        <v>153.738</v>
      </c>
      <c r="J51">
        <v>270.46499999999997</v>
      </c>
      <c r="K51">
        <v>452.89200000000005</v>
      </c>
      <c r="L51">
        <v>877.09500000000003</v>
      </c>
      <c r="M51" s="8">
        <v>1.0131206279974496</v>
      </c>
      <c r="N51" s="9">
        <v>0.1154847673285106</v>
      </c>
      <c r="O51" s="9">
        <v>0.12338116167575917</v>
      </c>
      <c r="P51" s="9">
        <v>0.54287711137334038</v>
      </c>
      <c r="Q51">
        <v>865.73599999999999</v>
      </c>
      <c r="R51">
        <v>0</v>
      </c>
      <c r="S51" s="9">
        <v>0.1154847673285106</v>
      </c>
      <c r="T51" s="9">
        <v>0.12338116167575917</v>
      </c>
      <c r="U51" s="9">
        <v>0.54287711137334038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3832-2BD6-4826-BBDC-BA28E9FB3560}">
  <dimension ref="A1:I51"/>
  <sheetViews>
    <sheetView workbookViewId="0">
      <selection activeCell="I4" sqref="I4"/>
    </sheetView>
  </sheetViews>
  <sheetFormatPr defaultRowHeight="15" x14ac:dyDescent="0.25"/>
  <sheetData>
    <row r="1" spans="1:9" x14ac:dyDescent="0.25">
      <c r="A1" s="1" t="s">
        <v>175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</row>
    <row r="2" spans="1:9" x14ac:dyDescent="0.25">
      <c r="A2">
        <v>2021</v>
      </c>
      <c r="B2" s="14" t="s">
        <v>72</v>
      </c>
      <c r="C2" s="15" t="s">
        <v>176</v>
      </c>
      <c r="D2">
        <v>0.12279999999999999</v>
      </c>
      <c r="E2">
        <v>608.61500000000001</v>
      </c>
      <c r="F2">
        <v>0.56577034343254062</v>
      </c>
      <c r="I2" t="str">
        <f>About!B2</f>
        <v>WV</v>
      </c>
    </row>
    <row r="3" spans="1:9" x14ac:dyDescent="0.25">
      <c r="A3">
        <v>2021</v>
      </c>
      <c r="B3" s="14" t="s">
        <v>74</v>
      </c>
      <c r="C3" s="15" t="s">
        <v>176</v>
      </c>
      <c r="D3">
        <v>4.7279999999999998</v>
      </c>
      <c r="E3">
        <v>26900.888999999999</v>
      </c>
      <c r="F3">
        <v>0.64950882819924438</v>
      </c>
      <c r="I3">
        <f>SUMIFS(F:F,B:B,I2)</f>
        <v>0.54239278605716956</v>
      </c>
    </row>
    <row r="4" spans="1:9" x14ac:dyDescent="0.25">
      <c r="A4">
        <v>2021</v>
      </c>
      <c r="B4" s="14" t="s">
        <v>75</v>
      </c>
      <c r="C4" s="15" t="s">
        <v>176</v>
      </c>
      <c r="D4">
        <v>5.1281000000000008</v>
      </c>
      <c r="E4">
        <v>21384.686999999998</v>
      </c>
      <c r="F4">
        <v>0.47603875023273579</v>
      </c>
    </row>
    <row r="5" spans="1:9" x14ac:dyDescent="0.25">
      <c r="A5">
        <v>2021</v>
      </c>
      <c r="B5" s="14" t="s">
        <v>76</v>
      </c>
      <c r="C5" s="15" t="s">
        <v>176</v>
      </c>
      <c r="D5">
        <v>2.9430000000000001</v>
      </c>
      <c r="E5">
        <v>14300.572</v>
      </c>
      <c r="F5">
        <v>0.55470111727076243</v>
      </c>
    </row>
    <row r="6" spans="1:9" x14ac:dyDescent="0.25">
      <c r="A6">
        <v>2021</v>
      </c>
      <c r="B6" s="14" t="s">
        <v>77</v>
      </c>
      <c r="C6" s="15" t="s">
        <v>176</v>
      </c>
      <c r="D6">
        <v>0</v>
      </c>
      <c r="E6">
        <v>0</v>
      </c>
      <c r="F6">
        <v>0</v>
      </c>
    </row>
    <row r="7" spans="1:9" x14ac:dyDescent="0.25">
      <c r="A7">
        <v>2021</v>
      </c>
      <c r="B7" s="14" t="s">
        <v>78</v>
      </c>
      <c r="C7" s="15" t="s">
        <v>176</v>
      </c>
      <c r="D7">
        <v>4.1289999999999996</v>
      </c>
      <c r="E7">
        <v>23602.042000000001</v>
      </c>
      <c r="F7">
        <v>0.65253016032053057</v>
      </c>
    </row>
    <row r="8" spans="1:9" x14ac:dyDescent="0.25">
      <c r="A8">
        <v>2021</v>
      </c>
      <c r="B8" s="14" t="s">
        <v>79</v>
      </c>
      <c r="C8" s="15" t="s">
        <v>176</v>
      </c>
      <c r="D8">
        <v>0</v>
      </c>
      <c r="E8">
        <v>244.64699999999999</v>
      </c>
      <c r="F8">
        <v>0</v>
      </c>
    </row>
    <row r="9" spans="1:9" x14ac:dyDescent="0.25">
      <c r="A9">
        <v>2021</v>
      </c>
      <c r="B9" s="14" t="s">
        <v>80</v>
      </c>
      <c r="C9" s="15" t="s">
        <v>176</v>
      </c>
      <c r="D9">
        <v>0.41</v>
      </c>
      <c r="E9">
        <v>276.72899999999998</v>
      </c>
      <c r="F9">
        <v>7.7048947544269955E-2</v>
      </c>
    </row>
    <row r="10" spans="1:9" x14ac:dyDescent="0.25">
      <c r="A10">
        <v>2021</v>
      </c>
      <c r="B10" s="14" t="s">
        <v>81</v>
      </c>
      <c r="C10" s="15" t="s">
        <v>176</v>
      </c>
      <c r="D10">
        <v>4.7759999999999998</v>
      </c>
      <c r="E10">
        <v>18338.496999999999</v>
      </c>
      <c r="F10">
        <v>0.43832406419464143</v>
      </c>
    </row>
    <row r="11" spans="1:9" x14ac:dyDescent="0.25">
      <c r="A11">
        <v>2021</v>
      </c>
      <c r="B11" s="14" t="s">
        <v>82</v>
      </c>
      <c r="C11" s="15" t="s">
        <v>176</v>
      </c>
      <c r="D11">
        <v>8.3840000000000003</v>
      </c>
      <c r="E11">
        <v>18895.394</v>
      </c>
      <c r="F11">
        <v>0.25727677093136742</v>
      </c>
    </row>
    <row r="12" spans="1:9" x14ac:dyDescent="0.25">
      <c r="A12">
        <v>2021</v>
      </c>
      <c r="B12" s="14" t="s">
        <v>83</v>
      </c>
      <c r="C12" s="15" t="s">
        <v>176</v>
      </c>
      <c r="D12">
        <v>0.18</v>
      </c>
      <c r="E12">
        <v>1084.5549999999998</v>
      </c>
      <c r="F12">
        <v>0.68782026889903591</v>
      </c>
    </row>
    <row r="13" spans="1:9" x14ac:dyDescent="0.25">
      <c r="A13">
        <v>2021</v>
      </c>
      <c r="B13" s="14" t="s">
        <v>84</v>
      </c>
      <c r="C13" s="15" t="s">
        <v>176</v>
      </c>
      <c r="D13">
        <v>4.8196000000000003</v>
      </c>
      <c r="E13">
        <v>20640.596999999998</v>
      </c>
      <c r="F13">
        <v>0.4888854955279639</v>
      </c>
    </row>
    <row r="14" spans="1:9" x14ac:dyDescent="0.25">
      <c r="A14">
        <v>2021</v>
      </c>
      <c r="B14" s="14" t="s">
        <v>85</v>
      </c>
      <c r="C14" s="15" t="s">
        <v>176</v>
      </c>
      <c r="D14">
        <v>0</v>
      </c>
      <c r="E14">
        <v>0</v>
      </c>
      <c r="F14">
        <v>0</v>
      </c>
    </row>
    <row r="15" spans="1:9" x14ac:dyDescent="0.25">
      <c r="A15">
        <v>2021</v>
      </c>
      <c r="B15" s="14" t="s">
        <v>86</v>
      </c>
      <c r="C15" s="15" t="s">
        <v>176</v>
      </c>
      <c r="D15">
        <v>9.2100000000000009</v>
      </c>
      <c r="E15">
        <v>42026.366999999998</v>
      </c>
      <c r="F15">
        <v>0.5209045037407225</v>
      </c>
    </row>
    <row r="16" spans="1:9" x14ac:dyDescent="0.25">
      <c r="A16">
        <v>2021</v>
      </c>
      <c r="B16" s="14" t="s">
        <v>87</v>
      </c>
      <c r="C16" s="15" t="s">
        <v>176</v>
      </c>
      <c r="D16">
        <v>13.8352</v>
      </c>
      <c r="E16">
        <v>54417.108</v>
      </c>
      <c r="F16">
        <v>0.44899955404598318</v>
      </c>
    </row>
    <row r="17" spans="1:6" x14ac:dyDescent="0.25">
      <c r="A17">
        <v>2021</v>
      </c>
      <c r="B17" s="14" t="s">
        <v>88</v>
      </c>
      <c r="C17" s="15" t="s">
        <v>176</v>
      </c>
      <c r="D17">
        <v>4.5246000000000004</v>
      </c>
      <c r="E17">
        <v>19396.169000000002</v>
      </c>
      <c r="F17">
        <v>0.48936359973898141</v>
      </c>
    </row>
    <row r="18" spans="1:6" x14ac:dyDescent="0.25">
      <c r="A18">
        <v>2021</v>
      </c>
      <c r="B18" s="14" t="s">
        <v>89</v>
      </c>
      <c r="C18" s="15" t="s">
        <v>176</v>
      </c>
      <c r="D18">
        <v>9.4030000000000005</v>
      </c>
      <c r="E18">
        <v>49862.728999999999</v>
      </c>
      <c r="F18">
        <v>0.6053485431881499</v>
      </c>
    </row>
    <row r="19" spans="1:6" x14ac:dyDescent="0.25">
      <c r="A19">
        <v>2021</v>
      </c>
      <c r="B19" s="14" t="s">
        <v>90</v>
      </c>
      <c r="C19" s="15" t="s">
        <v>176</v>
      </c>
      <c r="D19">
        <v>2.1143000000000001</v>
      </c>
      <c r="E19">
        <v>7872.9519999999993</v>
      </c>
      <c r="F19">
        <v>0.42507629607216951</v>
      </c>
    </row>
    <row r="20" spans="1:6" x14ac:dyDescent="0.25">
      <c r="A20">
        <v>2021</v>
      </c>
      <c r="B20" s="14" t="s">
        <v>91</v>
      </c>
      <c r="C20" s="15" t="s">
        <v>176</v>
      </c>
      <c r="D20">
        <v>0</v>
      </c>
      <c r="E20">
        <v>0</v>
      </c>
      <c r="F20">
        <v>0</v>
      </c>
    </row>
    <row r="21" spans="1:6" x14ac:dyDescent="0.25">
      <c r="A21">
        <v>2021</v>
      </c>
      <c r="B21" s="14" t="s">
        <v>92</v>
      </c>
      <c r="C21" s="15" t="s">
        <v>176</v>
      </c>
      <c r="D21">
        <v>2.9630000000000001</v>
      </c>
      <c r="E21">
        <v>5173.9790000000003</v>
      </c>
      <c r="F21">
        <v>0.19933745263115718</v>
      </c>
    </row>
    <row r="22" spans="1:6" x14ac:dyDescent="0.25">
      <c r="A22">
        <v>2021</v>
      </c>
      <c r="B22" s="14" t="s">
        <v>93</v>
      </c>
      <c r="C22" s="15" t="s">
        <v>176</v>
      </c>
      <c r="D22">
        <v>0</v>
      </c>
      <c r="E22">
        <v>49.996000000000002</v>
      </c>
      <c r="F22">
        <v>0</v>
      </c>
    </row>
    <row r="23" spans="1:6" x14ac:dyDescent="0.25">
      <c r="A23">
        <v>2021</v>
      </c>
      <c r="B23" s="14" t="s">
        <v>94</v>
      </c>
      <c r="C23" s="15" t="s">
        <v>176</v>
      </c>
      <c r="D23">
        <v>8.0290999999999997</v>
      </c>
      <c r="E23">
        <v>37051.611000000004</v>
      </c>
      <c r="F23">
        <v>0.52678830241298658</v>
      </c>
    </row>
    <row r="24" spans="1:6" x14ac:dyDescent="0.25">
      <c r="A24">
        <v>2021</v>
      </c>
      <c r="B24" s="14" t="s">
        <v>95</v>
      </c>
      <c r="C24" s="15" t="s">
        <v>176</v>
      </c>
      <c r="D24">
        <v>3.8714</v>
      </c>
      <c r="E24">
        <v>15621.22</v>
      </c>
      <c r="F24">
        <v>0.46062000626064031</v>
      </c>
    </row>
    <row r="25" spans="1:6" x14ac:dyDescent="0.25">
      <c r="A25">
        <v>2021</v>
      </c>
      <c r="B25" s="14" t="s">
        <v>96</v>
      </c>
      <c r="C25" s="15" t="s">
        <v>176</v>
      </c>
      <c r="D25">
        <v>10.2422</v>
      </c>
      <c r="E25">
        <v>57848.140999999996</v>
      </c>
      <c r="F25">
        <v>0.64475103629366148</v>
      </c>
    </row>
    <row r="26" spans="1:6" x14ac:dyDescent="0.25">
      <c r="A26">
        <v>2021</v>
      </c>
      <c r="B26" s="14" t="s">
        <v>97</v>
      </c>
      <c r="C26" s="15" t="s">
        <v>176</v>
      </c>
      <c r="D26">
        <v>1.444</v>
      </c>
      <c r="E26">
        <v>5530.6879999999992</v>
      </c>
      <c r="F26">
        <v>0.43722789309250054</v>
      </c>
    </row>
    <row r="27" spans="1:6" x14ac:dyDescent="0.25">
      <c r="A27">
        <v>2021</v>
      </c>
      <c r="B27" s="14" t="s">
        <v>98</v>
      </c>
      <c r="C27" s="15" t="s">
        <v>176</v>
      </c>
      <c r="D27">
        <v>1.625</v>
      </c>
      <c r="E27">
        <v>10866.99</v>
      </c>
      <c r="F27">
        <v>0.76339936775553208</v>
      </c>
    </row>
    <row r="28" spans="1:6" x14ac:dyDescent="0.25">
      <c r="A28">
        <v>2021</v>
      </c>
      <c r="B28" s="14" t="s">
        <v>99</v>
      </c>
      <c r="C28" s="15" t="s">
        <v>176</v>
      </c>
      <c r="D28">
        <v>9.23</v>
      </c>
      <c r="E28">
        <v>20236.012999999999</v>
      </c>
      <c r="F28">
        <v>0.25027596382651368</v>
      </c>
    </row>
    <row r="29" spans="1:6" x14ac:dyDescent="0.25">
      <c r="A29">
        <v>2021</v>
      </c>
      <c r="B29" s="14" t="s">
        <v>100</v>
      </c>
      <c r="C29" s="15" t="s">
        <v>176</v>
      </c>
      <c r="D29">
        <v>3.9991999999999996</v>
      </c>
      <c r="E29">
        <v>24292.607</v>
      </c>
      <c r="F29">
        <v>0.69342084741149146</v>
      </c>
    </row>
    <row r="30" spans="1:6" x14ac:dyDescent="0.25">
      <c r="A30">
        <v>2021</v>
      </c>
      <c r="B30" s="14" t="s">
        <v>101</v>
      </c>
      <c r="C30" s="15" t="s">
        <v>176</v>
      </c>
      <c r="D30">
        <v>3.7930999999999999</v>
      </c>
      <c r="E30">
        <v>18603.106</v>
      </c>
      <c r="F30">
        <v>0.5598698261166124</v>
      </c>
    </row>
    <row r="31" spans="1:6" x14ac:dyDescent="0.25">
      <c r="A31">
        <v>2021</v>
      </c>
      <c r="B31" s="14" t="s">
        <v>102</v>
      </c>
      <c r="C31" s="15" t="s">
        <v>176</v>
      </c>
      <c r="D31">
        <v>0.53389999999999993</v>
      </c>
      <c r="E31">
        <v>284.16300000000001</v>
      </c>
      <c r="F31">
        <v>6.0758004551670713E-2</v>
      </c>
    </row>
    <row r="32" spans="1:6" x14ac:dyDescent="0.25">
      <c r="A32">
        <v>2021</v>
      </c>
      <c r="B32" s="14" t="s">
        <v>103</v>
      </c>
      <c r="C32" s="15" t="s">
        <v>176</v>
      </c>
      <c r="D32">
        <v>0.46300000000000002</v>
      </c>
      <c r="E32">
        <v>1026.2940000000001</v>
      </c>
      <c r="F32">
        <v>0.25303855143643306</v>
      </c>
    </row>
    <row r="33" spans="1:6" x14ac:dyDescent="0.25">
      <c r="A33">
        <v>2021</v>
      </c>
      <c r="B33" s="14" t="s">
        <v>104</v>
      </c>
      <c r="C33" s="15" t="s">
        <v>176</v>
      </c>
      <c r="D33">
        <v>2.387</v>
      </c>
      <c r="E33">
        <v>12536.319000000001</v>
      </c>
      <c r="F33">
        <v>0.5995335751301285</v>
      </c>
    </row>
    <row r="34" spans="1:6" x14ac:dyDescent="0.25">
      <c r="A34">
        <v>2021</v>
      </c>
      <c r="B34" s="14" t="s">
        <v>105</v>
      </c>
      <c r="C34" s="15" t="s">
        <v>176</v>
      </c>
      <c r="D34">
        <v>0.74039999999999995</v>
      </c>
      <c r="E34">
        <v>2752.4739999999997</v>
      </c>
      <c r="F34">
        <v>0.42437785079766827</v>
      </c>
    </row>
    <row r="35" spans="1:6" x14ac:dyDescent="0.25">
      <c r="A35">
        <v>2021</v>
      </c>
      <c r="B35" s="14" t="s">
        <v>106</v>
      </c>
      <c r="C35" s="15" t="s">
        <v>176</v>
      </c>
      <c r="D35">
        <v>0.44500000000000001</v>
      </c>
      <c r="E35">
        <v>0</v>
      </c>
      <c r="F35">
        <v>0</v>
      </c>
    </row>
    <row r="36" spans="1:6" x14ac:dyDescent="0.25">
      <c r="A36">
        <v>2021</v>
      </c>
      <c r="B36" s="14" t="s">
        <v>107</v>
      </c>
      <c r="C36" s="15" t="s">
        <v>176</v>
      </c>
      <c r="D36">
        <v>10.0115</v>
      </c>
      <c r="E36">
        <v>45662.047999999995</v>
      </c>
      <c r="F36">
        <v>0.5206574995832417</v>
      </c>
    </row>
    <row r="37" spans="1:6" x14ac:dyDescent="0.25">
      <c r="A37">
        <v>2021</v>
      </c>
      <c r="B37" s="14" t="s">
        <v>108</v>
      </c>
      <c r="C37" s="15" t="s">
        <v>176</v>
      </c>
      <c r="D37">
        <v>3.2469999999999999</v>
      </c>
      <c r="E37">
        <v>11204.824999999999</v>
      </c>
      <c r="F37">
        <v>0.39392966180232403</v>
      </c>
    </row>
    <row r="38" spans="1:6" x14ac:dyDescent="0.25">
      <c r="A38">
        <v>2021</v>
      </c>
      <c r="B38" s="14" t="s">
        <v>109</v>
      </c>
      <c r="C38" s="15" t="s">
        <v>176</v>
      </c>
      <c r="D38">
        <v>0</v>
      </c>
      <c r="E38">
        <v>0</v>
      </c>
      <c r="F38">
        <v>0</v>
      </c>
    </row>
    <row r="39" spans="1:6" x14ac:dyDescent="0.25">
      <c r="A39">
        <v>2021</v>
      </c>
      <c r="B39" s="14" t="s">
        <v>110</v>
      </c>
      <c r="C39" s="15" t="s">
        <v>176</v>
      </c>
      <c r="D39">
        <v>9.9634999999999998</v>
      </c>
      <c r="E39">
        <v>29219.371999999999</v>
      </c>
      <c r="F39">
        <v>0.33477640877788406</v>
      </c>
    </row>
    <row r="40" spans="1:6" x14ac:dyDescent="0.25">
      <c r="A40">
        <v>2021</v>
      </c>
      <c r="B40" s="14" t="s">
        <v>111</v>
      </c>
      <c r="C40" s="15" t="s">
        <v>176</v>
      </c>
      <c r="D40">
        <v>0</v>
      </c>
      <c r="E40">
        <v>0</v>
      </c>
      <c r="F40">
        <v>0</v>
      </c>
    </row>
    <row r="41" spans="1:6" x14ac:dyDescent="0.25">
      <c r="A41">
        <v>2021</v>
      </c>
      <c r="B41" s="14" t="s">
        <v>112</v>
      </c>
      <c r="C41" s="15" t="s">
        <v>176</v>
      </c>
      <c r="D41">
        <v>4.7889999999999997</v>
      </c>
      <c r="E41">
        <v>15163.368999999999</v>
      </c>
      <c r="F41">
        <v>0.3614487776878329</v>
      </c>
    </row>
    <row r="42" spans="1:6" x14ac:dyDescent="0.25">
      <c r="A42">
        <v>2021</v>
      </c>
      <c r="B42" s="14" t="s">
        <v>113</v>
      </c>
      <c r="C42" s="15" t="s">
        <v>176</v>
      </c>
      <c r="D42">
        <v>0.47399999999999998</v>
      </c>
      <c r="E42">
        <v>1638.39</v>
      </c>
      <c r="F42">
        <v>0.3945797930755448</v>
      </c>
    </row>
    <row r="43" spans="1:6" x14ac:dyDescent="0.25">
      <c r="A43">
        <v>2021</v>
      </c>
      <c r="B43" s="14" t="s">
        <v>114</v>
      </c>
      <c r="C43" s="15" t="s">
        <v>176</v>
      </c>
      <c r="D43">
        <v>5.7089999999999996</v>
      </c>
      <c r="E43">
        <v>17834.780999999999</v>
      </c>
      <c r="F43">
        <v>0.35661830515144316</v>
      </c>
    </row>
    <row r="44" spans="1:6" x14ac:dyDescent="0.25">
      <c r="A44">
        <v>2021</v>
      </c>
      <c r="B44" s="14" t="s">
        <v>115</v>
      </c>
      <c r="C44" s="15" t="s">
        <v>176</v>
      </c>
      <c r="D44">
        <v>18.141599999999997</v>
      </c>
      <c r="E44">
        <v>88818.14</v>
      </c>
      <c r="F44">
        <v>0.55888439154350067</v>
      </c>
    </row>
    <row r="45" spans="1:6" x14ac:dyDescent="0.25">
      <c r="A45">
        <v>2021</v>
      </c>
      <c r="B45" s="14" t="s">
        <v>116</v>
      </c>
      <c r="C45" s="15" t="s">
        <v>176</v>
      </c>
      <c r="D45">
        <v>4.5810000000000004</v>
      </c>
      <c r="E45">
        <v>26375.564000000002</v>
      </c>
      <c r="F45">
        <v>0.65726023410174439</v>
      </c>
    </row>
    <row r="46" spans="1:6" x14ac:dyDescent="0.25">
      <c r="A46">
        <v>2021</v>
      </c>
      <c r="B46" s="14" t="s">
        <v>117</v>
      </c>
      <c r="C46" s="15" t="s">
        <v>176</v>
      </c>
      <c r="D46">
        <v>2.4929999999999999</v>
      </c>
      <c r="E46">
        <v>3112.67</v>
      </c>
      <c r="F46">
        <v>0.14253013460520508</v>
      </c>
    </row>
    <row r="47" spans="1:6" x14ac:dyDescent="0.25">
      <c r="A47">
        <v>2021</v>
      </c>
      <c r="B47" s="14" t="s">
        <v>118</v>
      </c>
      <c r="C47" s="15" t="s">
        <v>176</v>
      </c>
      <c r="D47">
        <v>0</v>
      </c>
      <c r="E47">
        <v>0</v>
      </c>
      <c r="F47">
        <v>0</v>
      </c>
    </row>
    <row r="48" spans="1:6" x14ac:dyDescent="0.25">
      <c r="A48">
        <v>2021</v>
      </c>
      <c r="B48" s="14" t="s">
        <v>119</v>
      </c>
      <c r="C48" s="15" t="s">
        <v>176</v>
      </c>
      <c r="D48">
        <v>0.67</v>
      </c>
      <c r="E48">
        <v>3107.489</v>
      </c>
      <c r="F48">
        <v>0.52945699584270423</v>
      </c>
    </row>
    <row r="49" spans="1:6" x14ac:dyDescent="0.25">
      <c r="A49">
        <v>2021</v>
      </c>
      <c r="B49" s="14" t="s">
        <v>120</v>
      </c>
      <c r="C49" s="15" t="s">
        <v>176</v>
      </c>
      <c r="D49">
        <v>5.2164999999999999</v>
      </c>
      <c r="E49">
        <v>27233.277999999998</v>
      </c>
      <c r="F49">
        <v>0.59595930020084664</v>
      </c>
    </row>
    <row r="50" spans="1:6" x14ac:dyDescent="0.25">
      <c r="A50">
        <v>2021</v>
      </c>
      <c r="B50" s="14" t="s">
        <v>121</v>
      </c>
      <c r="C50" s="15" t="s">
        <v>176</v>
      </c>
      <c r="D50">
        <v>12.558</v>
      </c>
      <c r="E50">
        <v>59667.589</v>
      </c>
      <c r="F50">
        <v>0.54239278605716956</v>
      </c>
    </row>
    <row r="51" spans="1:6" x14ac:dyDescent="0.25">
      <c r="A51">
        <v>2021</v>
      </c>
      <c r="B51" s="14" t="s">
        <v>122</v>
      </c>
      <c r="C51" s="15" t="s">
        <v>176</v>
      </c>
      <c r="D51">
        <v>5.9980000000000002</v>
      </c>
      <c r="E51">
        <v>31676.317000000003</v>
      </c>
      <c r="F51">
        <v>0.60287061059927127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workbookViewId="0">
      <selection activeCell="C30" sqref="C3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 s="11">
        <f>'Hard Coal'!I3</f>
        <v>0.54239278605716956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 s="11">
        <f>'Natural gas capacity factors'!Y4</f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 s="11">
        <f>'Natural gas capacity factors'!Z4</f>
        <v>0.8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 s="11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 s="11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s="11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s="11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s="11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 s="11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 s="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v>0</v>
      </c>
      <c r="C12">
        <f t="shared" ref="C12:I12" si="2">$B12</f>
        <v>0</v>
      </c>
      <c r="D12">
        <f t="shared" si="2"/>
        <v>0</v>
      </c>
      <c r="E12">
        <f t="shared" si="2"/>
        <v>0</v>
      </c>
      <c r="F12">
        <f t="shared" si="2"/>
        <v>0</v>
      </c>
      <c r="G12">
        <f t="shared" si="2"/>
        <v>0</v>
      </c>
      <c r="H12" s="11">
        <f t="shared" si="2"/>
        <v>0</v>
      </c>
      <c r="I12">
        <f t="shared" si="2"/>
        <v>0</v>
      </c>
      <c r="J12">
        <f t="shared" ref="G12:AK15" si="3">$B12</f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 s="11">
        <f>'Natural gas capacity factors'!X4</f>
        <v>0.20179266489650602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s="11">
        <f>'Hard Coal'!I3</f>
        <v>0.54239278605716956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s="11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s="11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s="11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 s="11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 s="11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11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 s="1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 s="11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s="11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s="11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s="11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Wgtd Avg Expected Cap Factors</vt:lpstr>
      <vt:lpstr>Natural gas capacity factors</vt:lpstr>
      <vt:lpstr>Hard Coal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2015-06-13T01:30:20Z</dcterms:created>
  <dcterms:modified xsi:type="dcterms:W3CDTF">2024-01-22T06:43:37Z</dcterms:modified>
</cp:coreProperties>
</file>