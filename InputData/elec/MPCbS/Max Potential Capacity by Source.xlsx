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MPCbS\"/>
    </mc:Choice>
  </mc:AlternateContent>
  <xr:revisionPtr revIDLastSave="0" documentId="8_{F66A6285-F84E-4C18-AF44-59FFFE145F75}" xr6:coauthVersionLast="47" xr6:coauthVersionMax="47" xr10:uidLastSave="{00000000-0000-0000-0000-000000000000}"/>
  <bookViews>
    <workbookView xWindow="-90" yWindow="-90" windowWidth="19380" windowHeight="1026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<sst xmlns="http://schemas.openxmlformats.org/spreadsheetml/2006/main" count="914" uniqueCount="279">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</sst>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194</v>
      </c>
      <c r="C1" s="24">
        <v>45294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WV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WV</v>
      </c>
      <c r="B1" s="32">
        <f>SUMIFS(E3:E52,A3:A52,A1)</f>
        <v>41000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WV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WV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West Virginia</v>
      </c>
      <c r="B1" s="32" t="str">
        <f>LOOKUP(A1,M4:N53,N4:N53)</f>
        <v>WV</v>
      </c>
      <c r="C1" s="32">
        <f>SUMIFS(L5:L52,A5:A52,B1)</f>
        <v>69098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WV</v>
      </c>
      <c r="B1" s="32">
        <f>SUMIFS(D4:D53,A4:A53,A1)</f>
        <v>438.35616438356163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WV</v>
      </c>
      <c r="B1" s="32">
        <f>SUMIFS(C3:C52,A3:A52,A1)</f>
        <v>33000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WV</v>
      </c>
      <c r="B1" s="32">
        <f>SUMIFS(D5:D54,A5:A54,A1)</f>
        <v>1006.3926940639269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1006.3926940639269</v>
      </c>
    </row>
    <row r="7" spans="1:2" x14ac:dyDescent="0.25">
      <c r="A7" t="s">
        <v>55</v>
      </c>
      <c r="B7">
        <f>'onshore wind'!C1</f>
        <v>69098</v>
      </c>
    </row>
    <row r="8" spans="1:2" x14ac:dyDescent="0.25">
      <c r="A8" t="s">
        <v>33</v>
      </c>
      <c r="B8">
        <f>'solar PV'!B1</f>
        <v>41000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438.35616438356163</v>
      </c>
    </row>
    <row r="11" spans="1:2" x14ac:dyDescent="0.25">
      <c r="A11" t="s">
        <v>39</v>
      </c>
      <c r="B11">
        <f>geothermal!B1</f>
        <v>33000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43.51997009883825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438.35616438356163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2024-01-03T19:34:48Z</dcterms:modified>
</cp:coreProperties>
</file>